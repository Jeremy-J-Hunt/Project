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Hist" sheetId="2" state="visible" r:id="rId4"/>
    <sheet name="MCASE" sheetId="3" state="visible" r:id="rId5"/>
    <sheet name="OPCASE" sheetId="4" state="visible" r:id="rId6"/>
    <sheet name="FINCASE" sheetId="5" state="visible" r:id="rId7"/>
    <sheet name="LBO" sheetId="6" state="visible" r:id="rId8"/>
    <sheet name="ATP" sheetId="7" state="visible" r:id="rId9"/>
    <sheet name="Contrib" sheetId="8" state="visible" r:id="rId10"/>
    <sheet name="Sensitivity" sheetId="9" state="visible" r:id="rId11"/>
    <sheet name="CVR" sheetId="10" state="visible" r:id="rId12"/>
  </sheets>
  <definedNames>
    <definedName function="false" hidden="false" name="CHECKS" vbProcedure="false">Cover!$C$22</definedName>
    <definedName function="false" hidden="false" name="CIRC" vbProcedure="false">LBO!$D$5</definedName>
    <definedName function="false" hidden="false" name="FINCASE" vbProcedure="false">FINCASE!$E$5</definedName>
    <definedName function="false" hidden="false" name="MCASE" vbProcedure="false">MCASE!$C$5</definedName>
    <definedName function="false" hidden="false" name="MIN_CASH" vbProcedure="false">LBO!$D$27</definedName>
    <definedName function="false" hidden="false" name="OPCASE" vbProcedure="false">OPCASE!$C$5</definedName>
    <definedName function="false" hidden="false" name="OUT_IRR" vbProcedure="false">LBO!$D$256</definedName>
    <definedName function="false" hidden="false" name="OUT_MOIC" vbProcedure="false">LBO!$D$255</definedName>
    <definedName function="false" hidden="false" name="PROJECT" vbProcedure="false">Cover!$C$5</definedName>
  </definedNames>
  <calcPr iterateCount="1000" refMode="A1" iterate="true" iterateDelta="1E-00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<sst xmlns="http://schemas.openxmlformats.org/spreadsheetml/2006/main" count="1093" uniqueCount="649">
  <si>
    <t xml:space="preserve">Project Daylight - Clinuvel Pharmaceuticals (ASX: CUV / Nasdaq: CUVL)</t>
  </si>
  <si>
    <t xml:space="preserve">Private-equity take-private screening model | prepared 22-Sep-2026 from public information | A$ millions | FYE 30 June</t>
  </si>
  <si>
    <t xml:space="preserve">PROJECT</t>
  </si>
  <si>
    <t xml:space="preserve">Daylight</t>
  </si>
  <si>
    <t xml:space="preserve">Running case (MCASE)</t>
  </si>
  <si>
    <t xml:space="preserve">Case label</t>
  </si>
  <si>
    <t xml:space="preserve">Key outputs - running case</t>
  </si>
  <si>
    <t xml:space="preserve">Offer price per share (A$)</t>
  </si>
  <si>
    <t xml:space="preserve">Premium to undisturbed (A$8.24)</t>
  </si>
  <si>
    <t xml:space="preserve">Equity purchase price (A$m)</t>
  </si>
  <si>
    <t xml:space="preserve">Implied TEV (A$m)</t>
  </si>
  <si>
    <t xml:space="preserve">TEV / FY27E status-quo Adj. EBITDA</t>
  </si>
  <si>
    <t xml:space="preserve">TEV / FY28E post cost-out Adj. EBITDA</t>
  </si>
  <si>
    <t xml:space="preserve">Clinuvel cash applied (A$m)</t>
  </si>
  <si>
    <t xml:space="preserve">New debt (A$m)</t>
  </si>
  <si>
    <t xml:space="preserve">Equity invested (A$m)</t>
  </si>
  <si>
    <t xml:space="preserve">5-year MoIC</t>
  </si>
  <si>
    <t xml:space="preserve">5-year IRR</t>
  </si>
  <si>
    <t xml:space="preserve">Max offer at 20% IRR (A$/sh)</t>
  </si>
  <si>
    <t xml:space="preserve">Model checks (0 = OK)</t>
  </si>
  <si>
    <t xml:space="preserve">Tabs</t>
  </si>
  <si>
    <t xml:space="preserve">Hist</t>
  </si>
  <si>
    <t xml:space="preserve">Reported history FY20-FY26 and FY26A base-year inputs (reported vs estimated flagged)</t>
  </si>
  <si>
    <t xml:space="preserve">MCASE</t>
  </si>
  <si>
    <t xml:space="preserve">Master case driver - 23 cases (5 operating x 4 financing at the base offer + 3 variants)</t>
  </si>
  <si>
    <t xml:space="preserve">OPCASE</t>
  </si>
  <si>
    <t xml:space="preserve">Five operating cases: revenue by region, cost base, sponsor cost-out, capex, NWC</t>
  </si>
  <si>
    <t xml:space="preserve">FINCASE</t>
  </si>
  <si>
    <t xml:space="preserve">Four financing cases: base 2.0x private credit, high 3.0x + PIK, low 1.0x, no debt</t>
  </si>
  <si>
    <t xml:space="preserve">LBO</t>
  </si>
  <si>
    <t xml:space="preserve">Single-tab vertical model: S&amp;U, PF BS, IS, BS, CF, debt, interest, credit, returns</t>
  </si>
  <si>
    <t xml:space="preserve">ATP</t>
  </si>
  <si>
    <t xml:space="preserve">Reverse LBO: max offer per share by exit multiple and hurdle IRR</t>
  </si>
  <si>
    <t xml:space="preserve">Contrib</t>
  </si>
  <si>
    <t xml:space="preserve">Value creation bridge (revenue, margin, multiple, cash generation, fees)</t>
  </si>
  <si>
    <t xml:space="preserve">Sensitivity</t>
  </si>
  <si>
    <t xml:space="preserve">Price x multiple grids; case capture table; op x fin matrices; probability-weighted view</t>
  </si>
  <si>
    <t xml:space="preserve">CVR</t>
  </si>
  <si>
    <t xml:space="preserve">Contingent value right design and valuation</t>
  </si>
  <si>
    <t xml:space="preserve">Colour code &amp; mechanics</t>
  </si>
  <si>
    <t xml:space="preserve">Blue: hard-coded input</t>
  </si>
  <si>
    <t xml:space="preserve">Black: formula on same tab</t>
  </si>
  <si>
    <t xml:space="preserve">Green: link to another tab</t>
  </si>
  <si>
    <t xml:space="preserve">Iterative calculation must be ON (File &gt; Options &gt; Formulas; 1,000 iterations, 0.0000001). Average-balance interest (CIRC=1) and the Sensitivity capture cells are circular by design.</t>
  </si>
  <si>
    <t xml:space="preserve">To refresh the case tables: set MCASE to 1..23 in turn (or run model/run_cases.py), then back to the base case (3).</t>
  </si>
  <si>
    <t xml:space="preserve">Important</t>
  </si>
  <si>
    <t xml:space="preserve">Screening model built from public information only (company releases, press, third-party research summaries).</t>
  </si>
  <si>
    <t xml:space="preserve">Several inputs are analyst estimates, not disclosures: FY26 cost split by function, US/EU revenue split,</t>
  </si>
  <si>
    <t xml:space="preserve">working capital, dilutive securities, financing terms and all forward scenarios. They are flagged in the source notes.</t>
  </si>
  <si>
    <t xml:space="preserve">Not investment advice. Figures should be tied to the FY2026 annual report and 20-F before any use.</t>
  </si>
  <si>
    <t xml:space="preserve">Historical financials &amp; FY26A base-year inputs</t>
  </si>
  <si>
    <t xml:space="preserve">A$m. Blue = reported or estimated input (see source column). Estimates flagged 'EST'/'ASSUMPTION'.</t>
  </si>
  <si>
    <t xml:space="preserve">Reported history (FY ending 30 June)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</si>
  <si>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</si>
  <si>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</si>
  <si>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</si>
  <si>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</si>
  <si>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</si>
  <si>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</si>
  <si>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</si>
  <si>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Source / note</t>
  </si>
  <si>
    <t xml:space="preserve">Product revenue (SCENESSE)</t>
  </si>
  <si>
    <t xml:space="preserve">n.v.</t>
  </si>
  <si>
    <t xml:space="preserve">FY23 derived (FY24 +13% to A$88m, Morningstar); FY25 A$95.018m (Appendix 4E); FY26 A$94.024m</t>
  </si>
  <si>
    <t xml:space="preserve">Total revenues incl. interest &amp; other income</t>
  </si>
  <si>
    <t xml:space="preserve">As reported; FY20/FY21 'revenue' as reported (interest immaterial then)</t>
  </si>
  <si>
    <t xml:space="preserve">Total expenses</t>
  </si>
  <si>
    <t xml:space="preserve">FY24 derived from FY25 +20%; FY25/FY26 as reported</t>
  </si>
  <si>
    <t xml:space="preserve">Profit before tax</t>
  </si>
  <si>
    <t xml:space="preserve">FY22 as reported (adj. PBT A$39.8m); FY24 derived (FY25 +2%); FY26 derived</t>
  </si>
  <si>
    <t xml:space="preserve">Net profit after tax</t>
  </si>
  <si>
    <t xml:space="preserve">FY20 derived from FY21 +64%; FY22 as reported (non-cash items); others as reported</t>
  </si>
  <si>
    <t xml:space="preserve">Cash at year end</t>
  </si>
  <si>
    <t xml:space="preserve">FY24 derived (FY25 +22%); others as reported</t>
  </si>
  <si>
    <t xml:space="preserve">Dividend per share (A$)</t>
  </si>
  <si>
    <t xml:space="preserve">Fully franked where stated</t>
  </si>
  <si>
    <t xml:space="preserve">Product revenue growth</t>
  </si>
  <si>
    <t xml:space="preserve">NPAT margin on total revenues</t>
  </si>
  <si>
    <t xml:space="preserve">Half-year data: H1 FY26 sales A$36.93m (+4%), NPAT A$10.44m (-26%), cash A$233.0m; H1 interest A$5.26m (Appendix 4D, 26-Feb-2026). Implied H2 FY26 sales A$57.1m (c.-4% y/y).</t>
  </si>
  <si>
    <t xml:space="preserve">FY26A base-year inputs used by the LBO tab</t>
  </si>
  <si>
    <t xml:space="preserve">Item</t>
  </si>
  <si>
    <t xml:space="preserve">A$m</t>
  </si>
  <si>
    <t xml:space="preserve">Product revenue FY26A</t>
  </si>
  <si>
    <t xml:space="preserve">Revenue from ordinary activities; FY26 results release, 27-Aug-2026 (GlobeNewswire/Nasdaq; 6-K)</t>
  </si>
  <si>
    <t xml:space="preserve">US share of product revenue</t>
  </si>
  <si>
    <t xml:space="preserve">ASSUMPTION - US share of FY26 product revenue not in accessible disclosure; test 30-50%</t>
  </si>
  <si>
    <t xml:space="preserve">  US SCENESSE revenue FY26A</t>
  </si>
  <si>
    <t xml:space="preserve">  Europe &amp; RoW SCENESSE revenue FY26A</t>
  </si>
  <si>
    <t xml:space="preserve">Total revenues incl. interest &amp; other income; FY26 results release, 27-Aug-2026 (GlobeNewswire/Nasdaq; 6-K)</t>
  </si>
  <si>
    <t xml:space="preserve">  Interest &amp; other income (derived)</t>
  </si>
  <si>
    <t xml:space="preserve">Total expenses (reported)</t>
  </si>
  <si>
    <t xml:space="preserve">Total expenses; FY26 results release, 27-Aug-2026 (GlobeNewswire/Nasdaq; 6-K)</t>
  </si>
  <si>
    <t xml:space="preserve">  Cost of goods / supply &amp; distribution</t>
  </si>
  <si>
    <t xml:space="preserve">EST: gross margin &gt;90% (Kalkine, 2026)</t>
  </si>
  <si>
    <t xml:space="preserve">  Core SCENESSE commercial, medical, PV &amp; regulatory</t>
  </si>
  <si>
    <t xml:space="preserve">EST: A$8-11m range (research stream)</t>
  </si>
  <si>
    <t xml:space="preserve">  Corporate, listing &amp; G&amp;A</t>
  </si>
  <si>
    <t xml:space="preserve">EST: A$8-11m range incl. ASX/SEC listing costs</t>
  </si>
  <si>
    <t xml:space="preserve">  Communications, branding, marketing &amp; consumer (CBM)</t>
  </si>
  <si>
    <t xml:space="preserve">EST: CBM +100% in FY25; A$4-7m</t>
  </si>
  <si>
    <t xml:space="preserve">  Vitiligo clinical program (CUV105/CUV107)</t>
  </si>
  <si>
    <t xml:space="preserve">EST: A$10-15m; clinical dev. +215% in FY25</t>
  </si>
  <si>
    <t xml:space="preserve">  Other R&amp;D (Singapore, PRENUMBRA, NEURACTHEL, XP/VP)</t>
  </si>
  <si>
    <t xml:space="preserve">EST: A$6-10m</t>
  </si>
  <si>
    <t xml:space="preserve">  Depreciation &amp; amortisation</t>
  </si>
  <si>
    <t xml:space="preserve">EST</t>
  </si>
  <si>
    <t xml:space="preserve">  Check: estimated split less reported expenses (should be 0)</t>
  </si>
  <si>
    <t xml:space="preserve">Profit before tax (derived)</t>
  </si>
  <si>
    <t xml:space="preserve">NPAT (reported)</t>
  </si>
  <si>
    <t xml:space="preserve">NPAT (-6% y/y); FY26 results release, 27-Aug-2026 (GlobeNewswire/Nasdaq; 6-K)</t>
  </si>
  <si>
    <t xml:space="preserve">Income tax (derived)</t>
  </si>
  <si>
    <t xml:space="preserve">Cash 30-Jun-2026</t>
  </si>
  <si>
    <t xml:space="preserve">Cash reserves (+12%); FY26 results release, 27-Aug-2026 (GlobeNewswire/Nasdaq; 6-K)</t>
  </si>
  <si>
    <t xml:space="preserve">Net assets 30-Jun-2026</t>
  </si>
  <si>
    <t xml:space="preserve">Net assets 30-Jun-2026; strategic reorganisation release 23-Jul-2026</t>
  </si>
  <si>
    <t xml:space="preserve">Net working capital &amp; other operating items (est.)</t>
  </si>
  <si>
    <t xml:space="preserve">ESTIMATE - net working capital &amp; other net operating items (c.16% of sales)</t>
  </si>
  <si>
    <t xml:space="preserve">Operating cash flow FY26A (memo)</t>
  </si>
  <si>
    <t xml:space="preserve">Operating cash inflow; FY26 results release, 27-Aug-2026 (GlobeNewswire/Nasdaq; 6-K)</t>
  </si>
  <si>
    <t xml:space="preserve">Master case driver (MCASE)</t>
  </si>
  <si>
    <t xml:space="preserve">Change C5 to run any case. Every tab keys off the running row (row 8).</t>
  </si>
  <si>
    <t xml:space="preserve">Case #</t>
  </si>
  <si>
    <t xml:space="preserve">Op case</t>
  </si>
  <si>
    <t xml:space="preserve">Fin case</t>
  </si>
  <si>
    <t xml:space="preserve">Offer price (A$/sh)</t>
  </si>
  <si>
    <t xml:space="preserve">Trans. exp. (% equity)</t>
  </si>
  <si>
    <t xml:space="preserve">Mgmt rollover (% equity)</t>
  </si>
  <si>
    <t xml:space="preserve">Exit multiple (x EBITDA)</t>
  </si>
  <si>
    <t xml:space="preserve">Min. cash (A$m)</t>
  </si>
  <si>
    <t xml:space="preserve">Comment</t>
  </si>
  <si>
    <t xml:space="preserve">Downside | Base</t>
  </si>
  <si>
    <t xml:space="preserve">Cases 1-20 = 5 operating x 4 financing cases at the base offer</t>
  </si>
  <si>
    <t xml:space="preserve">Conservative | Base</t>
  </si>
  <si>
    <t xml:space="preserve">Sponsor base | Base</t>
  </si>
  <si>
    <t xml:space="preserve">Orals underwhelm | Base</t>
  </si>
  <si>
    <t xml:space="preserve">Upside (vitiligo) | Base</t>
  </si>
  <si>
    <t xml:space="preserve">Downside | High leverage</t>
  </si>
  <si>
    <t xml:space="preserve">Conservative | High leverage</t>
  </si>
  <si>
    <t xml:space="preserve">Sponsor base | High leverage</t>
  </si>
  <si>
    <t xml:space="preserve">Orals underwhelm | High leverage</t>
  </si>
  <si>
    <t xml:space="preserve">Upside (vitiligo) | High leverage</t>
  </si>
  <si>
    <t xml:space="preserve">Downside | Low leverage</t>
  </si>
  <si>
    <t xml:space="preserve">Conservative | Low leverage</t>
  </si>
  <si>
    <t xml:space="preserve">Sponsor base | Low leverage</t>
  </si>
  <si>
    <t xml:space="preserve">Orals underwhelm | Low leverage</t>
  </si>
  <si>
    <t xml:space="preserve">Upside (vitiligo) | Low leverage</t>
  </si>
  <si>
    <t xml:space="preserve">Downside | No acquisition debt</t>
  </si>
  <si>
    <t xml:space="preserve">Conservative | No acquisition debt</t>
  </si>
  <si>
    <t xml:space="preserve">Sponsor base | No acquisition debt</t>
  </si>
  <si>
    <t xml:space="preserve">Orals underwhelm | No acquisition debt</t>
  </si>
  <si>
    <t xml:space="preserve">Upside (vitiligo) | No acquisition debt</t>
  </si>
  <si>
    <t xml:space="preserve">Sponsor base | Base | CEO rolls 6.8%</t>
  </si>
  <si>
    <t xml:space="preserve">CEO rolls his c.6.8% stake (separate scheme class / GN19 protocol)</t>
  </si>
  <si>
    <t xml:space="preserve">Sponsor base | Base | A$9.50 offer</t>
  </si>
  <si>
    <t xml:space="preserve">c.+15% premium to undisturbed</t>
  </si>
  <si>
    <t xml:space="preserve">Sponsor base | Base | A$12.50 offer</t>
  </si>
  <si>
    <t xml:space="preserve">c.+52% premium; ~Mar-2026 trading levels</t>
  </si>
  <si>
    <t xml:space="preserve">Base revenue, no cost-out | Base</t>
  </si>
  <si>
    <t xml:space="preserve">Tests how much of the thesis is cost-out: management plan, no savings</t>
  </si>
  <si>
    <t xml:space="preserve">Offer price context: undisturbed A$8.24 (1-Sep-2026); A$10.75 = c.+30% premium; cash per share at close c.A$5.4. Exit multiples scale with the durability of each operating case.</t>
  </si>
  <si>
    <t xml:space="preserve">Operating cases (OPCASE)</t>
  </si>
  <si>
    <t xml:space="preserve">Running block pulls the active case via OFFSET(case-1 cell, (OPCASE-1) x OpStep). FY27E = company status-quo plan (pre-close); FY28E-FY32E = sponsor plan.</t>
  </si>
  <si>
    <t xml:space="preserve">Running operating case (OPCASE)</t>
  </si>
  <si>
    <t xml:space="preserve">OpStep (rows between case blocks)</t>
  </si>
  <si>
    <t xml:space="preserve">Running operating case (output - do not edit)</t>
  </si>
  <si>
    <t xml:space="preserve">Driver</t>
  </si>
  <si>
    <t xml:space="preserve">Unit</t>
  </si>
  <si>
    <t xml:space="preserve">Case description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</si>
  <si>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</si>
  <si>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</si>
  <si>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</si>
  <si>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</si>
  <si>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</si>
  <si>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FY32E</t>
  </si>
  <si>
    <t xml:space="preserve">Case name / description</t>
  </si>
  <si>
    <t xml:space="preserve">US SCENESSE revenue growth</t>
  </si>
  <si>
    <t xml:space="preserve">%</t>
  </si>
  <si>
    <t xml:space="preserve">Europe &amp; RoW SCENESSE revenue growth</t>
  </si>
  <si>
    <t xml:space="preserve">Vitiligo revenue</t>
  </si>
  <si>
    <t xml:space="preserve">Other new product revenue</t>
  </si>
  <si>
    <t xml:space="preserve">COGS % of revenue</t>
  </si>
  <si>
    <t xml:space="preserve">Core &amp; corporate cost inflation</t>
  </si>
  <si>
    <t xml:space="preserve">Competitive-defence spend (patient services, access)</t>
  </si>
  <si>
    <t xml:space="preserve">Sponsor corporate cost savings (% of status quo)</t>
  </si>
  <si>
    <t xml:space="preserve">CBM &amp; consumer spend</t>
  </si>
  <si>
    <t xml:space="preserve">Vitiligo clinical spend</t>
  </si>
  <si>
    <t xml:space="preserve">Other R&amp;D spend</t>
  </si>
  <si>
    <t xml:space="preserve">Vitiligo launch &amp; commercial costs</t>
  </si>
  <si>
    <t xml:space="preserve">Non-recurring items (relocation, restructuring)</t>
  </si>
  <si>
    <t xml:space="preserve">Capex</t>
  </si>
  <si>
    <t xml:space="preserve">Net working capital % of revenue</t>
  </si>
  <si>
    <t xml:space="preserve">Operating case 1: Downside</t>
  </si>
  <si>
    <t xml:space="preserve">Case 1</t>
  </si>
  <si>
    <t xml:space="preserve">Downside</t>
  </si>
  <si>
    <t xml:space="preserve">Both orals approved (dersimelagon ~Feb-27, bitopertin ~mid-27) and adopted fast; EU oral from FY29; price pressure</t>
  </si>
  <si>
    <t xml:space="preserve">Operating case 2: Conservative</t>
  </si>
  <si>
    <t xml:space="preserve">Case 2</t>
  </si>
  <si>
    <t xml:space="preserve">Conservative</t>
  </si>
  <si>
    <t xml:space="preserve">Dersimelagon approved Feb-27 with solid uptake; bitopertin also approved; EU competition from FY30</t>
  </si>
  <si>
    <t xml:space="preserve">Operating case 3: Sponsor base</t>
  </si>
  <si>
    <t xml:space="preserve">Case 3</t>
  </si>
  <si>
    <t xml:space="preserve">Sponsor base</t>
  </si>
  <si>
    <t xml:space="preserve">Dersimelagon approved; APOLLO misses/delays bitopertin; SCENESSE keeps implant-preferring &amp; severe patients</t>
  </si>
  <si>
    <t xml:space="preserve">Operating case 4: Orals underwhelm</t>
  </si>
  <si>
    <t xml:space="preserve">Case 4</t>
  </si>
  <si>
    <t xml:space="preserve">Orals underwhelm</t>
  </si>
  <si>
    <t xml:space="preserve">Orals approved but modest efficacy; combination use; Canada, adolescents &amp; EU year-round dosing drive growth</t>
  </si>
  <si>
    <t xml:space="preserve">Operating case 5: Upside (vitiligo)</t>
  </si>
  <si>
    <t xml:space="preserve">Case 5</t>
  </si>
  <si>
    <t xml:space="preserve">Upside (vitiligo)</t>
  </si>
  <si>
    <t xml:space="preserve">As case 4 plus CUV105 positive: sponsor funds CUV107; vitiligo approval &amp; launch from FY30</t>
  </si>
  <si>
    <t xml:space="preserve">Operating case 6: Base revenue, no cost-out</t>
  </si>
  <si>
    <t xml:space="preserve">Case 6</t>
  </si>
  <si>
    <t xml:space="preserve">Base revenue, no cost-out</t>
  </si>
  <si>
    <t xml:space="preserve">Case 3 revenue, but management's plan continues: CUV107 funded, US build-out, CBM &amp; Singapore R&amp;D; no sponsor savings</t>
  </si>
  <si>
    <t xml:space="preserve">Notes: US/EU growth paths are analyst scenarios built around (i) LEO Pharma's dersimelagon NDA (priority review, FDA decision expected by end-Feb-2027), (ii) Disc Medicine's bitopertin (CRL 13-Feb-2026; APOLLO Phase 3 topline Q4 2026; decision mid-2027), (iii) EU year-round dosing (Sep-2025) and Canada approval (Jul-2026). FY27E costs follow the company's FY26-28 budget (avg A$55-58m p.a. ex-CBM, per PCR note Mar-2026).</t>
  </si>
  <si>
    <t xml:space="preserve">Financing cases (FINCASE)</t>
  </si>
  <si>
    <t xml:space="preserve">Running output = OFFSET(case-1 cell, (FINCASE-1) x FinStep). Terms are indicative specialist private-credit terms for a single-product orphan asset (no term sheet).</t>
  </si>
  <si>
    <t xml:space="preserve">Running financing case (FINCASE)</t>
  </si>
  <si>
    <t xml:space="preserve">FinStep (rows between case blocks)</t>
  </si>
  <si>
    <t xml:space="preserve">Running financing assumptions (output - do not edit)</t>
  </si>
  <si>
    <t xml:space="preserve">Case name</t>
  </si>
  <si>
    <t xml:space="preserve">Unitranche term loan (x FY27E Adj. EBITDA)</t>
  </si>
  <si>
    <t xml:space="preserve">Leverage sized on FY27E (status-quo) Adj. EBITDA, i.e. before sponsor cost-out; 5% amortisation reflects lender caution on a single product facing new entrants.</t>
  </si>
  <si>
    <t xml:space="preserve">Term loan margin over base rate</t>
  </si>
  <si>
    <t xml:space="preserve">Term loan base-rate floor</t>
  </si>
  <si>
    <t xml:space="preserve">Term loan upfront fee / OID</t>
  </si>
  <si>
    <t xml:space="preserve">Term loan mandatory amortisation (% p.a.)</t>
  </si>
  <si>
    <t xml:space="preserve">Term loan tenor (years)</t>
  </si>
  <si>
    <t xml:space="preserve">HoldCo PIK notes (x FY27E Adj. EBITDA)</t>
  </si>
  <si>
    <t xml:space="preserve">PIK coupon</t>
  </si>
  <si>
    <t xml:space="preserve">PIK upfront fee</t>
  </si>
  <si>
    <t xml:space="preserve">PIK tenor (years)</t>
  </si>
  <si>
    <t xml:space="preserve">Revolver commitment (A$m)</t>
  </si>
  <si>
    <t xml:space="preserve">Revolver margin</t>
  </si>
  <si>
    <t xml:space="preserve">Revolver commitment fee (on undrawn)</t>
  </si>
  <si>
    <t xml:space="preserve">Revolver upfront fee</t>
  </si>
  <si>
    <t xml:space="preserve">Revolver tenor (years)</t>
  </si>
  <si>
    <t xml:space="preserve">Covenant: max net debt / EBITDA</t>
  </si>
  <si>
    <t xml:space="preserve">Covenant: min EBITDA / cash interest</t>
  </si>
  <si>
    <t xml:space="preserve">Financing case 1: Base (specialist private credit)</t>
  </si>
  <si>
    <t xml:space="preserve">Base (specialist private credit)</t>
  </si>
  <si>
    <t xml:space="preserve">Financing case 2: High leverage (+ HoldCo PIK)</t>
  </si>
  <si>
    <t xml:space="preserve">High leverage (+ HoldCo PIK)</t>
  </si>
  <si>
    <t xml:space="preserve">Financing case 3: Low leverage</t>
  </si>
  <si>
    <t xml:space="preserve">Low leverage</t>
  </si>
  <si>
    <t xml:space="preserve">Financing case 4: No acquisition debt (cash-box)</t>
  </si>
  <si>
    <t xml:space="preserve">No acquisition debt (cash-box)</t>
  </si>
  <si>
    <t xml:space="preserve">Project Daylight - Clinuvel Pharmaceuticals take-private: screening LBO</t>
  </si>
  <si>
    <t xml:space="preserve">A$ millions unless stated | FYE 30 June | Close assumed 30-Jun-2027 (end FY27E) | 5-year hold to FY32E | blue = input, black = formula, green = link</t>
  </si>
  <si>
    <t xml:space="preserve">CIRC switch (1 = average-balance interest; iterative calc on)</t>
  </si>
  <si>
    <t xml:space="preserve">Running master case (MCASE)</t>
  </si>
  <si>
    <t xml:space="preserve">Operating case / financing case</t>
  </si>
  <si>
    <t xml:space="preserve">Operating case description</t>
  </si>
  <si>
    <t xml:space="preserve">Timeline</t>
  </si>
  <si>
    <t xml:space="preserve">Fiscal year</t>
  </si>
  <si>
    <t xml:space="preserve">FY26A</t>
  </si>
  <si>
    <t xml:space="preserve">Period end</t>
  </si>
  <si>
    <t xml:space="preserve">Period</t>
  </si>
  <si>
    <t xml:space="preserve">Actual</t>
  </si>
  <si>
    <t xml:space="preserve">Status quo</t>
  </si>
  <si>
    <t xml:space="preserve">Sponsor</t>
  </si>
  <si>
    <t xml:space="preserve">Years since close</t>
  </si>
  <si>
    <t xml:space="preserve">Transaction assumptions</t>
  </si>
  <si>
    <t xml:space="preserve">Undisturbed share price (A$)</t>
  </si>
  <si>
    <t xml:space="preserve">ASX close 1-Sep-2026 (A$9.18 on 27-Aug results day, -12.7%); CUVL US$5.85 on 16-Sep</t>
  </si>
  <si>
    <t xml:space="preserve">MCASE running row</t>
  </si>
  <si>
    <t xml:space="preserve">Premium to undisturbed</t>
  </si>
  <si>
    <t xml:space="preserve">Basic shares outstanding (m)</t>
  </si>
  <si>
    <t xml:space="preserve">Derived: Vanguard 2,523,018 sh = 5.003% (Form 603, 14-Aug-2026)</t>
  </si>
  <si>
    <t xml:space="preserve">Dilutive securities (m)</t>
  </si>
  <si>
    <t xml:space="preserve">EST: performance rights; CEO holds no LTI (Jul-2026 terms)</t>
  </si>
  <si>
    <t xml:space="preserve">Fully diluted shares (m)</t>
  </si>
  <si>
    <t xml:space="preserve">Equity purchase price</t>
  </si>
  <si>
    <t xml:space="preserve">Clinuvel cash at close (pre-deal, FY27E)</t>
  </si>
  <si>
    <t xml:space="preserve">Status-quo FY27E closing cash (cash flow section)</t>
  </si>
  <si>
    <t xml:space="preserve">Existing debt refinanced</t>
  </si>
  <si>
    <t xml:space="preserve">No borrowings (leases ignored)</t>
  </si>
  <si>
    <t xml:space="preserve">Minimum operating cash retained</t>
  </si>
  <si>
    <t xml:space="preserve">Named MIN_CASH</t>
  </si>
  <si>
    <t xml:space="preserve">Clinuvel cash applied to the transaction</t>
  </si>
  <si>
    <t xml:space="preserve">Implied transaction enterprise value (TEV)</t>
  </si>
  <si>
    <t xml:space="preserve">LTM Adj. EBITDA at close (FY27E, status quo)</t>
  </si>
  <si>
    <t xml:space="preserve">FY26A Adj. EBITDA</t>
  </si>
  <si>
    <t xml:space="preserve">FY28E Adj. EBITDA (first sponsor year)</t>
  </si>
  <si>
    <t xml:space="preserve">TEV / LTM (FY27E) Adj. EBITDA</t>
  </si>
  <si>
    <t xml:space="preserve">TEV / FY26A Adj. EBITDA</t>
  </si>
  <si>
    <t xml:space="preserve">TEV / FY28E Adj. EBITDA (post cost-out)</t>
  </si>
  <si>
    <t xml:space="preserve">TEV / FY27E revenue</t>
  </si>
  <si>
    <t xml:space="preserve">Equity purchase price / FY26A NPAT</t>
  </si>
  <si>
    <t xml:space="preserve">Cash per fully diluted share at close (A$)</t>
  </si>
  <si>
    <t xml:space="preserve">Transaction expenses (% of equity purchase price)</t>
  </si>
  <si>
    <t xml:space="preserve">Transaction expenses</t>
  </si>
  <si>
    <t xml:space="preserve">Advisers, legal, IER, scheme, FIRB/ACCC, US counsel</t>
  </si>
  <si>
    <t xml:space="preserve">Management rollover (% of equity purchase price)</t>
  </si>
  <si>
    <t xml:space="preserve">Management rollover</t>
  </si>
  <si>
    <t xml:space="preserve">Exit multiple (x LTM Adj. EBITDA)</t>
  </si>
  <si>
    <t xml:space="preserve">Exit costs (% of TEV)</t>
  </si>
  <si>
    <t xml:space="preserve">Sell-side fees at exit, % of TEV</t>
  </si>
  <si>
    <t xml:space="preserve">Tax rate</t>
  </si>
  <si>
    <t xml:space="preserve">FY25 29.8%, FY26 28.9% effective; US redomicile may lower</t>
  </si>
  <si>
    <t xml:space="preserve">Interest yield on cash</t>
  </si>
  <si>
    <t xml:space="preserve">Yield on cash (H1 FY26 interest A$5.3m on ~A$230m)</t>
  </si>
  <si>
    <t xml:space="preserve">Dividend paid in FY27E (A$/sh)</t>
  </si>
  <si>
    <t xml:space="preserve">FY26 final dividend paid 18-Sep-2026 (fully franked)</t>
  </si>
  <si>
    <t xml:space="preserve">D&amp;A run-rate</t>
  </si>
  <si>
    <t xml:space="preserve">D&amp;A run-rate (EST)</t>
  </si>
  <si>
    <t xml:space="preserve">Incremental US HQ / Nasdaq run-rate cost</t>
  </si>
  <si>
    <t xml:space="preserve">EST: incremental US HQ / Nasdaq / SEC run-rate cost from FY27</t>
  </si>
  <si>
    <t xml:space="preserve">Excess-cash distribution to equity (once debt repaid)</t>
  </si>
  <si>
    <t xml:space="preserve">Share of excess cash distributed to equity once debt repaid</t>
  </si>
  <si>
    <t xml:space="preserve">Debt sizing increment (A$m)</t>
  </si>
  <si>
    <t xml:space="preserve">Debt sizing rounding increment</t>
  </si>
  <si>
    <t xml:space="preserve">Financing assumptions (from FINCASE)</t>
  </si>
  <si>
    <t xml:space="preserve">Tranche</t>
  </si>
  <si>
    <t xml:space="preserve">Lev. (x)</t>
  </si>
  <si>
    <t xml:space="preserve">Margin/cpn</t>
  </si>
  <si>
    <t xml:space="preserve">Floor</t>
  </si>
  <si>
    <t xml:space="preserve">Fee %</t>
  </si>
  <si>
    <t xml:space="preserve">Fee A$m</t>
  </si>
  <si>
    <t xml:space="preserve">Tenor</t>
  </si>
  <si>
    <t xml:space="preserve">Amort.</t>
  </si>
  <si>
    <t xml:space="preserve">Revolving credit facility (commitment; undrawn at close)</t>
  </si>
  <si>
    <t xml:space="preserve">Unitranche term loan</t>
  </si>
  <si>
    <t xml:space="preserve">HoldCo PIK notes</t>
  </si>
  <si>
    <t xml:space="preserve">Total funded debt / total fees</t>
  </si>
  <si>
    <t xml:space="preserve">Revolver drawn at close</t>
  </si>
  <si>
    <t xml:space="preserve">Sources &amp; uses at close (30-Jun-2027)</t>
  </si>
  <si>
    <t xml:space="preserve">Uses</t>
  </si>
  <si>
    <t xml:space="preserve">Purchase of equity (fully diluted)</t>
  </si>
  <si>
    <t xml:space="preserve">Refinance existing debt</t>
  </si>
  <si>
    <t xml:space="preserve">Financing fees</t>
  </si>
  <si>
    <t xml:space="preserve">Total uses</t>
  </si>
  <si>
    <t xml:space="preserve">Sources</t>
  </si>
  <si>
    <t xml:space="preserve">Clinuvel balance-sheet cash applied</t>
  </si>
  <si>
    <t xml:space="preserve">Revolver drawn</t>
  </si>
  <si>
    <t xml:space="preserve">Sponsor equity (plug)</t>
  </si>
  <si>
    <t xml:space="preserve">Total sources</t>
  </si>
  <si>
    <t xml:space="preserve">Check: sources less uses (should be 0)</t>
  </si>
  <si>
    <t xml:space="preserve">Total equity invested (sponsor + rollover)</t>
  </si>
  <si>
    <t xml:space="preserve">Equity / (equity + new debt)</t>
  </si>
  <si>
    <t xml:space="preserve">Equity / total sources</t>
  </si>
  <si>
    <t xml:space="preserve">PF net debt / LTM Adj. EBITDA</t>
  </si>
  <si>
    <t xml:space="preserve">Memo: equity invested excl. price-driven items (fees - cash applied - new debt)</t>
  </si>
  <si>
    <t xml:space="preserve">Invested(p) = p x FD shares x (1+fee%) + this</t>
  </si>
  <si>
    <t xml:space="preserve">Purchase accounting (simplified: excess over book to goodwill &amp; intangibles)</t>
  </si>
  <si>
    <t xml:space="preserve">Less: pre-deal book equity (FY27E)</t>
  </si>
  <si>
    <t xml:space="preserve">Goodwill &amp; intangibles created (plug)</t>
  </si>
  <si>
    <t xml:space="preserve">Pro forma closing balance sheet (30-Jun-2027)</t>
  </si>
  <si>
    <t xml:space="preserve">Pre-deal</t>
  </si>
  <si>
    <t xml:space="preserve">Adjust.</t>
  </si>
  <si>
    <t xml:space="preserve">PF close</t>
  </si>
  <si>
    <t xml:space="preserve">Cash</t>
  </si>
  <si>
    <t xml:space="preserve">Net working capital &amp; other</t>
  </si>
  <si>
    <t xml:space="preserve">PP&amp;E &amp; other non-current</t>
  </si>
  <si>
    <t xml:space="preserve">Goodwill &amp; intangibles (new)</t>
  </si>
  <si>
    <t xml:space="preserve">Capitalised financing fees</t>
  </si>
  <si>
    <t xml:space="preserve">Total assets</t>
  </si>
  <si>
    <t xml:space="preserve">Revolver</t>
  </si>
  <si>
    <t xml:space="preserve">Total debt</t>
  </si>
  <si>
    <t xml:space="preserve">Shareholders' equity</t>
  </si>
  <si>
    <t xml:space="preserve">Total liabilities &amp; equity</t>
  </si>
  <si>
    <t xml:space="preserve">Check: assets less L&amp;E (should be 0)</t>
  </si>
  <si>
    <t xml:space="preserve">Income statement</t>
  </si>
  <si>
    <t xml:space="preserve">SCENESSE revenue - United States</t>
  </si>
  <si>
    <t xml:space="preserve">SCENESSE revenue - Europe &amp; rest of world</t>
  </si>
  <si>
    <t xml:space="preserve">Other new products</t>
  </si>
  <si>
    <t xml:space="preserve">Total revenue</t>
  </si>
  <si>
    <t xml:space="preserve">  growth</t>
  </si>
  <si>
    <t xml:space="preserve">  US share of revenue</t>
  </si>
  <si>
    <t xml:space="preserve">Cost of goods, supply &amp; distribution</t>
  </si>
  <si>
    <t xml:space="preserve">Gross profit</t>
  </si>
  <si>
    <t xml:space="preserve">  gross margin</t>
  </si>
  <si>
    <t xml:space="preserve">Core SCENESSE commercial, medical, PV &amp; regulatory</t>
  </si>
  <si>
    <t xml:space="preserve">Competitive-defence spend</t>
  </si>
  <si>
    <t xml:space="preserve">Corporate, listing &amp; G&amp;A (status-quo run-rate)</t>
  </si>
  <si>
    <t xml:space="preserve">Incremental US HQ / Nasdaq / SEC costs</t>
  </si>
  <si>
    <t xml:space="preserve">Sponsor corporate cost savings</t>
  </si>
  <si>
    <t xml:space="preserve">Communications, branding, marketing &amp; consumer</t>
  </si>
  <si>
    <t xml:space="preserve">Vitiligo clinical program</t>
  </si>
  <si>
    <t xml:space="preserve">Other R&amp;D (Singapore, PRENUMBRA, NEURACTHEL, XP/VP)</t>
  </si>
  <si>
    <t xml:space="preserve">Vitiligo launch &amp; commercial</t>
  </si>
  <si>
    <t xml:space="preserve">Total operating expenses (ex-D&amp;A)</t>
  </si>
  <si>
    <t xml:space="preserve">Adjusted EBITDA</t>
  </si>
  <si>
    <t xml:space="preserve">  Adj. EBITDA margin</t>
  </si>
  <si>
    <t xml:space="preserve">  memo: discretionary pipeline &amp; CBM spend</t>
  </si>
  <si>
    <t xml:space="preserve">Non-recurring items</t>
  </si>
  <si>
    <t xml:space="preserve">Reported EBITDA</t>
  </si>
  <si>
    <t xml:space="preserve">Depreciation &amp; amortisation</t>
  </si>
  <si>
    <t xml:space="preserve">EBIT</t>
  </si>
  <si>
    <t xml:space="preserve">Interest &amp; other income</t>
  </si>
  <si>
    <t xml:space="preserve">Cash interest expense</t>
  </si>
  <si>
    <t xml:space="preserve">Non-cash interest (PIK + fee amortisation)</t>
  </si>
  <si>
    <t xml:space="preserve">Income tax</t>
  </si>
  <si>
    <t xml:space="preserve">Net income</t>
  </si>
  <si>
    <t xml:space="preserve">  check: FY26A NPAT vs reported (should be 0)</t>
  </si>
  <si>
    <t xml:space="preserve">Balance sheet (FY27E column = pro forma post-close)</t>
  </si>
  <si>
    <t xml:space="preserve">PF FY27E</t>
  </si>
  <si>
    <t xml:space="preserve">PP&amp;E &amp; other non-current (derived FY26A)</t>
  </si>
  <si>
    <t xml:space="preserve">Goodwill &amp; intangibles</t>
  </si>
  <si>
    <t xml:space="preserve">Cash flow statement (FY27E = status quo pre-close; FY28E+ = sponsor ownership)</t>
  </si>
  <si>
    <t xml:space="preserve">Add: D&amp;A</t>
  </si>
  <si>
    <t xml:space="preserve">Add: non-cash interest</t>
  </si>
  <si>
    <t xml:space="preserve">(Increase) / decrease in NWC</t>
  </si>
  <si>
    <t xml:space="preserve">Cash flow from operations</t>
  </si>
  <si>
    <t xml:space="preserve">Free cash flow (after interest &amp; tax)</t>
  </si>
  <si>
    <t xml:space="preserve">Dividends paid (status quo, pre-close)</t>
  </si>
  <si>
    <t xml:space="preserve">Mandatory debt amortisation</t>
  </si>
  <si>
    <t xml:space="preserve">Optional prepayment / (revolver draw)</t>
  </si>
  <si>
    <t xml:space="preserve">Distributions to equity holders</t>
  </si>
  <si>
    <t xml:space="preserve">Net change in cash</t>
  </si>
  <si>
    <t xml:space="preserve">Beginning cash (FY28E = PF cash after close)</t>
  </si>
  <si>
    <t xml:space="preserve">Ending cash</t>
  </si>
  <si>
    <t xml:space="preserve">Memo: cash available for debt repayment</t>
  </si>
  <si>
    <t xml:space="preserve">Memo: unlevered free cash flow</t>
  </si>
  <si>
    <t xml:space="preserve">Debt schedule</t>
  </si>
  <si>
    <t xml:space="preserve">Cash available for debt repayment</t>
  </si>
  <si>
    <t xml:space="preserve">Total mandatory amortisation</t>
  </si>
  <si>
    <t xml:space="preserve">Cash available for optional prepayment</t>
  </si>
  <si>
    <t xml:space="preserve">  Mandatory amortisation</t>
  </si>
  <si>
    <t xml:space="preserve">  Optional prepayment / (draw)</t>
  </si>
  <si>
    <t xml:space="preserve">  Ending balance</t>
  </si>
  <si>
    <t xml:space="preserve">  Optional prepayment (cash sweep)</t>
  </si>
  <si>
    <t xml:space="preserve">  PIK interest accrued</t>
  </si>
  <si>
    <t xml:space="preserve">  Optional prepayment</t>
  </si>
  <si>
    <t xml:space="preserve">Total optional prepayment / (draw)</t>
  </si>
  <si>
    <t xml:space="preserve">Total debt outstanding</t>
  </si>
  <si>
    <t xml:space="preserve">Interest expense schedule</t>
  </si>
  <si>
    <t xml:space="preserve">Base rate (BBSY / SOFR proxy)</t>
  </si>
  <si>
    <t xml:space="preserve">ASSUMPTION: flat curve</t>
  </si>
  <si>
    <t xml:space="preserve">Revolver: average drawn balance</t>
  </si>
  <si>
    <t xml:space="preserve">Revolver: interest + commitment fee</t>
  </si>
  <si>
    <t xml:space="preserve">Term loan: average balance</t>
  </si>
  <si>
    <t xml:space="preserve">Term loan: all-in rate</t>
  </si>
  <si>
    <t xml:space="preserve">Term loan: cash interest</t>
  </si>
  <si>
    <t xml:space="preserve">PIK notes: average balance</t>
  </si>
  <si>
    <t xml:space="preserve">PIK notes: interest accrued (non-cash)</t>
  </si>
  <si>
    <t xml:space="preserve">Total cash interest expense</t>
  </si>
  <si>
    <t xml:space="preserve">Fee amortisation - revolver</t>
  </si>
  <si>
    <t xml:space="preserve">Fee amortisation - term loan</t>
  </si>
  <si>
    <t xml:space="preserve">Fee amortisation - PIK notes</t>
  </si>
  <si>
    <t xml:space="preserve">Total financing fee amortisation</t>
  </si>
  <si>
    <t xml:space="preserve">Total non-cash interest</t>
  </si>
  <si>
    <t xml:space="preserve">Total interest expense</t>
  </si>
  <si>
    <t xml:space="preserve">Credit metrics</t>
  </si>
  <si>
    <t xml:space="preserve">Net debt / (net cash)</t>
  </si>
  <si>
    <t xml:space="preserve">LTM Adj. EBITDA</t>
  </si>
  <si>
    <t xml:space="preserve">Total debt / EBITDA</t>
  </si>
  <si>
    <t xml:space="preserve">Net debt / EBITDA</t>
  </si>
  <si>
    <t xml:space="preserve">EBITDA / cash interest</t>
  </si>
  <si>
    <t xml:space="preserve">(EBITDA - capex) / cash interest</t>
  </si>
  <si>
    <t xml:space="preserve">EBITDA / (cash interest + mandatory amortisation)</t>
  </si>
  <si>
    <t xml:space="preserve">Headroom to max net leverage covenant (x)</t>
  </si>
  <si>
    <t xml:space="preserve">Headroom to min interest cover covenant (x)</t>
  </si>
  <si>
    <t xml:space="preserve">Peak net debt / EBITDA over hold</t>
  </si>
  <si>
    <t xml:space="preserve">Minimum EBITDA / cash interest over hold</t>
  </si>
  <si>
    <t xml:space="preserve">Year in which funded debt is fully repaid</t>
  </si>
  <si>
    <t xml:space="preserve">Returns analysis</t>
  </si>
  <si>
    <t xml:space="preserve">Close</t>
  </si>
  <si>
    <t xml:space="preserve">Y1 FY28E</t>
  </si>
  <si>
    <t xml:space="preserve">Y2 FY29E</t>
  </si>
  <si>
    <t xml:space="preserve">Y3 FY30E</t>
  </si>
  <si>
    <t xml:space="preserve">Y4 FY31E</t>
  </si>
  <si>
    <t xml:space="preserve">Y5 FY32E</t>
  </si>
  <si>
    <t xml:space="preserve">Exit multiple</t>
  </si>
  <si>
    <t xml:space="preserve">Exit TEV</t>
  </si>
  <si>
    <t xml:space="preserve">Less: debt</t>
  </si>
  <si>
    <t xml:space="preserve">Plus: cash</t>
  </si>
  <si>
    <t xml:space="preserve">Less: exit costs</t>
  </si>
  <si>
    <t xml:space="preserve">Equity value at exit</t>
  </si>
  <si>
    <t xml:space="preserve">Distributions received in year</t>
  </si>
  <si>
    <t xml:space="preserve">Cumulative distributions</t>
  </si>
  <si>
    <t xml:space="preserve">Equity invested at close</t>
  </si>
  <si>
    <t xml:space="preserve">MoIC (exit in year)</t>
  </si>
  <si>
    <t xml:space="preserve">  IRR cash flows - exit in Y1</t>
  </si>
  <si>
    <t xml:space="preserve">  IRR cash flows - exit in Y2</t>
  </si>
  <si>
    <t xml:space="preserve">  IRR cash flows - exit in Y3</t>
  </si>
  <si>
    <t xml:space="preserve">  IRR cash flows - exit in Y4</t>
  </si>
  <si>
    <t xml:space="preserve">  IRR cash flows - exit in Y5</t>
  </si>
  <si>
    <t xml:space="preserve">IRR (exit in year)</t>
  </si>
  <si>
    <t xml:space="preserve">HEADLINE: 5-year MoIC</t>
  </si>
  <si>
    <t xml:space="preserve">HEADLINE: 5-year IRR</t>
  </si>
  <si>
    <t xml:space="preserve">Equity value at exit (Y5) + cumulative distributions</t>
  </si>
  <si>
    <t xml:space="preserve">Exit multiple sensitivity (exit in Y3 / Y4 / Y5)</t>
  </si>
  <si>
    <t xml:space="preserve">MoIC (upper) and IRR (lower)</t>
  </si>
  <si>
    <t xml:space="preserve">  MoIC at exit multiple</t>
  </si>
  <si>
    <t xml:space="preserve">  IRR at exit multiple</t>
  </si>
  <si>
    <t xml:space="preserve">  IRR helper cash flows by exit multiple and exit year</t>
  </si>
  <si>
    <t xml:space="preserve">    helper 3.0x / exit Y3</t>
  </si>
  <si>
    <t xml:space="preserve">    helper 3.0x / exit Y4</t>
  </si>
  <si>
    <t xml:space="preserve">    helper 3.0x / exit Y5</t>
  </si>
  <si>
    <t xml:space="preserve">    helper 4.0x / exit Y3</t>
  </si>
  <si>
    <t xml:space="preserve">    helper 4.0x / exit Y4</t>
  </si>
  <si>
    <t xml:space="preserve">    helper 4.0x / exit Y5</t>
  </si>
  <si>
    <t xml:space="preserve">    helper 5.0x / exit Y3</t>
  </si>
  <si>
    <t xml:space="preserve">    helper 5.0x / exit Y4</t>
  </si>
  <si>
    <t xml:space="preserve">    helper 5.0x / exit Y5</t>
  </si>
  <si>
    <t xml:space="preserve">    helper 6.0x / exit Y3</t>
  </si>
  <si>
    <t xml:space="preserve">    helper 6.0x / exit Y4</t>
  </si>
  <si>
    <t xml:space="preserve">    helper 6.0x / exit Y5</t>
  </si>
  <si>
    <t xml:space="preserve">    helper 7.0x / exit Y3</t>
  </si>
  <si>
    <t xml:space="preserve">    helper 7.0x / exit Y4</t>
  </si>
  <si>
    <t xml:space="preserve">    helper 7.0x / exit Y5</t>
  </si>
  <si>
    <t xml:space="preserve">    helper 8.0x / exit Y3</t>
  </si>
  <si>
    <t xml:space="preserve">    helper 8.0x / exit Y4</t>
  </si>
  <si>
    <t xml:space="preserve">    helper 8.0x / exit Y5</t>
  </si>
  <si>
    <t xml:space="preserve">    helper 9.0x / exit Y3</t>
  </si>
  <si>
    <t xml:space="preserve">    helper 9.0x / exit Y4</t>
  </si>
  <si>
    <t xml:space="preserve">    helper 9.0x / exit Y5</t>
  </si>
  <si>
    <t xml:space="preserve">Ability to pay (reverse LBO) - running case</t>
  </si>
  <si>
    <t xml:space="preserve">Max offer per share that still earns the hurdle IRR, given the running operating/financing case (Y5 exit). Cash flows include interim distributions.</t>
  </si>
  <si>
    <t xml:space="preserve">FY32E LTM Adj. EBITDA</t>
  </si>
  <si>
    <t xml:space="preserve">Max equity = NPV at the hurdle of distributions (Y1-Y4) plus Y5 distribution and exit equity. Max price = (max equity + cash applied + new debt - financing fees) / (1 + fee%) / FD shares. Debt and cash applied do not depend on price.</t>
  </si>
  <si>
    <t xml:space="preserve">FY32E debt</t>
  </si>
  <si>
    <t xml:space="preserve">FY32E cash</t>
  </si>
  <si>
    <t xml:space="preserve">Exit costs (% TEV)</t>
  </si>
  <si>
    <t xml:space="preserve">Interim distributions Y1-Y5 are discounted at each hurdle</t>
  </si>
  <si>
    <t xml:space="preserve">Clinuvel cash applied at close</t>
  </si>
  <si>
    <t xml:space="preserve">New debt raised at close</t>
  </si>
  <si>
    <t xml:space="preserve">Transaction expenses (% of equity price)</t>
  </si>
  <si>
    <t xml:space="preserve">Undisturbed price (A$)</t>
  </si>
  <si>
    <t xml:space="preserve">Pre-deal cash at close</t>
  </si>
  <si>
    <t xml:space="preserve">LTM (FY27E) Adj. EBITDA</t>
  </si>
  <si>
    <t xml:space="preserve">Max equity invested (A$m)</t>
  </si>
  <si>
    <t xml:space="preserve">Exit at 3.0x LTM EBITDA</t>
  </si>
  <si>
    <t xml:space="preserve">Exit at 4.0x LTM EBITDA</t>
  </si>
  <si>
    <t xml:space="preserve">Exit at 5.0x LTM EBITDA</t>
  </si>
  <si>
    <t xml:space="preserve">Exit at 6.0x LTM EBITDA</t>
  </si>
  <si>
    <t xml:space="preserve">Exit at 7.0x LTM EBITDA</t>
  </si>
  <si>
    <t xml:space="preserve">Exit at 8.0x LTM EBITDA</t>
  </si>
  <si>
    <t xml:space="preserve">Exit at 9.0x LTM EBITDA</t>
  </si>
  <si>
    <t xml:space="preserve">Max offer price per share (A$)</t>
  </si>
  <si>
    <t xml:space="preserve">Implied premium to undisturbed</t>
  </si>
  <si>
    <t xml:space="preserve">Implied TEV / LTM Adj. EBITDA</t>
  </si>
  <si>
    <t xml:space="preserve">ATP at the running exit multiple &amp; check</t>
  </si>
  <si>
    <t xml:space="preserve">Running exit multiple</t>
  </si>
  <si>
    <t xml:space="preserve">Max offer price at 15% IRR (A$/sh)</t>
  </si>
  <si>
    <t xml:space="preserve">Max offer price at 20% IRR (A$/sh)</t>
  </si>
  <si>
    <t xml:space="preserve">Max offer price at 25% IRR (A$/sh)</t>
  </si>
  <si>
    <t xml:space="preserve">Check: price implied at the model's own IRR less running offer (should be ~0)</t>
  </si>
  <si>
    <t xml:space="preserve">Value creation bridge - running case (entry at close to Y5 exit)</t>
  </si>
  <si>
    <t xml:space="preserve">Decomposes (exit equity + distributions - equity invested). Entry multiple is on status-quo FY27E EBITDA, so the EBITDA bucket includes the sponsor cost-out.</t>
  </si>
  <si>
    <t xml:space="preserve">Entry TEV (implied by offer)</t>
  </si>
  <si>
    <t xml:space="preserve">Reading the bridge: a declining single-product asset should show negative revenue effect and multiple contraction, offset by cost-out (margin effect) and cash generation. If most value comes from cash generation, the deal is a 'cash-box' harvest rather than an operational growth story.</t>
  </si>
  <si>
    <t xml:space="preserve">Entry LTM Adj. EBITDA (FY27E)</t>
  </si>
  <si>
    <t xml:space="preserve">Entry multiple</t>
  </si>
  <si>
    <t xml:space="preserve">Entry revenue (FY27E)</t>
  </si>
  <si>
    <t xml:space="preserve">Entry Adj. EBITDA margin</t>
  </si>
  <si>
    <t xml:space="preserve">Exit LTM Adj. EBITDA (FY32E)</t>
  </si>
  <si>
    <t xml:space="preserve">Exit revenue (FY32E)</t>
  </si>
  <si>
    <t xml:space="preserve">Exit Adj. EBITDA margin</t>
  </si>
  <si>
    <t xml:space="preserve">PF net debt at close</t>
  </si>
  <si>
    <t xml:space="preserve">Net debt at exit</t>
  </si>
  <si>
    <t xml:space="preserve">Entry fees (transaction + financing)</t>
  </si>
  <si>
    <t xml:space="preserve">Exit costs</t>
  </si>
  <si>
    <t xml:space="preserve">Equity invested</t>
  </si>
  <si>
    <t xml:space="preserve">Exit equity value</t>
  </si>
  <si>
    <t xml:space="preserve">Bridge</t>
  </si>
  <si>
    <t xml:space="preserve">% of total</t>
  </si>
  <si>
    <t xml:space="preserve">EBITDA growth: revenue effect  [(Rev1-Rev0) x margin0 x m0]</t>
  </si>
  <si>
    <t xml:space="preserve">EBITDA growth: margin effect  [(mgn1-mgn0) x Rev1 x m0]</t>
  </si>
  <si>
    <t xml:space="preserve">Multiple expansion / (contraction)  [(m1-m0) x EBITDA1]</t>
  </si>
  <si>
    <t xml:space="preserve">Deleveraging &amp; cash generation  [ND0 - ND1 + distributions]</t>
  </si>
  <si>
    <t xml:space="preserve">Entry fees</t>
  </si>
  <si>
    <t xml:space="preserve">Total value created</t>
  </si>
  <si>
    <t xml:space="preserve">Check: exit equity + distributions - invested - bridge (should be 0)</t>
  </si>
  <si>
    <t xml:space="preserve">Sensitivity &amp; case outputs</t>
  </si>
  <si>
    <t xml:space="preserve">Block A-B: live formulas (running case; helper cash flows in columns AL-AQ). Block C: self-referencing capture cells - run every MCASE (model/run_cases.py or cycle MCASE in Excel with iteration on). Blocks D-F read the captured values.</t>
  </si>
  <si>
    <t xml:space="preserve">Block A helper: cash flows (t=0..5) per price x multiple</t>
  </si>
  <si>
    <t xml:space="preserve">Block F helper: cash flows per price x op case (base financing)</t>
  </si>
  <si>
    <t xml:space="preserve">Block A: IRR - offer price (rows) x exit multiple (columns), running operating &amp; financing case, exit Y5</t>
  </si>
  <si>
    <t xml:space="preserve">Offer (A$/sh) | premium</t>
  </si>
  <si>
    <t xml:space="preserve">Block B: MoIC - offer price x exit multiple (running case, exit Y5)</t>
  </si>
  <si>
    <t xml:space="preserve">Block C: case capture table (self-referencing IF: each row snapshots the model when MCASE = its case #)</t>
  </si>
  <si>
    <t xml:space="preserve">Case</t>
  </si>
  <si>
    <t xml:space="preserve">Label</t>
  </si>
  <si>
    <t xml:space="preserve">Offer A$/sh</t>
  </si>
  <si>
    <t xml:space="preserve">Premium</t>
  </si>
  <si>
    <t xml:space="preserve">TEV / LTM EBITDA</t>
  </si>
  <si>
    <t xml:space="preserve">TEV / FY28E EBITDA</t>
  </si>
  <si>
    <t xml:space="preserve">Equity % (eq+new debt)</t>
  </si>
  <si>
    <t xml:space="preserve">New debt</t>
  </si>
  <si>
    <t xml:space="preserve">FY28E revenue</t>
  </si>
  <si>
    <t xml:space="preserve">FY29E SCENESSE revenue</t>
  </si>
  <si>
    <t xml:space="preserve">FY32E revenue</t>
  </si>
  <si>
    <t xml:space="preserve">FY27E Adj. EBITDA</t>
  </si>
  <si>
    <t xml:space="preserve">FY28E Adj. EBITDA</t>
  </si>
  <si>
    <t xml:space="preserve">FY32E Adj. EBITDA</t>
  </si>
  <si>
    <t xml:space="preserve">Cum. distributions</t>
  </si>
  <si>
    <t xml:space="preserve">Exit equity (Y5)</t>
  </si>
  <si>
    <t xml:space="preserve">MoIC (Y5)</t>
  </si>
  <si>
    <t xml:space="preserve">IRR (Y5)</t>
  </si>
  <si>
    <t xml:space="preserve">Peak net lev.</t>
  </si>
  <si>
    <t xml:space="preserve">Min EBITDA/interest</t>
  </si>
  <si>
    <t xml:space="preserve">ATP @20% (A$/sh)</t>
  </si>
  <si>
    <t xml:space="preserve">ATP @25% (A$/sh)</t>
  </si>
  <si>
    <t xml:space="preserve">Non-price inv. component</t>
  </si>
  <si>
    <t xml:space="preserve">Dist Y1</t>
  </si>
  <si>
    <t xml:space="preserve">Dist Y2</t>
  </si>
  <si>
    <t xml:space="preserve">Dist Y3</t>
  </si>
  <si>
    <t xml:space="preserve">Dist Y4</t>
  </si>
  <si>
    <t xml:space="preserve">Dist Y5</t>
  </si>
  <si>
    <t xml:space="preserve">Block D: IRR and MoIC by operating case (rows) x financing case (columns) at the base offer</t>
  </si>
  <si>
    <t xml:space="preserve">Base</t>
  </si>
  <si>
    <t xml:space="preserve">High leverage</t>
  </si>
  <si>
    <t xml:space="preserve">No acquisition debt</t>
  </si>
  <si>
    <t xml:space="preserve">1. Downside</t>
  </si>
  <si>
    <t xml:space="preserve">2. Conservative</t>
  </si>
  <si>
    <t xml:space="preserve">3. Sponsor base</t>
  </si>
  <si>
    <t xml:space="preserve">4. Orals underwhelm</t>
  </si>
  <si>
    <t xml:space="preserve">5. Upside (vitiligo)</t>
  </si>
  <si>
    <t xml:space="preserve">Block E: probability-weighted outcome (base financing, base offer) - illustrative weights</t>
  </si>
  <si>
    <t xml:space="preserve">Operating case</t>
  </si>
  <si>
    <t xml:space="preserve">Probability</t>
  </si>
  <si>
    <t xml:space="preserve">IRR</t>
  </si>
  <si>
    <t xml:space="preserve">MoIC</t>
  </si>
  <si>
    <t xml:space="preserve">Exit eq.+dist.</t>
  </si>
  <si>
    <t xml:space="preserve">ATP @20%</t>
  </si>
  <si>
    <t xml:space="preserve">Probability-weighted</t>
  </si>
  <si>
    <t xml:space="preserve">(IRR/MoIC here = probability-weighted averages)</t>
  </si>
  <si>
    <t xml:space="preserve">Expected cash flows to equity, t = 0..5 (A$m)</t>
  </si>
  <si>
    <t xml:space="preserve">IRR / MoIC of expected cash flows</t>
  </si>
  <si>
    <t xml:space="preserve">Block F: IRR by offer price (rows) x operating case (columns), base financing - from captured case cash flows</t>
  </si>
  <si>
    <t xml:space="preserve">Expected (prob.-wtd flows)</t>
  </si>
  <si>
    <t xml:space="preserve">Note: IRRs include interim distributions (cash above minimum cash once debt is repaid). Case exit multiples: Downside 3.5x, Conservative 4.5x, Sponsor base 5.5x, Orals underwhelm 7.0x, Upside (vitiligo) 9.0x.</t>
  </si>
  <si>
    <t xml:space="preserve">Contingent value rights (CVR) - bridging the bid-ask on competition and vitiligo</t>
  </si>
  <si>
    <t xml:space="preserve">Illustrative. CVR 1 pays if SCENESSE holds up (FY29 EPP revenue threshold); CVR 2 pays on vitiligo approval.</t>
  </si>
  <si>
    <t xml:space="preserve">Inputs</t>
  </si>
  <si>
    <t xml:space="preserve">Design logic: CVR 1 transfers the dersimelagon/bitopertin outcome risk back to sellers - it only pays in the cases where SCENESSE revenue holds up, i.e. when the sponsor can afford it. CVR 2 lets holders keep the vitiligo option without the sponsor funding CUV107 on spec. CVRs are uncommon in ASX schemes (need IER valuation and disclosure) but standard in US biotech M&amp;A; non-transferable CVRs avoid US registration.</t>
  </si>
  <si>
    <t xml:space="preserve">Cash offer per share (A$)</t>
  </si>
  <si>
    <t xml:space="preserve">CVR 1: payment per share (A$) if FY29E SCENESSE revenue &gt;= threshold</t>
  </si>
  <si>
    <t xml:space="preserve">CVR 1: FY29E SCENESSE revenue threshold (A$m)</t>
  </si>
  <si>
    <t xml:space="preserve">CVR 1: years from close to payment</t>
  </si>
  <si>
    <t xml:space="preserve">CVR 2: payment per share (A$) on FDA/EC vitiligo approval by 30-Jun-2030</t>
  </si>
  <si>
    <t xml:space="preserve">CVR 2: probability of approval by 30-Jun-2030 (unconditional, incl. CUV105 risk)</t>
  </si>
  <si>
    <t xml:space="preserve">CVR 2: years from close to payment</t>
  </si>
  <si>
    <t xml:space="preserve">Discount rate for CVR valuation</t>
  </si>
  <si>
    <t xml:space="preserve">CVR 1 trigger by operating case (captured FY29E SCENESSE revenue)</t>
  </si>
  <si>
    <t xml:space="preserve">Prob.</t>
  </si>
  <si>
    <t xml:space="preserve">FY29E SCEN.</t>
  </si>
  <si>
    <t xml:space="preserve">Triggers?</t>
  </si>
  <si>
    <t xml:space="preserve">Valuation</t>
  </si>
  <si>
    <t xml:space="preserve">CVR 1 probability (sum of triggering case weights)</t>
  </si>
  <si>
    <t xml:space="preserve">CVR 1 expected PV per share (A$)</t>
  </si>
  <si>
    <t xml:space="preserve">CVR 2 expected PV per share (A$)</t>
  </si>
  <si>
    <t xml:space="preserve">Headline value per share: cash + CVR face (A$)</t>
  </si>
  <si>
    <t xml:space="preserve">Risk-adjusted value per share: cash + expected PV of CVRs (A$)</t>
  </si>
  <si>
    <t xml:space="preserve">Expected PV cost to sponsor (A$m)</t>
  </si>
  <si>
    <t xml:space="preserve">Maximum CVR payout (A$m, undiscounted)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</si>
</sst>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&quot;A$&quot;0.00;&quot;(A$&quot;0.00\);\-"/>
    <numFmt numFmtId="167" formatCode="0.0%;\(0.0%\);\-"/>
    <numFmt numFmtId="168" formatCode="#,##0.0;\(#,##0.0\);\-"/>
    <numFmt numFmtId="169" formatCode="0.0\x;\(0.0&quot;x)&quot;;\-"/>
    <numFmt numFmtId="170" formatCode="0.00\x;\(0.00&quot;x)&quot;;\-"/>
    <numFmt numFmtId="171" formatCode="0.000"/>
    <numFmt numFmtId="172" formatCode="0.00%;\(0.00%\);\-"/>
    <numFmt numFmtId="173" formatCode="dd\-mmm\-yy"/>
    <numFmt numFmtId="174" formatCode="#,##0.00"/>
    <numFmt numFmtId="175" formatCode="0%&quot; IRR&quot;"/>
    <numFmt numFmtId="176" formatCode="0.0000"/>
    <numFmt numFmtId="177" formatCode="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9"/>
      <color rgb="FF7F7F7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0000FF"/>
      <name val="Arial"/>
      <family val="0"/>
      <charset val="1"/>
    </font>
    <font>
      <i val="true"/>
      <sz val="8"/>
      <color rgb="FF008000"/>
      <name val="Arial"/>
      <family val="0"/>
      <charset val="1"/>
    </font>
    <font>
      <i val="true"/>
      <sz val="9"/>
      <color rgb="FF008000"/>
      <name val="Arial"/>
      <family val="0"/>
      <charset val="1"/>
    </font>
    <font>
      <i val="true"/>
      <sz val="7"/>
      <color rgb="FF7F7F7F"/>
      <name val="Arial"/>
      <family val="0"/>
      <charset val="1"/>
    </font>
    <font>
      <i val="true"/>
      <sz val="7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7"/>
      <color rgb="FF008000"/>
      <name val="Arial"/>
      <family val="0"/>
      <charset val="1"/>
    </font>
    <font>
      <sz val="8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595959"/>
        <bgColor rgb="FF7F7F7F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4B0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E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4" min="3" style="0" width="16"/>
    <col collapsed="false" customWidth="true" hidden="false" outlineLevel="0" max="5" min="5" style="0" width="6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0</v>
      </c>
      <c r="C2" s="2"/>
      <c r="D2" s="2"/>
      <c r="E2" s="2"/>
    </row>
    <row r="3" customFormat="false" ht="12.75" hidden="false" customHeight="true" outlineLevel="0" collapsed="false">
      <c r="B3" s="3" t="s">
        <v>1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4" t="s">
        <v>2</v>
      </c>
      <c r="C5" s="5" t="s">
        <v>3</v>
      </c>
    </row>
    <row r="6" customFormat="false" ht="12.75" hidden="false" customHeight="true" outlineLevel="0" collapsed="false">
      <c r="B6" s="6" t="s">
        <v>4</v>
      </c>
      <c r="C6" s="7" t="n">
        <f aca="false">MCASE</f>
        <v>3</v>
      </c>
    </row>
    <row r="7" customFormat="false" ht="12.75" hidden="false" customHeight="true" outlineLevel="0" collapsed="false">
      <c r="B7" s="6" t="s">
        <v>5</v>
      </c>
      <c r="C7" s="8" t="str">
        <f aca="false">MCASE!C8</f>
        <v>Sponsor base | Base</v>
      </c>
    </row>
    <row r="8" customFormat="false" ht="12.75" hidden="false" customHeight="true" outlineLevel="0" collapsed="false"/>
    <row r="9" customFormat="false" ht="12.75" hidden="false" customHeight="true" outlineLevel="0" collapsed="false">
      <c r="B9" s="9" t="s">
        <v>6</v>
      </c>
      <c r="C9" s="10"/>
      <c r="D9" s="10"/>
      <c r="E9" s="10"/>
    </row>
    <row r="10" customFormat="false" ht="12.75" hidden="false" customHeight="true" outlineLevel="0" collapsed="false">
      <c r="B10" s="6" t="s">
        <v>7</v>
      </c>
      <c r="C10" s="11" t="n">
        <f aca="false">LBO!D19</f>
        <v>10.75</v>
      </c>
    </row>
    <row r="11" customFormat="false" ht="12.75" hidden="false" customHeight="true" outlineLevel="0" collapsed="false">
      <c r="B11" s="6" t="s">
        <v>8</v>
      </c>
      <c r="C11" s="12" t="n">
        <f aca="false">LBO!D20</f>
        <v>0.304611650485437</v>
      </c>
    </row>
    <row r="12" customFormat="false" ht="12.75" hidden="false" customHeight="true" outlineLevel="0" collapsed="false">
      <c r="B12" s="6" t="s">
        <v>9</v>
      </c>
      <c r="C12" s="13" t="n">
        <f aca="false">LBO!D24</f>
        <v>544.81</v>
      </c>
    </row>
    <row r="13" customFormat="false" ht="12.75" hidden="false" customHeight="true" outlineLevel="0" collapsed="false">
      <c r="B13" s="6" t="s">
        <v>10</v>
      </c>
      <c r="C13" s="13" t="n">
        <f aca="false">LBO!D29</f>
        <v>269.340963330972</v>
      </c>
    </row>
    <row r="14" customFormat="false" ht="12.75" hidden="false" customHeight="true" outlineLevel="0" collapsed="false">
      <c r="B14" s="6" t="s">
        <v>11</v>
      </c>
      <c r="C14" s="14" t="n">
        <f aca="false">LBO!D33</f>
        <v>7.37982680651733</v>
      </c>
    </row>
    <row r="15" customFormat="false" ht="12.75" hidden="false" customHeight="true" outlineLevel="0" collapsed="false">
      <c r="B15" s="6" t="s">
        <v>12</v>
      </c>
      <c r="C15" s="14" t="n">
        <f aca="false">LBO!D35</f>
        <v>4.68415559981483</v>
      </c>
    </row>
    <row r="16" customFormat="false" ht="12.75" hidden="false" customHeight="true" outlineLevel="0" collapsed="false">
      <c r="B16" s="6" t="s">
        <v>13</v>
      </c>
      <c r="C16" s="13" t="n">
        <f aca="false">LBO!D28</f>
        <v>235.469036669028</v>
      </c>
    </row>
    <row r="17" customFormat="false" ht="12.75" hidden="false" customHeight="true" outlineLevel="0" collapsed="false">
      <c r="B17" s="6" t="s">
        <v>14</v>
      </c>
      <c r="C17" s="13" t="n">
        <f aca="false">LBO!D74+LBO!D75</f>
        <v>75</v>
      </c>
    </row>
    <row r="18" customFormat="false" ht="12.75" hidden="false" customHeight="true" outlineLevel="0" collapsed="false">
      <c r="B18" s="6" t="s">
        <v>15</v>
      </c>
      <c r="C18" s="13" t="n">
        <f aca="false">LBO!D80</f>
        <v>251.398238330972</v>
      </c>
    </row>
    <row r="19" customFormat="false" ht="12.75" hidden="false" customHeight="true" outlineLevel="0" collapsed="false">
      <c r="B19" s="6" t="s">
        <v>16</v>
      </c>
      <c r="C19" s="15" t="n">
        <f aca="false">LBO!D255</f>
        <v>1.59296887315372</v>
      </c>
    </row>
    <row r="20" customFormat="false" ht="12.75" hidden="false" customHeight="true" outlineLevel="0" collapsed="false">
      <c r="B20" s="6" t="s">
        <v>17</v>
      </c>
      <c r="C20" s="12" t="n">
        <f aca="false">LBO!D256</f>
        <v>0.104373548503802</v>
      </c>
    </row>
    <row r="21" customFormat="false" ht="12.75" hidden="false" customHeight="true" outlineLevel="0" collapsed="false">
      <c r="B21" s="6" t="s">
        <v>18</v>
      </c>
      <c r="C21" s="11" t="n">
        <f aca="false">ATP!C58</f>
        <v>9.20407339186173</v>
      </c>
    </row>
    <row r="22" customFormat="false" ht="12.75" hidden="false" customHeight="true" outlineLevel="0" collapsed="false">
      <c r="B22" s="6" t="s">
        <v>19</v>
      </c>
      <c r="C22" s="16" t="n">
        <f aca="false">ROUND(ABS(LBO!D79)+SUMPRODUCT(ABS(LBO!G158:M158))+ABS(LBO!I105)+ABS(Contrib!C31)+ABS(ATP!C60),3)</f>
        <v>0</v>
      </c>
    </row>
    <row r="23" customFormat="false" ht="12.75" hidden="false" customHeight="true" outlineLevel="0" collapsed="false"/>
    <row r="24" customFormat="false" ht="12.75" hidden="false" customHeight="true" outlineLevel="0" collapsed="false">
      <c r="B24" s="9" t="s">
        <v>20</v>
      </c>
      <c r="C24" s="10"/>
      <c r="D24" s="10"/>
      <c r="E24" s="10"/>
    </row>
    <row r="25" customFormat="false" ht="12.75" hidden="false" customHeight="true" outlineLevel="0" collapsed="false">
      <c r="B25" s="4" t="s">
        <v>21</v>
      </c>
      <c r="C25" s="6" t="s">
        <v>22</v>
      </c>
    </row>
    <row r="26" customFormat="false" ht="12.75" hidden="false" customHeight="true" outlineLevel="0" collapsed="false">
      <c r="B26" s="4" t="s">
        <v>23</v>
      </c>
      <c r="C26" s="6" t="s">
        <v>24</v>
      </c>
    </row>
    <row r="27" customFormat="false" ht="12.75" hidden="false" customHeight="true" outlineLevel="0" collapsed="false">
      <c r="B27" s="4" t="s">
        <v>25</v>
      </c>
      <c r="C27" s="6" t="s">
        <v>26</v>
      </c>
    </row>
    <row r="28" customFormat="false" ht="12.75" hidden="false" customHeight="true" outlineLevel="0" collapsed="false">
      <c r="B28" s="4" t="s">
        <v>27</v>
      </c>
      <c r="C28" s="6" t="s">
        <v>28</v>
      </c>
    </row>
    <row r="29" customFormat="false" ht="12.75" hidden="false" customHeight="true" outlineLevel="0" collapsed="false">
      <c r="B29" s="4" t="s">
        <v>29</v>
      </c>
      <c r="C29" s="6" t="s">
        <v>30</v>
      </c>
    </row>
    <row r="30" customFormat="false" ht="12.75" hidden="false" customHeight="true" outlineLevel="0" collapsed="false">
      <c r="B30" s="4" t="s">
        <v>31</v>
      </c>
      <c r="C30" s="6" t="s">
        <v>32</v>
      </c>
    </row>
    <row r="31" customFormat="false" ht="12.75" hidden="false" customHeight="true" outlineLevel="0" collapsed="false">
      <c r="B31" s="4" t="s">
        <v>33</v>
      </c>
      <c r="C31" s="6" t="s">
        <v>34</v>
      </c>
    </row>
    <row r="32" customFormat="false" ht="12.75" hidden="false" customHeight="true" outlineLevel="0" collapsed="false">
      <c r="B32" s="4" t="s">
        <v>35</v>
      </c>
      <c r="C32" s="6" t="s">
        <v>36</v>
      </c>
    </row>
    <row r="33" customFormat="false" ht="12.75" hidden="false" customHeight="true" outlineLevel="0" collapsed="false">
      <c r="B33" s="4" t="s">
        <v>37</v>
      </c>
      <c r="C33" s="6" t="s">
        <v>38</v>
      </c>
    </row>
    <row r="34" customFormat="false" ht="12.75" hidden="false" customHeight="true" outlineLevel="0" collapsed="false"/>
    <row r="35" customFormat="false" ht="12.75" hidden="false" customHeight="true" outlineLevel="0" collapsed="false">
      <c r="B35" s="9" t="s">
        <v>39</v>
      </c>
      <c r="C35" s="10"/>
      <c r="D35" s="10"/>
      <c r="E35" s="10"/>
    </row>
    <row r="36" customFormat="false" ht="12.75" hidden="false" customHeight="true" outlineLevel="0" collapsed="false">
      <c r="B36" s="17" t="s">
        <v>40</v>
      </c>
    </row>
    <row r="37" customFormat="false" ht="12.75" hidden="false" customHeight="true" outlineLevel="0" collapsed="false">
      <c r="B37" s="6" t="s">
        <v>41</v>
      </c>
    </row>
    <row r="38" customFormat="false" ht="12.75" hidden="false" customHeight="true" outlineLevel="0" collapsed="false">
      <c r="B38" s="8" t="s">
        <v>42</v>
      </c>
    </row>
    <row r="39" customFormat="false" ht="12.75" hidden="false" customHeight="true" outlineLevel="0" collapsed="false">
      <c r="B39" s="18" t="s">
        <v>43</v>
      </c>
    </row>
    <row r="40" customFormat="false" ht="12.75" hidden="false" customHeight="true" outlineLevel="0" collapsed="false">
      <c r="B40" s="18" t="s">
        <v>44</v>
      </c>
    </row>
    <row r="41" customFormat="false" ht="12.75" hidden="false" customHeight="true" outlineLevel="0" collapsed="false"/>
    <row r="42" customFormat="false" ht="12.75" hidden="false" customHeight="true" outlineLevel="0" collapsed="false">
      <c r="B42" s="9" t="s">
        <v>45</v>
      </c>
      <c r="C42" s="10"/>
      <c r="D42" s="10"/>
      <c r="E42" s="10"/>
    </row>
    <row r="43" customFormat="false" ht="12.75" hidden="false" customHeight="true" outlineLevel="0" collapsed="false">
      <c r="B43" s="19" t="s">
        <v>46</v>
      </c>
    </row>
    <row r="44" customFormat="false" ht="12.75" hidden="false" customHeight="true" outlineLevel="0" collapsed="false">
      <c r="B44" s="19" t="s">
        <v>47</v>
      </c>
    </row>
    <row r="45" customFormat="false" ht="12.75" hidden="false" customHeight="true" outlineLevel="0" collapsed="false">
      <c r="B45" s="19" t="s">
        <v>48</v>
      </c>
    </row>
    <row r="46" customFormat="false" ht="12.75" hidden="false" customHeight="true" outlineLevel="0" collapsed="false">
      <c r="B46" s="1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9" min="3" style="0" width="11"/>
    <col collapsed="false" customWidth="true" hidden="false" outlineLevel="0" max="10" min="10" style="0" width="2"/>
    <col collapsed="false" customWidth="true" hidden="false" outlineLevel="0" max="11" min="11" style="0" width="7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50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B3" s="3" t="s">
        <v>51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9" t="s">
        <v>52</v>
      </c>
      <c r="C5" s="10"/>
      <c r="D5" s="10"/>
      <c r="E5" s="10"/>
      <c r="F5" s="10"/>
      <c r="G5" s="10"/>
      <c r="H5" s="10"/>
      <c r="I5" s="10"/>
      <c r="J5" s="10"/>
      <c r="K5" s="10"/>
    </row>
    <row r="6" customFormat="false" ht="12.75" hidden="false" customHeight="true" outlineLevel="0" collapsed="false">
      <c r="C6" s="20" t="s">
        <v>53</v>
      </c>
      <c r="D6" s="20" t="s">
        <v>54</v>
      </c>
      <c r="E6" s="20" t="s">
        <v>55</v>
      </c>
      <c r="F6" s="20" t="s">
        <v>56</v>
      </c>
      <c r="G6" s="20" t="s">
        <v>57</v>
      </c>
      <c r="H6" s="20" t="s">
        <v>58</v>
      </c>
      <c r="I6" s="20" t="s">
        <v>59</v>
      </c>
      <c r="K6" s="4" t="s">
        <v>60</v>
      </c>
    </row>
    <row r="7" customFormat="false" ht="12.75" hidden="false" customHeight="true" outlineLevel="0" collapsed="false">
      <c r="B7" s="6" t="s">
        <v>61</v>
      </c>
      <c r="C7" s="21" t="s">
        <v>62</v>
      </c>
      <c r="D7" s="21" t="s">
        <v>62</v>
      </c>
      <c r="E7" s="21" t="s">
        <v>62</v>
      </c>
      <c r="F7" s="22" t="n">
        <v>77.9</v>
      </c>
      <c r="G7" s="22" t="n">
        <v>88</v>
      </c>
      <c r="H7" s="22" t="n">
        <v>95.018</v>
      </c>
      <c r="I7" s="22" t="n">
        <v>94.024</v>
      </c>
      <c r="K7" s="3" t="s">
        <v>63</v>
      </c>
    </row>
    <row r="8" customFormat="false" ht="12.75" hidden="false" customHeight="true" outlineLevel="0" collapsed="false">
      <c r="B8" s="6" t="s">
        <v>64</v>
      </c>
      <c r="C8" s="22" t="n">
        <v>32.565</v>
      </c>
      <c r="D8" s="22" t="n">
        <v>48.451</v>
      </c>
      <c r="E8" s="22" t="n">
        <v>66.987</v>
      </c>
      <c r="F8" s="22" t="n">
        <v>83</v>
      </c>
      <c r="G8" s="22" t="n">
        <v>95.31</v>
      </c>
      <c r="H8" s="22" t="n">
        <v>105.3</v>
      </c>
      <c r="I8" s="22" t="n">
        <v>101.153</v>
      </c>
      <c r="K8" s="3" t="s">
        <v>65</v>
      </c>
    </row>
    <row r="9" customFormat="false" ht="12.75" hidden="false" customHeight="true" outlineLevel="0" collapsed="false">
      <c r="B9" s="6" t="s">
        <v>66</v>
      </c>
      <c r="C9" s="21" t="s">
        <v>62</v>
      </c>
      <c r="D9" s="21" t="s">
        <v>62</v>
      </c>
      <c r="E9" s="21" t="s">
        <v>62</v>
      </c>
      <c r="F9" s="21" t="s">
        <v>62</v>
      </c>
      <c r="G9" s="22" t="n">
        <v>44.75</v>
      </c>
      <c r="H9" s="22" t="n">
        <v>53.7</v>
      </c>
      <c r="I9" s="22" t="n">
        <v>53.5</v>
      </c>
      <c r="K9" s="3" t="s">
        <v>67</v>
      </c>
    </row>
    <row r="10" customFormat="false" ht="12.75" hidden="false" customHeight="true" outlineLevel="0" collapsed="false">
      <c r="B10" s="6" t="s">
        <v>68</v>
      </c>
      <c r="C10" s="21" t="s">
        <v>62</v>
      </c>
      <c r="D10" s="21" t="s">
        <v>62</v>
      </c>
      <c r="E10" s="22" t="n">
        <v>34.321</v>
      </c>
      <c r="F10" s="21" t="s">
        <v>62</v>
      </c>
      <c r="G10" s="22" t="n">
        <v>50.6</v>
      </c>
      <c r="H10" s="22" t="n">
        <v>51.6</v>
      </c>
      <c r="I10" s="22" t="n">
        <v>47.653</v>
      </c>
      <c r="K10" s="3" t="s">
        <v>69</v>
      </c>
    </row>
    <row r="11" customFormat="false" ht="12.75" hidden="false" customHeight="true" outlineLevel="0" collapsed="false">
      <c r="B11" s="6" t="s">
        <v>70</v>
      </c>
      <c r="C11" s="22" t="n">
        <v>15.1</v>
      </c>
      <c r="D11" s="22" t="n">
        <v>24.728</v>
      </c>
      <c r="E11" s="22" t="n">
        <v>20.876</v>
      </c>
      <c r="F11" s="22" t="n">
        <v>30.605</v>
      </c>
      <c r="G11" s="22" t="n">
        <v>35.64</v>
      </c>
      <c r="H11" s="22" t="n">
        <v>36.2</v>
      </c>
      <c r="I11" s="22" t="n">
        <v>33.9</v>
      </c>
      <c r="K11" s="3" t="s">
        <v>71</v>
      </c>
    </row>
    <row r="12" customFormat="false" ht="12.75" hidden="false" customHeight="true" outlineLevel="0" collapsed="false">
      <c r="B12" s="6" t="s">
        <v>72</v>
      </c>
      <c r="C12" s="21" t="s">
        <v>62</v>
      </c>
      <c r="D12" s="21" t="s">
        <v>62</v>
      </c>
      <c r="E12" s="22" t="n">
        <v>121.509</v>
      </c>
      <c r="F12" s="22" t="n">
        <v>157</v>
      </c>
      <c r="G12" s="22" t="n">
        <v>183.7</v>
      </c>
      <c r="H12" s="22" t="n">
        <v>224.1</v>
      </c>
      <c r="I12" s="22" t="n">
        <v>252.055</v>
      </c>
      <c r="K12" s="3" t="s">
        <v>73</v>
      </c>
    </row>
    <row r="13" customFormat="false" ht="12.75" hidden="false" customHeight="true" outlineLevel="0" collapsed="false">
      <c r="B13" s="6" t="s">
        <v>74</v>
      </c>
      <c r="C13" s="21" t="s">
        <v>62</v>
      </c>
      <c r="D13" s="21" t="s">
        <v>62</v>
      </c>
      <c r="E13" s="23" t="n">
        <v>0.04</v>
      </c>
      <c r="F13" s="21" t="s">
        <v>62</v>
      </c>
      <c r="G13" s="21" t="s">
        <v>62</v>
      </c>
      <c r="H13" s="23" t="n">
        <v>0.05</v>
      </c>
      <c r="I13" s="23" t="n">
        <v>0.05</v>
      </c>
      <c r="K13" s="3" t="s">
        <v>75</v>
      </c>
    </row>
    <row r="14" customFormat="false" ht="12.75" hidden="false" customHeight="true" outlineLevel="0" collapsed="false">
      <c r="B14" s="24" t="s">
        <v>76</v>
      </c>
      <c r="D14" s="25" t="str">
        <f aca="false">IFERROR(D7/C7-1,"")</f>
        <v/>
      </c>
      <c r="E14" s="25" t="str">
        <f aca="false">IFERROR(E7/D7-1,"")</f>
        <v/>
      </c>
      <c r="F14" s="25" t="str">
        <f aca="false">IFERROR(F7/E7-1,"")</f>
        <v/>
      </c>
      <c r="G14" s="25" t="n">
        <f aca="false">IFERROR(G7/F7-1,"")</f>
        <v>0.129653401797176</v>
      </c>
      <c r="H14" s="25" t="n">
        <f aca="false">IFERROR(H7/G7-1,"")</f>
        <v>0.07975</v>
      </c>
      <c r="I14" s="25" t="n">
        <f aca="false">IFERROR(I7/H7-1,"")</f>
        <v>-0.0104611757772212</v>
      </c>
    </row>
    <row r="15" customFormat="false" ht="12.75" hidden="false" customHeight="true" outlineLevel="0" collapsed="false">
      <c r="B15" s="24" t="s">
        <v>77</v>
      </c>
      <c r="C15" s="25" t="n">
        <f aca="false">IFERROR(C11/C8,"")</f>
        <v>0.463688008598188</v>
      </c>
      <c r="D15" s="25" t="n">
        <f aca="false">IFERROR(D11/D8,"")</f>
        <v>0.510371302965883</v>
      </c>
      <c r="E15" s="25" t="n">
        <f aca="false">IFERROR(E11/E8,"")</f>
        <v>0.311642557511159</v>
      </c>
      <c r="F15" s="25" t="n">
        <f aca="false">IFERROR(F11/F8,"")</f>
        <v>0.368734939759036</v>
      </c>
      <c r="G15" s="25" t="n">
        <f aca="false">IFERROR(G11/G8,"")</f>
        <v>0.373937677053824</v>
      </c>
      <c r="H15" s="25" t="n">
        <f aca="false">IFERROR(H11/H8,"")</f>
        <v>0.343779677113011</v>
      </c>
      <c r="I15" s="25" t="n">
        <f aca="false">IFERROR(I11/I8,"")</f>
        <v>0.335135883265944</v>
      </c>
    </row>
    <row r="16" customFormat="false" ht="12.75" hidden="false" customHeight="true" outlineLevel="0" collapsed="false">
      <c r="B16" s="3" t="s">
        <v>78</v>
      </c>
    </row>
    <row r="17" customFormat="false" ht="12.75" hidden="false" customHeight="true" outlineLevel="0" collapsed="false"/>
    <row r="18" customFormat="false" ht="12.75" hidden="false" customHeight="true" outlineLevel="0" collapsed="false">
      <c r="B18" s="9" t="s">
        <v>79</v>
      </c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12.75" hidden="false" customHeight="true" outlineLevel="0" collapsed="false">
      <c r="B19" s="4" t="s">
        <v>80</v>
      </c>
      <c r="C19" s="20" t="s">
        <v>81</v>
      </c>
      <c r="K19" s="4" t="s">
        <v>60</v>
      </c>
    </row>
    <row r="20" customFormat="false" ht="12.75" hidden="false" customHeight="true" outlineLevel="0" collapsed="false">
      <c r="B20" s="6" t="s">
        <v>82</v>
      </c>
      <c r="C20" s="22" t="n">
        <v>94.024</v>
      </c>
      <c r="K20" s="3" t="s">
        <v>83</v>
      </c>
    </row>
    <row r="21" customFormat="false" ht="12.75" hidden="false" customHeight="true" outlineLevel="0" collapsed="false">
      <c r="B21" s="6" t="s">
        <v>84</v>
      </c>
      <c r="C21" s="26" t="n">
        <v>0.4</v>
      </c>
      <c r="K21" s="3" t="s">
        <v>85</v>
      </c>
    </row>
    <row r="22" customFormat="false" ht="12.75" hidden="false" customHeight="true" outlineLevel="0" collapsed="false">
      <c r="B22" s="6" t="s">
        <v>86</v>
      </c>
      <c r="C22" s="27" t="n">
        <f aca="false">C20*C21</f>
        <v>37.6096</v>
      </c>
    </row>
    <row r="23" customFormat="false" ht="12.75" hidden="false" customHeight="true" outlineLevel="0" collapsed="false">
      <c r="B23" s="6" t="s">
        <v>87</v>
      </c>
      <c r="C23" s="27" t="n">
        <f aca="false">C20-C22</f>
        <v>56.4144</v>
      </c>
    </row>
    <row r="24" customFormat="false" ht="12.75" hidden="false" customHeight="true" outlineLevel="0" collapsed="false">
      <c r="B24" s="6" t="s">
        <v>64</v>
      </c>
      <c r="C24" s="22" t="n">
        <v>101.153</v>
      </c>
      <c r="K24" s="3" t="s">
        <v>88</v>
      </c>
    </row>
    <row r="25" customFormat="false" ht="12.75" hidden="false" customHeight="true" outlineLevel="0" collapsed="false">
      <c r="B25" s="6" t="s">
        <v>89</v>
      </c>
      <c r="C25" s="27" t="n">
        <f aca="false">C24-C20</f>
        <v>7.12900000000001</v>
      </c>
    </row>
    <row r="26" customFormat="false" ht="12.75" hidden="false" customHeight="true" outlineLevel="0" collapsed="false">
      <c r="B26" s="6" t="s">
        <v>90</v>
      </c>
      <c r="C26" s="22" t="n">
        <v>53.5</v>
      </c>
      <c r="K26" s="3" t="s">
        <v>91</v>
      </c>
    </row>
    <row r="27" customFormat="false" ht="12.75" hidden="false" customHeight="true" outlineLevel="0" collapsed="false">
      <c r="B27" s="6" t="s">
        <v>92</v>
      </c>
      <c r="C27" s="22" t="n">
        <v>7</v>
      </c>
      <c r="K27" s="3" t="s">
        <v>93</v>
      </c>
    </row>
    <row r="28" customFormat="false" ht="12.75" hidden="false" customHeight="true" outlineLevel="0" collapsed="false">
      <c r="B28" s="6" t="s">
        <v>94</v>
      </c>
      <c r="C28" s="22" t="n">
        <v>11</v>
      </c>
      <c r="K28" s="3" t="s">
        <v>95</v>
      </c>
    </row>
    <row r="29" customFormat="false" ht="12.75" hidden="false" customHeight="true" outlineLevel="0" collapsed="false">
      <c r="B29" s="6" t="s">
        <v>96</v>
      </c>
      <c r="C29" s="22" t="n">
        <v>10.5</v>
      </c>
      <c r="K29" s="3" t="s">
        <v>97</v>
      </c>
    </row>
    <row r="30" customFormat="false" ht="12.75" hidden="false" customHeight="true" outlineLevel="0" collapsed="false">
      <c r="B30" s="6" t="s">
        <v>98</v>
      </c>
      <c r="C30" s="22" t="n">
        <v>5</v>
      </c>
      <c r="K30" s="3" t="s">
        <v>99</v>
      </c>
    </row>
    <row r="31" customFormat="false" ht="12.75" hidden="false" customHeight="true" outlineLevel="0" collapsed="false">
      <c r="B31" s="6" t="s">
        <v>100</v>
      </c>
      <c r="C31" s="22" t="n">
        <v>12</v>
      </c>
      <c r="K31" s="3" t="s">
        <v>101</v>
      </c>
    </row>
    <row r="32" customFormat="false" ht="12.75" hidden="false" customHeight="true" outlineLevel="0" collapsed="false">
      <c r="B32" s="6" t="s">
        <v>102</v>
      </c>
      <c r="C32" s="22" t="n">
        <v>6</v>
      </c>
      <c r="K32" s="3" t="s">
        <v>103</v>
      </c>
    </row>
    <row r="33" customFormat="false" ht="12.75" hidden="false" customHeight="true" outlineLevel="0" collapsed="false">
      <c r="B33" s="6" t="s">
        <v>104</v>
      </c>
      <c r="C33" s="22" t="n">
        <v>2</v>
      </c>
      <c r="K33" s="3" t="s">
        <v>105</v>
      </c>
    </row>
    <row r="34" customFormat="false" ht="12.75" hidden="false" customHeight="true" outlineLevel="0" collapsed="false">
      <c r="B34" s="24" t="s">
        <v>106</v>
      </c>
      <c r="C34" s="28" t="n">
        <f aca="false">SUM(C27:C33)-C26</f>
        <v>0</v>
      </c>
    </row>
    <row r="35" customFormat="false" ht="12.75" hidden="false" customHeight="true" outlineLevel="0" collapsed="false">
      <c r="B35" s="6" t="s">
        <v>107</v>
      </c>
      <c r="C35" s="27" t="n">
        <f aca="false">C24-C26</f>
        <v>47.653</v>
      </c>
    </row>
    <row r="36" customFormat="false" ht="12.75" hidden="false" customHeight="true" outlineLevel="0" collapsed="false">
      <c r="B36" s="6" t="s">
        <v>108</v>
      </c>
      <c r="C36" s="22" t="n">
        <v>33.9</v>
      </c>
      <c r="K36" s="3" t="s">
        <v>109</v>
      </c>
    </row>
    <row r="37" customFormat="false" ht="12.75" hidden="false" customHeight="true" outlineLevel="0" collapsed="false">
      <c r="B37" s="6" t="s">
        <v>110</v>
      </c>
      <c r="C37" s="27" t="n">
        <f aca="false">C35-C36</f>
        <v>13.753</v>
      </c>
    </row>
    <row r="38" customFormat="false" ht="12.75" hidden="false" customHeight="true" outlineLevel="0" collapsed="false">
      <c r="B38" s="6" t="s">
        <v>111</v>
      </c>
      <c r="C38" s="22" t="n">
        <v>252.055</v>
      </c>
      <c r="K38" s="3" t="s">
        <v>112</v>
      </c>
    </row>
    <row r="39" customFormat="false" ht="12.75" hidden="false" customHeight="true" outlineLevel="0" collapsed="false">
      <c r="B39" s="6" t="s">
        <v>113</v>
      </c>
      <c r="C39" s="22" t="n">
        <v>272.9</v>
      </c>
      <c r="K39" s="3" t="s">
        <v>114</v>
      </c>
    </row>
    <row r="40" customFormat="false" ht="12.75" hidden="false" customHeight="true" outlineLevel="0" collapsed="false">
      <c r="B40" s="6" t="s">
        <v>115</v>
      </c>
      <c r="C40" s="22" t="n">
        <v>15</v>
      </c>
      <c r="K40" s="3" t="s">
        <v>116</v>
      </c>
    </row>
    <row r="41" customFormat="false" ht="12.75" hidden="false" customHeight="true" outlineLevel="0" collapsed="false">
      <c r="B41" s="6" t="s">
        <v>117</v>
      </c>
      <c r="C41" s="22" t="n">
        <v>36.9</v>
      </c>
      <c r="K41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B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5" min="4" style="0" width="8"/>
    <col collapsed="false" customWidth="true" hidden="false" outlineLevel="0" max="8" min="6" style="0" width="12"/>
    <col collapsed="false" customWidth="true" hidden="false" outlineLevel="0" max="10" min="9" style="0" width="11"/>
    <col collapsed="false" customWidth="true" hidden="false" outlineLevel="0" max="11" min="11" style="0" width="5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119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true" outlineLevel="0" collapsed="false">
      <c r="B3" s="3" t="s">
        <v>120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4" t="s">
        <v>23</v>
      </c>
      <c r="C5" s="29" t="n">
        <v>3</v>
      </c>
    </row>
    <row r="6" customFormat="false" ht="12.75" hidden="false" customHeight="true" outlineLevel="0" collapsed="false"/>
    <row r="7" customFormat="false" ht="36" hidden="false" customHeight="true" outlineLevel="0" collapsed="false">
      <c r="B7" s="30" t="s">
        <v>121</v>
      </c>
      <c r="C7" s="30" t="s">
        <v>5</v>
      </c>
      <c r="D7" s="30" t="s">
        <v>122</v>
      </c>
      <c r="E7" s="30" t="s">
        <v>123</v>
      </c>
      <c r="F7" s="30" t="s">
        <v>124</v>
      </c>
      <c r="G7" s="30" t="s">
        <v>125</v>
      </c>
      <c r="H7" s="30" t="s">
        <v>126</v>
      </c>
      <c r="I7" s="30" t="s">
        <v>127</v>
      </c>
      <c r="J7" s="30" t="s">
        <v>128</v>
      </c>
      <c r="K7" s="30" t="s">
        <v>129</v>
      </c>
    </row>
    <row r="8" customFormat="false" ht="12.75" hidden="false" customHeight="true" outlineLevel="0" collapsed="false">
      <c r="B8" s="31" t="n">
        <f aca="false">C5</f>
        <v>3</v>
      </c>
      <c r="C8" s="32" t="str">
        <f aca="true">OFFSET(C$9,$C$5-1,0,1,1)</f>
        <v>Sponsor base | Base</v>
      </c>
      <c r="D8" s="31" t="n">
        <f aca="true">OFFSET(D$9,$C$5-1,0,1,1)</f>
        <v>3</v>
      </c>
      <c r="E8" s="31" t="n">
        <f aca="true">OFFSET(E$9,$C$5-1,0,1,1)</f>
        <v>1</v>
      </c>
      <c r="F8" s="33" t="n">
        <f aca="true">OFFSET(F$9,$C$5-1,0,1,1)</f>
        <v>10.75</v>
      </c>
      <c r="G8" s="34" t="n">
        <f aca="true">OFFSET(G$9,$C$5-1,0,1,1)</f>
        <v>0.0275</v>
      </c>
      <c r="H8" s="35" t="n">
        <f aca="true">OFFSET(H$9,$C$5-1,0,1,1)</f>
        <v>0</v>
      </c>
      <c r="I8" s="36" t="n">
        <f aca="true">OFFSET(I$9,$C$5-1,0,1,1)</f>
        <v>5.5</v>
      </c>
      <c r="J8" s="37" t="n">
        <f aca="true">OFFSET(J$9,$C$5-1,0,1,1)</f>
        <v>40</v>
      </c>
    </row>
    <row r="9" customFormat="false" ht="12.75" hidden="false" customHeight="true" outlineLevel="0" collapsed="false">
      <c r="B9" s="38" t="n">
        <v>1</v>
      </c>
      <c r="C9" s="17" t="s">
        <v>130</v>
      </c>
      <c r="D9" s="39" t="n">
        <v>1</v>
      </c>
      <c r="E9" s="39" t="n">
        <v>1</v>
      </c>
      <c r="F9" s="40" t="n">
        <v>10.75</v>
      </c>
      <c r="G9" s="41" t="n">
        <v>0.0275</v>
      </c>
      <c r="H9" s="26" t="n">
        <v>0</v>
      </c>
      <c r="I9" s="42" t="n">
        <v>3.5</v>
      </c>
      <c r="J9" s="22" t="n">
        <v>40</v>
      </c>
      <c r="K9" s="3" t="s">
        <v>131</v>
      </c>
    </row>
    <row r="10" customFormat="false" ht="12.75" hidden="false" customHeight="true" outlineLevel="0" collapsed="false">
      <c r="B10" s="38" t="n">
        <v>2</v>
      </c>
      <c r="C10" s="17" t="s">
        <v>132</v>
      </c>
      <c r="D10" s="39" t="n">
        <v>2</v>
      </c>
      <c r="E10" s="39" t="n">
        <v>1</v>
      </c>
      <c r="F10" s="40" t="n">
        <v>10.75</v>
      </c>
      <c r="G10" s="41" t="n">
        <v>0.0275</v>
      </c>
      <c r="H10" s="26" t="n">
        <v>0</v>
      </c>
      <c r="I10" s="42" t="n">
        <v>4.5</v>
      </c>
      <c r="J10" s="22" t="n">
        <v>40</v>
      </c>
    </row>
    <row r="11" customFormat="false" ht="12.75" hidden="false" customHeight="true" outlineLevel="0" collapsed="false">
      <c r="B11" s="38" t="n">
        <v>3</v>
      </c>
      <c r="C11" s="17" t="s">
        <v>133</v>
      </c>
      <c r="D11" s="39" t="n">
        <v>3</v>
      </c>
      <c r="E11" s="39" t="n">
        <v>1</v>
      </c>
      <c r="F11" s="40" t="n">
        <v>10.75</v>
      </c>
      <c r="G11" s="41" t="n">
        <v>0.0275</v>
      </c>
      <c r="H11" s="26" t="n">
        <v>0</v>
      </c>
      <c r="I11" s="42" t="n">
        <v>5.5</v>
      </c>
      <c r="J11" s="22" t="n">
        <v>40</v>
      </c>
    </row>
    <row r="12" customFormat="false" ht="12.75" hidden="false" customHeight="true" outlineLevel="0" collapsed="false">
      <c r="B12" s="38" t="n">
        <v>4</v>
      </c>
      <c r="C12" s="17" t="s">
        <v>134</v>
      </c>
      <c r="D12" s="39" t="n">
        <v>4</v>
      </c>
      <c r="E12" s="39" t="n">
        <v>1</v>
      </c>
      <c r="F12" s="40" t="n">
        <v>10.75</v>
      </c>
      <c r="G12" s="41" t="n">
        <v>0.0275</v>
      </c>
      <c r="H12" s="26" t="n">
        <v>0</v>
      </c>
      <c r="I12" s="42" t="n">
        <v>7</v>
      </c>
      <c r="J12" s="22" t="n">
        <v>40</v>
      </c>
    </row>
    <row r="13" customFormat="false" ht="12.75" hidden="false" customHeight="true" outlineLevel="0" collapsed="false">
      <c r="B13" s="38" t="n">
        <v>5</v>
      </c>
      <c r="C13" s="17" t="s">
        <v>135</v>
      </c>
      <c r="D13" s="39" t="n">
        <v>5</v>
      </c>
      <c r="E13" s="39" t="n">
        <v>1</v>
      </c>
      <c r="F13" s="40" t="n">
        <v>10.75</v>
      </c>
      <c r="G13" s="41" t="n">
        <v>0.0275</v>
      </c>
      <c r="H13" s="26" t="n">
        <v>0</v>
      </c>
      <c r="I13" s="42" t="n">
        <v>9</v>
      </c>
      <c r="J13" s="22" t="n">
        <v>40</v>
      </c>
    </row>
    <row r="14" customFormat="false" ht="12.75" hidden="false" customHeight="true" outlineLevel="0" collapsed="false">
      <c r="B14" s="38" t="n">
        <v>6</v>
      </c>
      <c r="C14" s="17" t="s">
        <v>136</v>
      </c>
      <c r="D14" s="39" t="n">
        <v>1</v>
      </c>
      <c r="E14" s="39" t="n">
        <v>2</v>
      </c>
      <c r="F14" s="40" t="n">
        <v>10.75</v>
      </c>
      <c r="G14" s="41" t="n">
        <v>0.0275</v>
      </c>
      <c r="H14" s="26" t="n">
        <v>0</v>
      </c>
      <c r="I14" s="42" t="n">
        <v>3.5</v>
      </c>
      <c r="J14" s="22" t="n">
        <v>40</v>
      </c>
    </row>
    <row r="15" customFormat="false" ht="12.75" hidden="false" customHeight="true" outlineLevel="0" collapsed="false">
      <c r="B15" s="38" t="n">
        <v>7</v>
      </c>
      <c r="C15" s="17" t="s">
        <v>137</v>
      </c>
      <c r="D15" s="39" t="n">
        <v>2</v>
      </c>
      <c r="E15" s="39" t="n">
        <v>2</v>
      </c>
      <c r="F15" s="40" t="n">
        <v>10.75</v>
      </c>
      <c r="G15" s="41" t="n">
        <v>0.0275</v>
      </c>
      <c r="H15" s="26" t="n">
        <v>0</v>
      </c>
      <c r="I15" s="42" t="n">
        <v>4.5</v>
      </c>
      <c r="J15" s="22" t="n">
        <v>40</v>
      </c>
    </row>
    <row r="16" customFormat="false" ht="12.75" hidden="false" customHeight="true" outlineLevel="0" collapsed="false">
      <c r="B16" s="38" t="n">
        <v>8</v>
      </c>
      <c r="C16" s="17" t="s">
        <v>138</v>
      </c>
      <c r="D16" s="39" t="n">
        <v>3</v>
      </c>
      <c r="E16" s="39" t="n">
        <v>2</v>
      </c>
      <c r="F16" s="40" t="n">
        <v>10.75</v>
      </c>
      <c r="G16" s="41" t="n">
        <v>0.0275</v>
      </c>
      <c r="H16" s="26" t="n">
        <v>0</v>
      </c>
      <c r="I16" s="42" t="n">
        <v>5.5</v>
      </c>
      <c r="J16" s="22" t="n">
        <v>40</v>
      </c>
    </row>
    <row r="17" customFormat="false" ht="12.75" hidden="false" customHeight="true" outlineLevel="0" collapsed="false">
      <c r="B17" s="38" t="n">
        <v>9</v>
      </c>
      <c r="C17" s="17" t="s">
        <v>139</v>
      </c>
      <c r="D17" s="39" t="n">
        <v>4</v>
      </c>
      <c r="E17" s="39" t="n">
        <v>2</v>
      </c>
      <c r="F17" s="40" t="n">
        <v>10.75</v>
      </c>
      <c r="G17" s="41" t="n">
        <v>0.0275</v>
      </c>
      <c r="H17" s="26" t="n">
        <v>0</v>
      </c>
      <c r="I17" s="42" t="n">
        <v>7</v>
      </c>
      <c r="J17" s="22" t="n">
        <v>40</v>
      </c>
    </row>
    <row r="18" customFormat="false" ht="12.75" hidden="false" customHeight="true" outlineLevel="0" collapsed="false">
      <c r="B18" s="38" t="n">
        <v>10</v>
      </c>
      <c r="C18" s="17" t="s">
        <v>140</v>
      </c>
      <c r="D18" s="39" t="n">
        <v>5</v>
      </c>
      <c r="E18" s="39" t="n">
        <v>2</v>
      </c>
      <c r="F18" s="40" t="n">
        <v>10.75</v>
      </c>
      <c r="G18" s="41" t="n">
        <v>0.0275</v>
      </c>
      <c r="H18" s="26" t="n">
        <v>0</v>
      </c>
      <c r="I18" s="42" t="n">
        <v>9</v>
      </c>
      <c r="J18" s="22" t="n">
        <v>40</v>
      </c>
    </row>
    <row r="19" customFormat="false" ht="12.75" hidden="false" customHeight="true" outlineLevel="0" collapsed="false">
      <c r="B19" s="38" t="n">
        <v>11</v>
      </c>
      <c r="C19" s="17" t="s">
        <v>141</v>
      </c>
      <c r="D19" s="39" t="n">
        <v>1</v>
      </c>
      <c r="E19" s="39" t="n">
        <v>3</v>
      </c>
      <c r="F19" s="40" t="n">
        <v>10.75</v>
      </c>
      <c r="G19" s="41" t="n">
        <v>0.0275</v>
      </c>
      <c r="H19" s="26" t="n">
        <v>0</v>
      </c>
      <c r="I19" s="42" t="n">
        <v>3.5</v>
      </c>
      <c r="J19" s="22" t="n">
        <v>40</v>
      </c>
    </row>
    <row r="20" customFormat="false" ht="12.75" hidden="false" customHeight="true" outlineLevel="0" collapsed="false">
      <c r="B20" s="38" t="n">
        <v>12</v>
      </c>
      <c r="C20" s="17" t="s">
        <v>142</v>
      </c>
      <c r="D20" s="39" t="n">
        <v>2</v>
      </c>
      <c r="E20" s="39" t="n">
        <v>3</v>
      </c>
      <c r="F20" s="40" t="n">
        <v>10.75</v>
      </c>
      <c r="G20" s="41" t="n">
        <v>0.0275</v>
      </c>
      <c r="H20" s="26" t="n">
        <v>0</v>
      </c>
      <c r="I20" s="42" t="n">
        <v>4.5</v>
      </c>
      <c r="J20" s="22" t="n">
        <v>40</v>
      </c>
    </row>
    <row r="21" customFormat="false" ht="12.75" hidden="false" customHeight="true" outlineLevel="0" collapsed="false">
      <c r="B21" s="38" t="n">
        <v>13</v>
      </c>
      <c r="C21" s="17" t="s">
        <v>143</v>
      </c>
      <c r="D21" s="39" t="n">
        <v>3</v>
      </c>
      <c r="E21" s="39" t="n">
        <v>3</v>
      </c>
      <c r="F21" s="40" t="n">
        <v>10.75</v>
      </c>
      <c r="G21" s="41" t="n">
        <v>0.0275</v>
      </c>
      <c r="H21" s="26" t="n">
        <v>0</v>
      </c>
      <c r="I21" s="42" t="n">
        <v>5.5</v>
      </c>
      <c r="J21" s="22" t="n">
        <v>40</v>
      </c>
    </row>
    <row r="22" customFormat="false" ht="12.75" hidden="false" customHeight="true" outlineLevel="0" collapsed="false">
      <c r="B22" s="38" t="n">
        <v>14</v>
      </c>
      <c r="C22" s="17" t="s">
        <v>144</v>
      </c>
      <c r="D22" s="39" t="n">
        <v>4</v>
      </c>
      <c r="E22" s="39" t="n">
        <v>3</v>
      </c>
      <c r="F22" s="40" t="n">
        <v>10.75</v>
      </c>
      <c r="G22" s="41" t="n">
        <v>0.0275</v>
      </c>
      <c r="H22" s="26" t="n">
        <v>0</v>
      </c>
      <c r="I22" s="42" t="n">
        <v>7</v>
      </c>
      <c r="J22" s="22" t="n">
        <v>40</v>
      </c>
    </row>
    <row r="23" customFormat="false" ht="12.75" hidden="false" customHeight="true" outlineLevel="0" collapsed="false">
      <c r="B23" s="38" t="n">
        <v>15</v>
      </c>
      <c r="C23" s="17" t="s">
        <v>145</v>
      </c>
      <c r="D23" s="39" t="n">
        <v>5</v>
      </c>
      <c r="E23" s="39" t="n">
        <v>3</v>
      </c>
      <c r="F23" s="40" t="n">
        <v>10.75</v>
      </c>
      <c r="G23" s="41" t="n">
        <v>0.0275</v>
      </c>
      <c r="H23" s="26" t="n">
        <v>0</v>
      </c>
      <c r="I23" s="42" t="n">
        <v>9</v>
      </c>
      <c r="J23" s="22" t="n">
        <v>40</v>
      </c>
    </row>
    <row r="24" customFormat="false" ht="12.75" hidden="false" customHeight="true" outlineLevel="0" collapsed="false">
      <c r="B24" s="38" t="n">
        <v>16</v>
      </c>
      <c r="C24" s="17" t="s">
        <v>146</v>
      </c>
      <c r="D24" s="39" t="n">
        <v>1</v>
      </c>
      <c r="E24" s="39" t="n">
        <v>4</v>
      </c>
      <c r="F24" s="40" t="n">
        <v>10.75</v>
      </c>
      <c r="G24" s="41" t="n">
        <v>0.0275</v>
      </c>
      <c r="H24" s="26" t="n">
        <v>0</v>
      </c>
      <c r="I24" s="42" t="n">
        <v>3.5</v>
      </c>
      <c r="J24" s="22" t="n">
        <v>40</v>
      </c>
    </row>
    <row r="25" customFormat="false" ht="12.75" hidden="false" customHeight="true" outlineLevel="0" collapsed="false">
      <c r="B25" s="38" t="n">
        <v>17</v>
      </c>
      <c r="C25" s="17" t="s">
        <v>147</v>
      </c>
      <c r="D25" s="39" t="n">
        <v>2</v>
      </c>
      <c r="E25" s="39" t="n">
        <v>4</v>
      </c>
      <c r="F25" s="40" t="n">
        <v>10.75</v>
      </c>
      <c r="G25" s="41" t="n">
        <v>0.0275</v>
      </c>
      <c r="H25" s="26" t="n">
        <v>0</v>
      </c>
      <c r="I25" s="42" t="n">
        <v>4.5</v>
      </c>
      <c r="J25" s="22" t="n">
        <v>40</v>
      </c>
    </row>
    <row r="26" customFormat="false" ht="12.75" hidden="false" customHeight="true" outlineLevel="0" collapsed="false">
      <c r="B26" s="38" t="n">
        <v>18</v>
      </c>
      <c r="C26" s="17" t="s">
        <v>148</v>
      </c>
      <c r="D26" s="39" t="n">
        <v>3</v>
      </c>
      <c r="E26" s="39" t="n">
        <v>4</v>
      </c>
      <c r="F26" s="40" t="n">
        <v>10.75</v>
      </c>
      <c r="G26" s="41" t="n">
        <v>0.0275</v>
      </c>
      <c r="H26" s="26" t="n">
        <v>0</v>
      </c>
      <c r="I26" s="42" t="n">
        <v>5.5</v>
      </c>
      <c r="J26" s="22" t="n">
        <v>40</v>
      </c>
    </row>
    <row r="27" customFormat="false" ht="12.75" hidden="false" customHeight="true" outlineLevel="0" collapsed="false">
      <c r="B27" s="38" t="n">
        <v>19</v>
      </c>
      <c r="C27" s="17" t="s">
        <v>149</v>
      </c>
      <c r="D27" s="39" t="n">
        <v>4</v>
      </c>
      <c r="E27" s="39" t="n">
        <v>4</v>
      </c>
      <c r="F27" s="40" t="n">
        <v>10.75</v>
      </c>
      <c r="G27" s="41" t="n">
        <v>0.0275</v>
      </c>
      <c r="H27" s="26" t="n">
        <v>0</v>
      </c>
      <c r="I27" s="42" t="n">
        <v>7</v>
      </c>
      <c r="J27" s="22" t="n">
        <v>40</v>
      </c>
    </row>
    <row r="28" customFormat="false" ht="12.75" hidden="false" customHeight="true" outlineLevel="0" collapsed="false">
      <c r="B28" s="38" t="n">
        <v>20</v>
      </c>
      <c r="C28" s="17" t="s">
        <v>150</v>
      </c>
      <c r="D28" s="39" t="n">
        <v>5</v>
      </c>
      <c r="E28" s="39" t="n">
        <v>4</v>
      </c>
      <c r="F28" s="40" t="n">
        <v>10.75</v>
      </c>
      <c r="G28" s="41" t="n">
        <v>0.0275</v>
      </c>
      <c r="H28" s="26" t="n">
        <v>0</v>
      </c>
      <c r="I28" s="42" t="n">
        <v>9</v>
      </c>
      <c r="J28" s="22" t="n">
        <v>40</v>
      </c>
    </row>
    <row r="29" customFormat="false" ht="12.75" hidden="false" customHeight="true" outlineLevel="0" collapsed="false">
      <c r="B29" s="38" t="n">
        <v>21</v>
      </c>
      <c r="C29" s="17" t="s">
        <v>151</v>
      </c>
      <c r="D29" s="39" t="n">
        <v>3</v>
      </c>
      <c r="E29" s="39" t="n">
        <v>1</v>
      </c>
      <c r="F29" s="40" t="n">
        <v>10.75</v>
      </c>
      <c r="G29" s="41" t="n">
        <v>0.0275</v>
      </c>
      <c r="H29" s="26" t="n">
        <v>0.068</v>
      </c>
      <c r="I29" s="42" t="n">
        <v>5.5</v>
      </c>
      <c r="J29" s="22" t="n">
        <v>40</v>
      </c>
      <c r="K29" s="3" t="s">
        <v>152</v>
      </c>
    </row>
    <row r="30" customFormat="false" ht="12.75" hidden="false" customHeight="true" outlineLevel="0" collapsed="false">
      <c r="B30" s="38" t="n">
        <v>22</v>
      </c>
      <c r="C30" s="17" t="s">
        <v>153</v>
      </c>
      <c r="D30" s="39" t="n">
        <v>3</v>
      </c>
      <c r="E30" s="39" t="n">
        <v>1</v>
      </c>
      <c r="F30" s="40" t="n">
        <v>9.5</v>
      </c>
      <c r="G30" s="41" t="n">
        <v>0.0275</v>
      </c>
      <c r="H30" s="26" t="n">
        <v>0</v>
      </c>
      <c r="I30" s="42" t="n">
        <v>5.5</v>
      </c>
      <c r="J30" s="22" t="n">
        <v>40</v>
      </c>
      <c r="K30" s="3" t="s">
        <v>154</v>
      </c>
    </row>
    <row r="31" customFormat="false" ht="12.75" hidden="false" customHeight="true" outlineLevel="0" collapsed="false">
      <c r="B31" s="38" t="n">
        <v>23</v>
      </c>
      <c r="C31" s="17" t="s">
        <v>155</v>
      </c>
      <c r="D31" s="39" t="n">
        <v>3</v>
      </c>
      <c r="E31" s="39" t="n">
        <v>1</v>
      </c>
      <c r="F31" s="40" t="n">
        <v>12.5</v>
      </c>
      <c r="G31" s="41" t="n">
        <v>0.0275</v>
      </c>
      <c r="H31" s="26" t="n">
        <v>0</v>
      </c>
      <c r="I31" s="42" t="n">
        <v>5.5</v>
      </c>
      <c r="J31" s="22" t="n">
        <v>40</v>
      </c>
      <c r="K31" s="3" t="s">
        <v>156</v>
      </c>
    </row>
    <row r="32" customFormat="false" ht="12.75" hidden="false" customHeight="true" outlineLevel="0" collapsed="false">
      <c r="B32" s="38" t="n">
        <v>24</v>
      </c>
      <c r="C32" s="17" t="s">
        <v>157</v>
      </c>
      <c r="D32" s="39" t="n">
        <v>6</v>
      </c>
      <c r="E32" s="39" t="n">
        <v>1</v>
      </c>
      <c r="F32" s="40" t="n">
        <v>10.75</v>
      </c>
      <c r="G32" s="41" t="n">
        <v>0.0275</v>
      </c>
      <c r="H32" s="26" t="n">
        <v>0</v>
      </c>
      <c r="I32" s="42" t="n">
        <v>5.5</v>
      </c>
      <c r="J32" s="22" t="n">
        <v>40</v>
      </c>
      <c r="K32" s="3" t="s">
        <v>158</v>
      </c>
    </row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>
      <c r="B35" s="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B1:N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0"/>
    <col collapsed="false" customWidth="true" hidden="false" outlineLevel="0" max="7" min="5" style="0" width="2"/>
    <col collapsed="false" customWidth="true" hidden="false" outlineLevel="0" max="13" min="8" style="0" width="10"/>
    <col collapsed="false" customWidth="true" hidden="false" outlineLevel="0" max="14" min="14" style="0" width="2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160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2.75" hidden="false" customHeight="true" outlineLevel="0" collapsed="false">
      <c r="B3" s="3" t="s">
        <v>161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4" t="s">
        <v>162</v>
      </c>
      <c r="C5" s="43" t="n">
        <f aca="false">MCASE!D8</f>
        <v>3</v>
      </c>
    </row>
    <row r="6" customFormat="false" ht="12.75" hidden="false" customHeight="true" outlineLevel="0" collapsed="false">
      <c r="B6" s="6" t="s">
        <v>163</v>
      </c>
      <c r="C6" s="38" t="n">
        <f aca="false">ROW(B48)-ROW(B30)</f>
        <v>18</v>
      </c>
    </row>
    <row r="7" customFormat="false" ht="12.75" hidden="false" customHeight="true" outlineLevel="0" collapsed="false"/>
    <row r="8" customFormat="false" ht="12.75" hidden="false" customHeight="true" outlineLevel="0" collapsed="false">
      <c r="B8" s="44" t="s">
        <v>164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Format="false" ht="12.75" hidden="false" customHeight="true" outlineLevel="0" collapsed="false">
      <c r="B9" s="4" t="s">
        <v>165</v>
      </c>
      <c r="C9" s="4" t="s">
        <v>166</v>
      </c>
      <c r="D9" s="4" t="s">
        <v>167</v>
      </c>
      <c r="H9" s="20" t="s">
        <v>168</v>
      </c>
      <c r="I9" s="20" t="s">
        <v>169</v>
      </c>
      <c r="J9" s="20" t="s">
        <v>170</v>
      </c>
      <c r="K9" s="20" t="s">
        <v>171</v>
      </c>
      <c r="L9" s="20" t="s">
        <v>172</v>
      </c>
      <c r="M9" s="20" t="s">
        <v>173</v>
      </c>
    </row>
    <row r="10" customFormat="false" ht="12.75" hidden="false" customHeight="true" outlineLevel="0" collapsed="false">
      <c r="B10" s="32" t="s">
        <v>174</v>
      </c>
      <c r="C10" s="46" t="str">
        <f aca="true">OFFSET(C$30,(OPCASE-1)*$C$6,0,1,1)</f>
        <v>Sponsor base</v>
      </c>
      <c r="D10" s="47" t="str">
        <f aca="true">OFFSET(D$30,(OPCASE-1)*$C$6,0,1,1)</f>
        <v>Dersimelagon approved; APOLLO misses/delays bitopertin; SCENESSE keeps implant-preferring &amp; severe patients</v>
      </c>
    </row>
    <row r="11" customFormat="false" ht="12.75" hidden="false" customHeight="true" outlineLevel="0" collapsed="false">
      <c r="B11" s="46" t="s">
        <v>175</v>
      </c>
      <c r="C11" s="48" t="s">
        <v>176</v>
      </c>
      <c r="H11" s="49" t="n">
        <f aca="true">OFFSET(H$31,(OPCASE-1)*$C$6,0,1,1)</f>
        <v>-0.05</v>
      </c>
      <c r="I11" s="49" t="n">
        <f aca="true">OFFSET(I$31,(OPCASE-1)*$C$6,0,1,1)</f>
        <v>-0.18</v>
      </c>
      <c r="J11" s="49" t="n">
        <f aca="true">OFFSET(J$31,(OPCASE-1)*$C$6,0,1,1)</f>
        <v>-0.15</v>
      </c>
      <c r="K11" s="49" t="n">
        <f aca="true">OFFSET(K$31,(OPCASE-1)*$C$6,0,1,1)</f>
        <v>-0.08</v>
      </c>
      <c r="L11" s="49" t="n">
        <f aca="true">OFFSET(L$31,(OPCASE-1)*$C$6,0,1,1)</f>
        <v>-0.05</v>
      </c>
      <c r="M11" s="49" t="n">
        <f aca="true">OFFSET(M$31,(OPCASE-1)*$C$6,0,1,1)</f>
        <v>-0.03</v>
      </c>
    </row>
    <row r="12" customFormat="false" ht="12.75" hidden="false" customHeight="true" outlineLevel="0" collapsed="false">
      <c r="B12" s="46" t="s">
        <v>177</v>
      </c>
      <c r="C12" s="48" t="s">
        <v>176</v>
      </c>
      <c r="H12" s="49" t="n">
        <f aca="true">OFFSET(H$32,(OPCASE-1)*$C$6,0,1,1)</f>
        <v>0.05</v>
      </c>
      <c r="I12" s="49" t="n">
        <f aca="true">OFFSET(I$32,(OPCASE-1)*$C$6,0,1,1)</f>
        <v>0.04</v>
      </c>
      <c r="J12" s="49" t="n">
        <f aca="true">OFFSET(J$32,(OPCASE-1)*$C$6,0,1,1)</f>
        <v>0.02</v>
      </c>
      <c r="K12" s="49" t="n">
        <f aca="true">OFFSET(K$32,(OPCASE-1)*$C$6,0,1,1)</f>
        <v>-0.03</v>
      </c>
      <c r="L12" s="49" t="n">
        <f aca="true">OFFSET(L$32,(OPCASE-1)*$C$6,0,1,1)</f>
        <v>-0.05</v>
      </c>
      <c r="M12" s="49" t="n">
        <f aca="true">OFFSET(M$32,(OPCASE-1)*$C$6,0,1,1)</f>
        <v>-0.03</v>
      </c>
    </row>
    <row r="13" customFormat="false" ht="12.75" hidden="false" customHeight="true" outlineLevel="0" collapsed="false">
      <c r="B13" s="46" t="s">
        <v>178</v>
      </c>
      <c r="C13" s="48" t="s">
        <v>81</v>
      </c>
      <c r="H13" s="50" t="n">
        <f aca="true">OFFSET(H$33,(OPCASE-1)*$C$6,0,1,1)</f>
        <v>0</v>
      </c>
      <c r="I13" s="50" t="n">
        <f aca="true">OFFSET(I$33,(OPCASE-1)*$C$6,0,1,1)</f>
        <v>0</v>
      </c>
      <c r="J13" s="50" t="n">
        <f aca="true">OFFSET(J$33,(OPCASE-1)*$C$6,0,1,1)</f>
        <v>0</v>
      </c>
      <c r="K13" s="50" t="n">
        <f aca="true">OFFSET(K$33,(OPCASE-1)*$C$6,0,1,1)</f>
        <v>0</v>
      </c>
      <c r="L13" s="50" t="n">
        <f aca="true">OFFSET(L$33,(OPCASE-1)*$C$6,0,1,1)</f>
        <v>0</v>
      </c>
      <c r="M13" s="50" t="n">
        <f aca="true">OFFSET(M$33,(OPCASE-1)*$C$6,0,1,1)</f>
        <v>0</v>
      </c>
    </row>
    <row r="14" customFormat="false" ht="12.75" hidden="false" customHeight="true" outlineLevel="0" collapsed="false">
      <c r="B14" s="46" t="s">
        <v>179</v>
      </c>
      <c r="C14" s="48" t="s">
        <v>81</v>
      </c>
      <c r="H14" s="50" t="n">
        <f aca="true">OFFSET(H$34,(OPCASE-1)*$C$6,0,1,1)</f>
        <v>0</v>
      </c>
      <c r="I14" s="50" t="n">
        <f aca="true">OFFSET(I$34,(OPCASE-1)*$C$6,0,1,1)</f>
        <v>0</v>
      </c>
      <c r="J14" s="50" t="n">
        <f aca="true">OFFSET(J$34,(OPCASE-1)*$C$6,0,1,1)</f>
        <v>0</v>
      </c>
      <c r="K14" s="50" t="n">
        <f aca="true">OFFSET(K$34,(OPCASE-1)*$C$6,0,1,1)</f>
        <v>0</v>
      </c>
      <c r="L14" s="50" t="n">
        <f aca="true">OFFSET(L$34,(OPCASE-1)*$C$6,0,1,1)</f>
        <v>0</v>
      </c>
      <c r="M14" s="50" t="n">
        <f aca="true">OFFSET(M$34,(OPCASE-1)*$C$6,0,1,1)</f>
        <v>0</v>
      </c>
    </row>
    <row r="15" customFormat="false" ht="12.75" hidden="false" customHeight="true" outlineLevel="0" collapsed="false">
      <c r="B15" s="46" t="s">
        <v>180</v>
      </c>
      <c r="C15" s="48" t="s">
        <v>176</v>
      </c>
      <c r="H15" s="49" t="n">
        <f aca="true">OFFSET(H$35,(OPCASE-1)*$C$6,0,1,1)</f>
        <v>0.075</v>
      </c>
      <c r="I15" s="49" t="n">
        <f aca="true">OFFSET(I$35,(OPCASE-1)*$C$6,0,1,1)</f>
        <v>0.075</v>
      </c>
      <c r="J15" s="49" t="n">
        <f aca="true">OFFSET(J$35,(OPCASE-1)*$C$6,0,1,1)</f>
        <v>0.075</v>
      </c>
      <c r="K15" s="49" t="n">
        <f aca="true">OFFSET(K$35,(OPCASE-1)*$C$6,0,1,1)</f>
        <v>0.075</v>
      </c>
      <c r="L15" s="49" t="n">
        <f aca="true">OFFSET(L$35,(OPCASE-1)*$C$6,0,1,1)</f>
        <v>0.075</v>
      </c>
      <c r="M15" s="49" t="n">
        <f aca="true">OFFSET(M$35,(OPCASE-1)*$C$6,0,1,1)</f>
        <v>0.075</v>
      </c>
    </row>
    <row r="16" customFormat="false" ht="12.75" hidden="false" customHeight="true" outlineLevel="0" collapsed="false">
      <c r="B16" s="46" t="s">
        <v>181</v>
      </c>
      <c r="C16" s="48" t="s">
        <v>176</v>
      </c>
      <c r="H16" s="49" t="n">
        <f aca="true">OFFSET(H$36,(OPCASE-1)*$C$6,0,1,1)</f>
        <v>0.03</v>
      </c>
      <c r="I16" s="49" t="n">
        <f aca="true">OFFSET(I$36,(OPCASE-1)*$C$6,0,1,1)</f>
        <v>0.03</v>
      </c>
      <c r="J16" s="49" t="n">
        <f aca="true">OFFSET(J$36,(OPCASE-1)*$C$6,0,1,1)</f>
        <v>0.03</v>
      </c>
      <c r="K16" s="49" t="n">
        <f aca="true">OFFSET(K$36,(OPCASE-1)*$C$6,0,1,1)</f>
        <v>0.03</v>
      </c>
      <c r="L16" s="49" t="n">
        <f aca="true">OFFSET(L$36,(OPCASE-1)*$C$6,0,1,1)</f>
        <v>0.03</v>
      </c>
      <c r="M16" s="49" t="n">
        <f aca="true">OFFSET(M$36,(OPCASE-1)*$C$6,0,1,1)</f>
        <v>0.03</v>
      </c>
    </row>
    <row r="17" customFormat="false" ht="12.75" hidden="false" customHeight="true" outlineLevel="0" collapsed="false">
      <c r="B17" s="46" t="s">
        <v>182</v>
      </c>
      <c r="C17" s="48" t="s">
        <v>81</v>
      </c>
      <c r="H17" s="50" t="n">
        <f aca="true">OFFSET(H$37,(OPCASE-1)*$C$6,0,1,1)</f>
        <v>0</v>
      </c>
      <c r="I17" s="50" t="n">
        <f aca="true">OFFSET(I$37,(OPCASE-1)*$C$6,0,1,1)</f>
        <v>-1.5</v>
      </c>
      <c r="J17" s="50" t="n">
        <f aca="true">OFFSET(J$37,(OPCASE-1)*$C$6,0,1,1)</f>
        <v>-1.5</v>
      </c>
      <c r="K17" s="50" t="n">
        <f aca="true">OFFSET(K$37,(OPCASE-1)*$C$6,0,1,1)</f>
        <v>-1</v>
      </c>
      <c r="L17" s="50" t="n">
        <f aca="true">OFFSET(L$37,(OPCASE-1)*$C$6,0,1,1)</f>
        <v>-1</v>
      </c>
      <c r="M17" s="50" t="n">
        <f aca="true">OFFSET(M$37,(OPCASE-1)*$C$6,0,1,1)</f>
        <v>-1</v>
      </c>
    </row>
    <row r="18" customFormat="false" ht="12.75" hidden="false" customHeight="true" outlineLevel="0" collapsed="false">
      <c r="B18" s="46" t="s">
        <v>183</v>
      </c>
      <c r="C18" s="48" t="s">
        <v>176</v>
      </c>
      <c r="H18" s="49" t="n">
        <f aca="true">OFFSET(H$38,(OPCASE-1)*$C$6,0,1,1)</f>
        <v>0</v>
      </c>
      <c r="I18" s="49" t="n">
        <f aca="true">OFFSET(I$38,(OPCASE-1)*$C$6,0,1,1)</f>
        <v>0.35</v>
      </c>
      <c r="J18" s="49" t="n">
        <f aca="true">OFFSET(J$38,(OPCASE-1)*$C$6,0,1,1)</f>
        <v>0.45</v>
      </c>
      <c r="K18" s="49" t="n">
        <f aca="true">OFFSET(K$38,(OPCASE-1)*$C$6,0,1,1)</f>
        <v>0.45</v>
      </c>
      <c r="L18" s="49" t="n">
        <f aca="true">OFFSET(L$38,(OPCASE-1)*$C$6,0,1,1)</f>
        <v>0.45</v>
      </c>
      <c r="M18" s="49" t="n">
        <f aca="true">OFFSET(M$38,(OPCASE-1)*$C$6,0,1,1)</f>
        <v>0.45</v>
      </c>
    </row>
    <row r="19" customFormat="false" ht="12.75" hidden="false" customHeight="true" outlineLevel="0" collapsed="false">
      <c r="B19" s="46" t="s">
        <v>184</v>
      </c>
      <c r="C19" s="48" t="s">
        <v>81</v>
      </c>
      <c r="H19" s="50" t="n">
        <f aca="true">OFFSET(H$39,(OPCASE-1)*$C$6,0,1,1)</f>
        <v>-5.2</v>
      </c>
      <c r="I19" s="50" t="n">
        <f aca="true">OFFSET(I$39,(OPCASE-1)*$C$6,0,1,1)</f>
        <v>-1</v>
      </c>
      <c r="J19" s="50" t="n">
        <f aca="true">OFFSET(J$39,(OPCASE-1)*$C$6,0,1,1)</f>
        <v>-1</v>
      </c>
      <c r="K19" s="50" t="n">
        <f aca="true">OFFSET(K$39,(OPCASE-1)*$C$6,0,1,1)</f>
        <v>-1</v>
      </c>
      <c r="L19" s="50" t="n">
        <f aca="true">OFFSET(L$39,(OPCASE-1)*$C$6,0,1,1)</f>
        <v>-1</v>
      </c>
      <c r="M19" s="50" t="n">
        <f aca="true">OFFSET(M$39,(OPCASE-1)*$C$6,0,1,1)</f>
        <v>-1</v>
      </c>
    </row>
    <row r="20" customFormat="false" ht="12.75" hidden="false" customHeight="true" outlineLevel="0" collapsed="false">
      <c r="B20" s="46" t="s">
        <v>185</v>
      </c>
      <c r="C20" s="48" t="s">
        <v>81</v>
      </c>
      <c r="H20" s="50" t="n">
        <f aca="true">OFFSET(H$40,(OPCASE-1)*$C$6,0,1,1)</f>
        <v>-15</v>
      </c>
      <c r="I20" s="50" t="n">
        <f aca="true">OFFSET(I$40,(OPCASE-1)*$C$6,0,1,1)</f>
        <v>-2</v>
      </c>
      <c r="J20" s="50" t="n">
        <f aca="true">OFFSET(J$40,(OPCASE-1)*$C$6,0,1,1)</f>
        <v>0</v>
      </c>
      <c r="K20" s="50" t="n">
        <f aca="true">OFFSET(K$40,(OPCASE-1)*$C$6,0,1,1)</f>
        <v>0</v>
      </c>
      <c r="L20" s="50" t="n">
        <f aca="true">OFFSET(L$40,(OPCASE-1)*$C$6,0,1,1)</f>
        <v>0</v>
      </c>
      <c r="M20" s="50" t="n">
        <f aca="true">OFFSET(M$40,(OPCASE-1)*$C$6,0,1,1)</f>
        <v>0</v>
      </c>
    </row>
    <row r="21" customFormat="false" ht="12.75" hidden="false" customHeight="true" outlineLevel="0" collapsed="false">
      <c r="B21" s="46" t="s">
        <v>186</v>
      </c>
      <c r="C21" s="48" t="s">
        <v>81</v>
      </c>
      <c r="H21" s="50" t="n">
        <f aca="true">OFFSET(H$41,(OPCASE-1)*$C$6,0,1,1)</f>
        <v>-6.5</v>
      </c>
      <c r="I21" s="50" t="n">
        <f aca="true">OFFSET(I$41,(OPCASE-1)*$C$6,0,1,1)</f>
        <v>-1.5</v>
      </c>
      <c r="J21" s="50" t="n">
        <f aca="true">OFFSET(J$41,(OPCASE-1)*$C$6,0,1,1)</f>
        <v>-1.5</v>
      </c>
      <c r="K21" s="50" t="n">
        <f aca="true">OFFSET(K$41,(OPCASE-1)*$C$6,0,1,1)</f>
        <v>-1.5</v>
      </c>
      <c r="L21" s="50" t="n">
        <f aca="true">OFFSET(L$41,(OPCASE-1)*$C$6,0,1,1)</f>
        <v>-1.5</v>
      </c>
      <c r="M21" s="50" t="n">
        <f aca="true">OFFSET(M$41,(OPCASE-1)*$C$6,0,1,1)</f>
        <v>-1.5</v>
      </c>
    </row>
    <row r="22" customFormat="false" ht="12.75" hidden="false" customHeight="true" outlineLevel="0" collapsed="false">
      <c r="B22" s="46" t="s">
        <v>187</v>
      </c>
      <c r="C22" s="48" t="s">
        <v>81</v>
      </c>
      <c r="H22" s="50" t="n">
        <f aca="true">OFFSET(H$42,(OPCASE-1)*$C$6,0,1,1)</f>
        <v>0</v>
      </c>
      <c r="I22" s="50" t="n">
        <f aca="true">OFFSET(I$42,(OPCASE-1)*$C$6,0,1,1)</f>
        <v>0</v>
      </c>
      <c r="J22" s="50" t="n">
        <f aca="true">OFFSET(J$42,(OPCASE-1)*$C$6,0,1,1)</f>
        <v>0</v>
      </c>
      <c r="K22" s="50" t="n">
        <f aca="true">OFFSET(K$42,(OPCASE-1)*$C$6,0,1,1)</f>
        <v>0</v>
      </c>
      <c r="L22" s="50" t="n">
        <f aca="true">OFFSET(L$42,(OPCASE-1)*$C$6,0,1,1)</f>
        <v>0</v>
      </c>
      <c r="M22" s="50" t="n">
        <f aca="true">OFFSET(M$42,(OPCASE-1)*$C$6,0,1,1)</f>
        <v>0</v>
      </c>
    </row>
    <row r="23" customFormat="false" ht="12.75" hidden="false" customHeight="true" outlineLevel="0" collapsed="false">
      <c r="B23" s="46" t="s">
        <v>188</v>
      </c>
      <c r="C23" s="48" t="s">
        <v>81</v>
      </c>
      <c r="H23" s="50" t="n">
        <f aca="true">OFFSET(H$43,(OPCASE-1)*$C$6,0,1,1)</f>
        <v>-4</v>
      </c>
      <c r="I23" s="50" t="n">
        <f aca="true">OFFSET(I$43,(OPCASE-1)*$C$6,0,1,1)</f>
        <v>-4</v>
      </c>
      <c r="J23" s="50" t="n">
        <f aca="true">OFFSET(J$43,(OPCASE-1)*$C$6,0,1,1)</f>
        <v>0</v>
      </c>
      <c r="K23" s="50" t="n">
        <f aca="true">OFFSET(K$43,(OPCASE-1)*$C$6,0,1,1)</f>
        <v>0</v>
      </c>
      <c r="L23" s="50" t="n">
        <f aca="true">OFFSET(L$43,(OPCASE-1)*$C$6,0,1,1)</f>
        <v>0</v>
      </c>
      <c r="M23" s="50" t="n">
        <f aca="true">OFFSET(M$43,(OPCASE-1)*$C$6,0,1,1)</f>
        <v>0</v>
      </c>
    </row>
    <row r="24" customFormat="false" ht="12.75" hidden="false" customHeight="true" outlineLevel="0" collapsed="false">
      <c r="B24" s="46" t="s">
        <v>189</v>
      </c>
      <c r="C24" s="48" t="s">
        <v>81</v>
      </c>
      <c r="H24" s="50" t="n">
        <f aca="true">OFFSET(H$44,(OPCASE-1)*$C$6,0,1,1)</f>
        <v>-4</v>
      </c>
      <c r="I24" s="50" t="n">
        <f aca="true">OFFSET(I$44,(OPCASE-1)*$C$6,0,1,1)</f>
        <v>-1.5</v>
      </c>
      <c r="J24" s="50" t="n">
        <f aca="true">OFFSET(J$44,(OPCASE-1)*$C$6,0,1,1)</f>
        <v>-1.5</v>
      </c>
      <c r="K24" s="50" t="n">
        <f aca="true">OFFSET(K$44,(OPCASE-1)*$C$6,0,1,1)</f>
        <v>-1.5</v>
      </c>
      <c r="L24" s="50" t="n">
        <f aca="true">OFFSET(L$44,(OPCASE-1)*$C$6,0,1,1)</f>
        <v>-1.5</v>
      </c>
      <c r="M24" s="50" t="n">
        <f aca="true">OFFSET(M$44,(OPCASE-1)*$C$6,0,1,1)</f>
        <v>-1.5</v>
      </c>
    </row>
    <row r="25" customFormat="false" ht="12.75" hidden="false" customHeight="true" outlineLevel="0" collapsed="false">
      <c r="B25" s="46" t="s">
        <v>190</v>
      </c>
      <c r="C25" s="48" t="s">
        <v>176</v>
      </c>
      <c r="H25" s="49" t="n">
        <f aca="true">OFFSET(H$45,(OPCASE-1)*$C$6,0,1,1)</f>
        <v>0.16</v>
      </c>
      <c r="I25" s="49" t="n">
        <f aca="true">OFFSET(I$45,(OPCASE-1)*$C$6,0,1,1)</f>
        <v>0.16</v>
      </c>
      <c r="J25" s="49" t="n">
        <f aca="true">OFFSET(J$45,(OPCASE-1)*$C$6,0,1,1)</f>
        <v>0.16</v>
      </c>
      <c r="K25" s="49" t="n">
        <f aca="true">OFFSET(K$45,(OPCASE-1)*$C$6,0,1,1)</f>
        <v>0.16</v>
      </c>
      <c r="L25" s="49" t="n">
        <f aca="true">OFFSET(L$45,(OPCASE-1)*$C$6,0,1,1)</f>
        <v>0.16</v>
      </c>
      <c r="M25" s="49" t="n">
        <f aca="true">OFFSET(M$45,(OPCASE-1)*$C$6,0,1,1)</f>
        <v>0.16</v>
      </c>
    </row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>
      <c r="B29" s="9" t="s">
        <v>191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2.75" hidden="false" customHeight="true" outlineLevel="0" collapsed="false">
      <c r="B30" s="4" t="s">
        <v>192</v>
      </c>
      <c r="C30" s="5" t="s">
        <v>193</v>
      </c>
      <c r="D30" s="51" t="s">
        <v>194</v>
      </c>
    </row>
    <row r="31" customFormat="false" ht="12.75" hidden="false" customHeight="true" outlineLevel="0" collapsed="false">
      <c r="B31" s="6" t="s">
        <v>175</v>
      </c>
      <c r="C31" s="52" t="s">
        <v>176</v>
      </c>
      <c r="H31" s="26" t="n">
        <v>-0.08</v>
      </c>
      <c r="I31" s="26" t="n">
        <v>-0.35</v>
      </c>
      <c r="J31" s="26" t="n">
        <v>-0.35</v>
      </c>
      <c r="K31" s="26" t="n">
        <v>-0.25</v>
      </c>
      <c r="L31" s="26" t="n">
        <v>-0.2</v>
      </c>
      <c r="M31" s="26" t="n">
        <v>-0.15</v>
      </c>
    </row>
    <row r="32" customFormat="false" ht="12.75" hidden="false" customHeight="true" outlineLevel="0" collapsed="false">
      <c r="B32" s="6" t="s">
        <v>177</v>
      </c>
      <c r="C32" s="52" t="s">
        <v>176</v>
      </c>
      <c r="H32" s="26" t="n">
        <v>0.04</v>
      </c>
      <c r="I32" s="26" t="n">
        <v>0.02</v>
      </c>
      <c r="J32" s="26" t="n">
        <v>-0.05</v>
      </c>
      <c r="K32" s="26" t="n">
        <v>-0.15</v>
      </c>
      <c r="L32" s="26" t="n">
        <v>-0.2</v>
      </c>
      <c r="M32" s="26" t="n">
        <v>-0.15</v>
      </c>
    </row>
    <row r="33" customFormat="false" ht="12.75" hidden="false" customHeight="true" outlineLevel="0" collapsed="false">
      <c r="B33" s="6" t="s">
        <v>178</v>
      </c>
      <c r="C33" s="52" t="s">
        <v>81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</row>
    <row r="34" customFormat="false" ht="12.75" hidden="false" customHeight="true" outlineLevel="0" collapsed="false">
      <c r="B34" s="6" t="s">
        <v>179</v>
      </c>
      <c r="C34" s="52" t="s">
        <v>81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</row>
    <row r="35" customFormat="false" ht="12.75" hidden="false" customHeight="true" outlineLevel="0" collapsed="false">
      <c r="B35" s="6" t="s">
        <v>180</v>
      </c>
      <c r="C35" s="52" t="s">
        <v>176</v>
      </c>
      <c r="H35" s="26" t="n">
        <v>0.075</v>
      </c>
      <c r="I35" s="26" t="n">
        <v>0.08</v>
      </c>
      <c r="J35" s="26" t="n">
        <v>0.085</v>
      </c>
      <c r="K35" s="26" t="n">
        <v>0.09</v>
      </c>
      <c r="L35" s="26" t="n">
        <v>0.095</v>
      </c>
      <c r="M35" s="26" t="n">
        <v>0.1</v>
      </c>
    </row>
    <row r="36" customFormat="false" ht="12.75" hidden="false" customHeight="true" outlineLevel="0" collapsed="false">
      <c r="B36" s="6" t="s">
        <v>181</v>
      </c>
      <c r="C36" s="52" t="s">
        <v>176</v>
      </c>
      <c r="H36" s="26" t="n">
        <v>0.03</v>
      </c>
      <c r="I36" s="26" t="n">
        <v>0.03</v>
      </c>
      <c r="J36" s="26" t="n">
        <v>0.03</v>
      </c>
      <c r="K36" s="26" t="n">
        <v>0.03</v>
      </c>
      <c r="L36" s="26" t="n">
        <v>0.03</v>
      </c>
      <c r="M36" s="26" t="n">
        <v>0.03</v>
      </c>
    </row>
    <row r="37" customFormat="false" ht="12.75" hidden="false" customHeight="true" outlineLevel="0" collapsed="false">
      <c r="B37" s="6" t="s">
        <v>182</v>
      </c>
      <c r="C37" s="52" t="s">
        <v>81</v>
      </c>
      <c r="H37" s="22" t="n">
        <v>0</v>
      </c>
      <c r="I37" s="22" t="n">
        <v>-2</v>
      </c>
      <c r="J37" s="22" t="n">
        <v>-2</v>
      </c>
      <c r="K37" s="22" t="n">
        <v>-1.5</v>
      </c>
      <c r="L37" s="22" t="n">
        <v>-1</v>
      </c>
      <c r="M37" s="22" t="n">
        <v>-1</v>
      </c>
    </row>
    <row r="38" customFormat="false" ht="12.75" hidden="false" customHeight="true" outlineLevel="0" collapsed="false">
      <c r="B38" s="6" t="s">
        <v>183</v>
      </c>
      <c r="C38" s="52" t="s">
        <v>176</v>
      </c>
      <c r="H38" s="26" t="n">
        <v>0</v>
      </c>
      <c r="I38" s="26" t="n">
        <v>0.35</v>
      </c>
      <c r="J38" s="26" t="n">
        <v>0.45</v>
      </c>
      <c r="K38" s="26" t="n">
        <v>0.45</v>
      </c>
      <c r="L38" s="26" t="n">
        <v>0.45</v>
      </c>
      <c r="M38" s="26" t="n">
        <v>0.45</v>
      </c>
    </row>
    <row r="39" customFormat="false" ht="12.75" hidden="false" customHeight="true" outlineLevel="0" collapsed="false">
      <c r="B39" s="6" t="s">
        <v>184</v>
      </c>
      <c r="C39" s="52" t="s">
        <v>81</v>
      </c>
      <c r="H39" s="22" t="n">
        <v>-5.2</v>
      </c>
      <c r="I39" s="22" t="n">
        <v>-1</v>
      </c>
      <c r="J39" s="22" t="n">
        <v>-1</v>
      </c>
      <c r="K39" s="22" t="n">
        <v>-1</v>
      </c>
      <c r="L39" s="22" t="n">
        <v>-1</v>
      </c>
      <c r="M39" s="22" t="n">
        <v>-1</v>
      </c>
    </row>
    <row r="40" customFormat="false" ht="12.75" hidden="false" customHeight="true" outlineLevel="0" collapsed="false">
      <c r="B40" s="6" t="s">
        <v>185</v>
      </c>
      <c r="C40" s="52" t="s">
        <v>81</v>
      </c>
      <c r="H40" s="22" t="n">
        <v>-15</v>
      </c>
      <c r="I40" s="22" t="n">
        <v>-2</v>
      </c>
      <c r="J40" s="22" t="n">
        <v>0</v>
      </c>
      <c r="K40" s="22" t="n">
        <v>0</v>
      </c>
      <c r="L40" s="22" t="n">
        <v>0</v>
      </c>
      <c r="M40" s="22" t="n">
        <v>0</v>
      </c>
    </row>
    <row r="41" customFormat="false" ht="12.75" hidden="false" customHeight="true" outlineLevel="0" collapsed="false">
      <c r="B41" s="6" t="s">
        <v>186</v>
      </c>
      <c r="C41" s="52" t="s">
        <v>81</v>
      </c>
      <c r="H41" s="22" t="n">
        <v>-6.5</v>
      </c>
      <c r="I41" s="22" t="n">
        <v>-1.5</v>
      </c>
      <c r="J41" s="22" t="n">
        <v>-1.5</v>
      </c>
      <c r="K41" s="22" t="n">
        <v>-1.5</v>
      </c>
      <c r="L41" s="22" t="n">
        <v>-1.5</v>
      </c>
      <c r="M41" s="22" t="n">
        <v>-1.5</v>
      </c>
    </row>
    <row r="42" customFormat="false" ht="12.75" hidden="false" customHeight="true" outlineLevel="0" collapsed="false">
      <c r="B42" s="6" t="s">
        <v>187</v>
      </c>
      <c r="C42" s="52" t="s">
        <v>81</v>
      </c>
      <c r="H42" s="22" t="n">
        <v>0</v>
      </c>
      <c r="I42" s="22" t="n">
        <v>0</v>
      </c>
      <c r="J42" s="22" t="n">
        <v>0</v>
      </c>
      <c r="K42" s="22" t="n">
        <v>0</v>
      </c>
      <c r="L42" s="22" t="n">
        <v>0</v>
      </c>
      <c r="M42" s="22" t="n">
        <v>0</v>
      </c>
    </row>
    <row r="43" customFormat="false" ht="12.75" hidden="false" customHeight="true" outlineLevel="0" collapsed="false">
      <c r="B43" s="6" t="s">
        <v>188</v>
      </c>
      <c r="C43" s="52" t="s">
        <v>81</v>
      </c>
      <c r="H43" s="22" t="n">
        <v>-4</v>
      </c>
      <c r="I43" s="22" t="n">
        <v>-4</v>
      </c>
      <c r="J43" s="22" t="n">
        <v>0</v>
      </c>
      <c r="K43" s="22" t="n">
        <v>0</v>
      </c>
      <c r="L43" s="22" t="n">
        <v>0</v>
      </c>
      <c r="M43" s="22" t="n">
        <v>0</v>
      </c>
    </row>
    <row r="44" customFormat="false" ht="12.75" hidden="false" customHeight="true" outlineLevel="0" collapsed="false">
      <c r="B44" s="6" t="s">
        <v>189</v>
      </c>
      <c r="C44" s="52" t="s">
        <v>81</v>
      </c>
      <c r="H44" s="22" t="n">
        <v>-4</v>
      </c>
      <c r="I44" s="22" t="n">
        <v>-1.5</v>
      </c>
      <c r="J44" s="22" t="n">
        <v>-1.5</v>
      </c>
      <c r="K44" s="22" t="n">
        <v>-1.5</v>
      </c>
      <c r="L44" s="22" t="n">
        <v>-1.5</v>
      </c>
      <c r="M44" s="22" t="n">
        <v>-1.5</v>
      </c>
    </row>
    <row r="45" customFormat="false" ht="12.75" hidden="false" customHeight="true" outlineLevel="0" collapsed="false">
      <c r="B45" s="6" t="s">
        <v>190</v>
      </c>
      <c r="C45" s="52" t="s">
        <v>176</v>
      </c>
      <c r="H45" s="26" t="n">
        <v>0.16</v>
      </c>
      <c r="I45" s="26" t="n">
        <v>0.16</v>
      </c>
      <c r="J45" s="26" t="n">
        <v>0.16</v>
      </c>
      <c r="K45" s="26" t="n">
        <v>0.16</v>
      </c>
      <c r="L45" s="26" t="n">
        <v>0.16</v>
      </c>
      <c r="M45" s="26" t="n">
        <v>0.16</v>
      </c>
    </row>
    <row r="46" customFormat="false" ht="12.75" hidden="false" customHeight="true" outlineLevel="0" collapsed="false"/>
    <row r="47" customFormat="false" ht="12.75" hidden="false" customHeight="true" outlineLevel="0" collapsed="false">
      <c r="B47" s="9" t="s">
        <v>195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customFormat="false" ht="12.75" hidden="false" customHeight="true" outlineLevel="0" collapsed="false">
      <c r="B48" s="4" t="s">
        <v>196</v>
      </c>
      <c r="C48" s="5" t="s">
        <v>197</v>
      </c>
      <c r="D48" s="51" t="s">
        <v>198</v>
      </c>
    </row>
    <row r="49" customFormat="false" ht="12.75" hidden="false" customHeight="true" outlineLevel="0" collapsed="false">
      <c r="B49" s="6" t="s">
        <v>175</v>
      </c>
      <c r="C49" s="52" t="s">
        <v>176</v>
      </c>
      <c r="H49" s="26" t="n">
        <v>-0.06</v>
      </c>
      <c r="I49" s="26" t="n">
        <v>-0.25</v>
      </c>
      <c r="J49" s="26" t="n">
        <v>-0.25</v>
      </c>
      <c r="K49" s="26" t="n">
        <v>-0.15</v>
      </c>
      <c r="L49" s="26" t="n">
        <v>-0.1</v>
      </c>
      <c r="M49" s="26" t="n">
        <v>-0.08</v>
      </c>
    </row>
    <row r="50" customFormat="false" ht="12.75" hidden="false" customHeight="true" outlineLevel="0" collapsed="false">
      <c r="B50" s="6" t="s">
        <v>177</v>
      </c>
      <c r="C50" s="52" t="s">
        <v>176</v>
      </c>
      <c r="H50" s="26" t="n">
        <v>0.04</v>
      </c>
      <c r="I50" s="26" t="n">
        <v>0.03</v>
      </c>
      <c r="J50" s="26" t="n">
        <v>0</v>
      </c>
      <c r="K50" s="26" t="n">
        <v>-0.08</v>
      </c>
      <c r="L50" s="26" t="n">
        <v>-0.1</v>
      </c>
      <c r="M50" s="26" t="n">
        <v>-0.08</v>
      </c>
    </row>
    <row r="51" customFormat="false" ht="12.75" hidden="false" customHeight="true" outlineLevel="0" collapsed="false">
      <c r="B51" s="6" t="s">
        <v>178</v>
      </c>
      <c r="C51" s="52" t="s">
        <v>81</v>
      </c>
      <c r="H51" s="22" t="n">
        <v>0</v>
      </c>
      <c r="I51" s="22" t="n">
        <v>0</v>
      </c>
      <c r="J51" s="22" t="n">
        <v>0</v>
      </c>
      <c r="K51" s="22" t="n">
        <v>0</v>
      </c>
      <c r="L51" s="22" t="n">
        <v>0</v>
      </c>
      <c r="M51" s="22" t="n">
        <v>0</v>
      </c>
    </row>
    <row r="52" customFormat="false" ht="12.75" hidden="false" customHeight="true" outlineLevel="0" collapsed="false">
      <c r="B52" s="6" t="s">
        <v>179</v>
      </c>
      <c r="C52" s="52" t="s">
        <v>81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</row>
    <row r="53" customFormat="false" ht="12.75" hidden="false" customHeight="true" outlineLevel="0" collapsed="false">
      <c r="B53" s="6" t="s">
        <v>180</v>
      </c>
      <c r="C53" s="52" t="s">
        <v>176</v>
      </c>
      <c r="H53" s="26" t="n">
        <v>0.075</v>
      </c>
      <c r="I53" s="26" t="n">
        <v>0.0775</v>
      </c>
      <c r="J53" s="26" t="n">
        <v>0.08</v>
      </c>
      <c r="K53" s="26" t="n">
        <v>0.085</v>
      </c>
      <c r="L53" s="26" t="n">
        <v>0.085</v>
      </c>
      <c r="M53" s="26" t="n">
        <v>0.085</v>
      </c>
    </row>
    <row r="54" customFormat="false" ht="12.75" hidden="false" customHeight="true" outlineLevel="0" collapsed="false">
      <c r="B54" s="6" t="s">
        <v>181</v>
      </c>
      <c r="C54" s="52" t="s">
        <v>176</v>
      </c>
      <c r="H54" s="26" t="n">
        <v>0.03</v>
      </c>
      <c r="I54" s="26" t="n">
        <v>0.03</v>
      </c>
      <c r="J54" s="26" t="n">
        <v>0.03</v>
      </c>
      <c r="K54" s="26" t="n">
        <v>0.03</v>
      </c>
      <c r="L54" s="26" t="n">
        <v>0.03</v>
      </c>
      <c r="M54" s="26" t="n">
        <v>0.03</v>
      </c>
    </row>
    <row r="55" customFormat="false" ht="12.75" hidden="false" customHeight="true" outlineLevel="0" collapsed="false">
      <c r="B55" s="6" t="s">
        <v>182</v>
      </c>
      <c r="C55" s="52" t="s">
        <v>81</v>
      </c>
      <c r="H55" s="22" t="n">
        <v>0</v>
      </c>
      <c r="I55" s="22" t="n">
        <v>-2</v>
      </c>
      <c r="J55" s="22" t="n">
        <v>-2</v>
      </c>
      <c r="K55" s="22" t="n">
        <v>-1.5</v>
      </c>
      <c r="L55" s="22" t="n">
        <v>-1</v>
      </c>
      <c r="M55" s="22" t="n">
        <v>-1</v>
      </c>
    </row>
    <row r="56" customFormat="false" ht="12.75" hidden="false" customHeight="true" outlineLevel="0" collapsed="false">
      <c r="B56" s="6" t="s">
        <v>183</v>
      </c>
      <c r="C56" s="52" t="s">
        <v>176</v>
      </c>
      <c r="H56" s="26" t="n">
        <v>0</v>
      </c>
      <c r="I56" s="26" t="n">
        <v>0.35</v>
      </c>
      <c r="J56" s="26" t="n">
        <v>0.45</v>
      </c>
      <c r="K56" s="26" t="n">
        <v>0.45</v>
      </c>
      <c r="L56" s="26" t="n">
        <v>0.45</v>
      </c>
      <c r="M56" s="26" t="n">
        <v>0.45</v>
      </c>
    </row>
    <row r="57" customFormat="false" ht="12.75" hidden="false" customHeight="true" outlineLevel="0" collapsed="false">
      <c r="B57" s="6" t="s">
        <v>184</v>
      </c>
      <c r="C57" s="52" t="s">
        <v>81</v>
      </c>
      <c r="H57" s="22" t="n">
        <v>-5.2</v>
      </c>
      <c r="I57" s="22" t="n">
        <v>-1</v>
      </c>
      <c r="J57" s="22" t="n">
        <v>-1</v>
      </c>
      <c r="K57" s="22" t="n">
        <v>-1</v>
      </c>
      <c r="L57" s="22" t="n">
        <v>-1</v>
      </c>
      <c r="M57" s="22" t="n">
        <v>-1</v>
      </c>
    </row>
    <row r="58" customFormat="false" ht="12.75" hidden="false" customHeight="true" outlineLevel="0" collapsed="false">
      <c r="B58" s="6" t="s">
        <v>185</v>
      </c>
      <c r="C58" s="52" t="s">
        <v>81</v>
      </c>
      <c r="H58" s="22" t="n">
        <v>-15</v>
      </c>
      <c r="I58" s="22" t="n">
        <v>-2</v>
      </c>
      <c r="J58" s="22" t="n">
        <v>0</v>
      </c>
      <c r="K58" s="22" t="n">
        <v>0</v>
      </c>
      <c r="L58" s="22" t="n">
        <v>0</v>
      </c>
      <c r="M58" s="22" t="n">
        <v>0</v>
      </c>
    </row>
    <row r="59" customFormat="false" ht="12.75" hidden="false" customHeight="true" outlineLevel="0" collapsed="false">
      <c r="B59" s="6" t="s">
        <v>186</v>
      </c>
      <c r="C59" s="52" t="s">
        <v>81</v>
      </c>
      <c r="H59" s="22" t="n">
        <v>-6.5</v>
      </c>
      <c r="I59" s="22" t="n">
        <v>-1.5</v>
      </c>
      <c r="J59" s="22" t="n">
        <v>-1.5</v>
      </c>
      <c r="K59" s="22" t="n">
        <v>-1.5</v>
      </c>
      <c r="L59" s="22" t="n">
        <v>-1.5</v>
      </c>
      <c r="M59" s="22" t="n">
        <v>-1.5</v>
      </c>
    </row>
    <row r="60" customFormat="false" ht="12.75" hidden="false" customHeight="true" outlineLevel="0" collapsed="false">
      <c r="B60" s="6" t="s">
        <v>187</v>
      </c>
      <c r="C60" s="52" t="s">
        <v>81</v>
      </c>
      <c r="H60" s="22" t="n">
        <v>0</v>
      </c>
      <c r="I60" s="22" t="n">
        <v>0</v>
      </c>
      <c r="J60" s="22" t="n">
        <v>0</v>
      </c>
      <c r="K60" s="22" t="n">
        <v>0</v>
      </c>
      <c r="L60" s="22" t="n">
        <v>0</v>
      </c>
      <c r="M60" s="22" t="n">
        <v>0</v>
      </c>
    </row>
    <row r="61" customFormat="false" ht="12.75" hidden="false" customHeight="true" outlineLevel="0" collapsed="false">
      <c r="B61" s="6" t="s">
        <v>188</v>
      </c>
      <c r="C61" s="52" t="s">
        <v>81</v>
      </c>
      <c r="H61" s="22" t="n">
        <v>-4</v>
      </c>
      <c r="I61" s="22" t="n">
        <v>-4</v>
      </c>
      <c r="J61" s="22" t="n">
        <v>0</v>
      </c>
      <c r="K61" s="22" t="n">
        <v>0</v>
      </c>
      <c r="L61" s="22" t="n">
        <v>0</v>
      </c>
      <c r="M61" s="22" t="n">
        <v>0</v>
      </c>
    </row>
    <row r="62" customFormat="false" ht="12.75" hidden="false" customHeight="true" outlineLevel="0" collapsed="false">
      <c r="B62" s="6" t="s">
        <v>189</v>
      </c>
      <c r="C62" s="52" t="s">
        <v>81</v>
      </c>
      <c r="H62" s="22" t="n">
        <v>-4</v>
      </c>
      <c r="I62" s="22" t="n">
        <v>-1.5</v>
      </c>
      <c r="J62" s="22" t="n">
        <v>-1.5</v>
      </c>
      <c r="K62" s="22" t="n">
        <v>-1.5</v>
      </c>
      <c r="L62" s="22" t="n">
        <v>-1.5</v>
      </c>
      <c r="M62" s="22" t="n">
        <v>-1.5</v>
      </c>
    </row>
    <row r="63" customFormat="false" ht="12.75" hidden="false" customHeight="true" outlineLevel="0" collapsed="false">
      <c r="B63" s="6" t="s">
        <v>190</v>
      </c>
      <c r="C63" s="52" t="s">
        <v>176</v>
      </c>
      <c r="H63" s="26" t="n">
        <v>0.16</v>
      </c>
      <c r="I63" s="26" t="n">
        <v>0.16</v>
      </c>
      <c r="J63" s="26" t="n">
        <v>0.16</v>
      </c>
      <c r="K63" s="26" t="n">
        <v>0.16</v>
      </c>
      <c r="L63" s="26" t="n">
        <v>0.16</v>
      </c>
      <c r="M63" s="26" t="n">
        <v>0.16</v>
      </c>
    </row>
    <row r="64" customFormat="false" ht="12.75" hidden="false" customHeight="true" outlineLevel="0" collapsed="false"/>
    <row r="65" customFormat="false" ht="12.75" hidden="false" customHeight="true" outlineLevel="0" collapsed="false">
      <c r="B65" s="9" t="s">
        <v>199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customFormat="false" ht="12.75" hidden="false" customHeight="true" outlineLevel="0" collapsed="false">
      <c r="B66" s="4" t="s">
        <v>200</v>
      </c>
      <c r="C66" s="5" t="s">
        <v>201</v>
      </c>
      <c r="D66" s="51" t="s">
        <v>202</v>
      </c>
    </row>
    <row r="67" customFormat="false" ht="12.75" hidden="false" customHeight="true" outlineLevel="0" collapsed="false">
      <c r="B67" s="6" t="s">
        <v>175</v>
      </c>
      <c r="C67" s="52" t="s">
        <v>176</v>
      </c>
      <c r="H67" s="26" t="n">
        <v>-0.05</v>
      </c>
      <c r="I67" s="26" t="n">
        <v>-0.18</v>
      </c>
      <c r="J67" s="26" t="n">
        <v>-0.15</v>
      </c>
      <c r="K67" s="26" t="n">
        <v>-0.08</v>
      </c>
      <c r="L67" s="26" t="n">
        <v>-0.05</v>
      </c>
      <c r="M67" s="26" t="n">
        <v>-0.03</v>
      </c>
    </row>
    <row r="68" customFormat="false" ht="12.75" hidden="false" customHeight="true" outlineLevel="0" collapsed="false">
      <c r="B68" s="6" t="s">
        <v>177</v>
      </c>
      <c r="C68" s="52" t="s">
        <v>176</v>
      </c>
      <c r="H68" s="26" t="n">
        <v>0.05</v>
      </c>
      <c r="I68" s="26" t="n">
        <v>0.04</v>
      </c>
      <c r="J68" s="26" t="n">
        <v>0.02</v>
      </c>
      <c r="K68" s="26" t="n">
        <v>-0.03</v>
      </c>
      <c r="L68" s="26" t="n">
        <v>-0.05</v>
      </c>
      <c r="M68" s="26" t="n">
        <v>-0.03</v>
      </c>
    </row>
    <row r="69" customFormat="false" ht="12.75" hidden="false" customHeight="true" outlineLevel="0" collapsed="false">
      <c r="B69" s="6" t="s">
        <v>178</v>
      </c>
      <c r="C69" s="52" t="s">
        <v>81</v>
      </c>
      <c r="H69" s="22" t="n">
        <v>0</v>
      </c>
      <c r="I69" s="22" t="n">
        <v>0</v>
      </c>
      <c r="J69" s="22" t="n">
        <v>0</v>
      </c>
      <c r="K69" s="22" t="n">
        <v>0</v>
      </c>
      <c r="L69" s="22" t="n">
        <v>0</v>
      </c>
      <c r="M69" s="22" t="n">
        <v>0</v>
      </c>
    </row>
    <row r="70" customFormat="false" ht="12.75" hidden="false" customHeight="true" outlineLevel="0" collapsed="false">
      <c r="B70" s="6" t="s">
        <v>179</v>
      </c>
      <c r="C70" s="52" t="s">
        <v>81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</row>
    <row r="71" customFormat="false" ht="12.75" hidden="false" customHeight="true" outlineLevel="0" collapsed="false">
      <c r="B71" s="6" t="s">
        <v>180</v>
      </c>
      <c r="C71" s="52" t="s">
        <v>176</v>
      </c>
      <c r="H71" s="26" t="n">
        <v>0.075</v>
      </c>
      <c r="I71" s="26" t="n">
        <v>0.075</v>
      </c>
      <c r="J71" s="26" t="n">
        <v>0.075</v>
      </c>
      <c r="K71" s="26" t="n">
        <v>0.075</v>
      </c>
      <c r="L71" s="26" t="n">
        <v>0.075</v>
      </c>
      <c r="M71" s="26" t="n">
        <v>0.075</v>
      </c>
    </row>
    <row r="72" customFormat="false" ht="12.75" hidden="false" customHeight="true" outlineLevel="0" collapsed="false">
      <c r="B72" s="6" t="s">
        <v>181</v>
      </c>
      <c r="C72" s="52" t="s">
        <v>176</v>
      </c>
      <c r="H72" s="26" t="n">
        <v>0.03</v>
      </c>
      <c r="I72" s="26" t="n">
        <v>0.03</v>
      </c>
      <c r="J72" s="26" t="n">
        <v>0.03</v>
      </c>
      <c r="K72" s="26" t="n">
        <v>0.03</v>
      </c>
      <c r="L72" s="26" t="n">
        <v>0.03</v>
      </c>
      <c r="M72" s="26" t="n">
        <v>0.03</v>
      </c>
    </row>
    <row r="73" customFormat="false" ht="12.75" hidden="false" customHeight="true" outlineLevel="0" collapsed="false">
      <c r="B73" s="6" t="s">
        <v>182</v>
      </c>
      <c r="C73" s="52" t="s">
        <v>81</v>
      </c>
      <c r="H73" s="22" t="n">
        <v>0</v>
      </c>
      <c r="I73" s="22" t="n">
        <v>-1.5</v>
      </c>
      <c r="J73" s="22" t="n">
        <v>-1.5</v>
      </c>
      <c r="K73" s="22" t="n">
        <v>-1</v>
      </c>
      <c r="L73" s="22" t="n">
        <v>-1</v>
      </c>
      <c r="M73" s="22" t="n">
        <v>-1</v>
      </c>
    </row>
    <row r="74" customFormat="false" ht="12.75" hidden="false" customHeight="true" outlineLevel="0" collapsed="false">
      <c r="B74" s="6" t="s">
        <v>183</v>
      </c>
      <c r="C74" s="52" t="s">
        <v>176</v>
      </c>
      <c r="H74" s="26" t="n">
        <v>0</v>
      </c>
      <c r="I74" s="26" t="n">
        <v>0.35</v>
      </c>
      <c r="J74" s="26" t="n">
        <v>0.45</v>
      </c>
      <c r="K74" s="26" t="n">
        <v>0.45</v>
      </c>
      <c r="L74" s="26" t="n">
        <v>0.45</v>
      </c>
      <c r="M74" s="26" t="n">
        <v>0.45</v>
      </c>
    </row>
    <row r="75" customFormat="false" ht="12.75" hidden="false" customHeight="true" outlineLevel="0" collapsed="false">
      <c r="B75" s="6" t="s">
        <v>184</v>
      </c>
      <c r="C75" s="52" t="s">
        <v>81</v>
      </c>
      <c r="H75" s="22" t="n">
        <v>-5.2</v>
      </c>
      <c r="I75" s="22" t="n">
        <v>-1</v>
      </c>
      <c r="J75" s="22" t="n">
        <v>-1</v>
      </c>
      <c r="K75" s="22" t="n">
        <v>-1</v>
      </c>
      <c r="L75" s="22" t="n">
        <v>-1</v>
      </c>
      <c r="M75" s="22" t="n">
        <v>-1</v>
      </c>
    </row>
    <row r="76" customFormat="false" ht="12.75" hidden="false" customHeight="true" outlineLevel="0" collapsed="false">
      <c r="B76" s="6" t="s">
        <v>185</v>
      </c>
      <c r="C76" s="52" t="s">
        <v>81</v>
      </c>
      <c r="H76" s="22" t="n">
        <v>-15</v>
      </c>
      <c r="I76" s="22" t="n">
        <v>-2</v>
      </c>
      <c r="J76" s="22" t="n">
        <v>0</v>
      </c>
      <c r="K76" s="22" t="n">
        <v>0</v>
      </c>
      <c r="L76" s="22" t="n">
        <v>0</v>
      </c>
      <c r="M76" s="22" t="n">
        <v>0</v>
      </c>
    </row>
    <row r="77" customFormat="false" ht="12.75" hidden="false" customHeight="true" outlineLevel="0" collapsed="false">
      <c r="B77" s="6" t="s">
        <v>186</v>
      </c>
      <c r="C77" s="52" t="s">
        <v>81</v>
      </c>
      <c r="H77" s="22" t="n">
        <v>-6.5</v>
      </c>
      <c r="I77" s="22" t="n">
        <v>-1.5</v>
      </c>
      <c r="J77" s="22" t="n">
        <v>-1.5</v>
      </c>
      <c r="K77" s="22" t="n">
        <v>-1.5</v>
      </c>
      <c r="L77" s="22" t="n">
        <v>-1.5</v>
      </c>
      <c r="M77" s="22" t="n">
        <v>-1.5</v>
      </c>
    </row>
    <row r="78" customFormat="false" ht="12.75" hidden="false" customHeight="true" outlineLevel="0" collapsed="false">
      <c r="B78" s="6" t="s">
        <v>187</v>
      </c>
      <c r="C78" s="52" t="s">
        <v>81</v>
      </c>
      <c r="H78" s="22" t="n">
        <v>0</v>
      </c>
      <c r="I78" s="22" t="n">
        <v>0</v>
      </c>
      <c r="J78" s="22" t="n">
        <v>0</v>
      </c>
      <c r="K78" s="22" t="n">
        <v>0</v>
      </c>
      <c r="L78" s="22" t="n">
        <v>0</v>
      </c>
      <c r="M78" s="22" t="n">
        <v>0</v>
      </c>
    </row>
    <row r="79" customFormat="false" ht="12.75" hidden="false" customHeight="true" outlineLevel="0" collapsed="false">
      <c r="B79" s="6" t="s">
        <v>188</v>
      </c>
      <c r="C79" s="52" t="s">
        <v>81</v>
      </c>
      <c r="H79" s="22" t="n">
        <v>-4</v>
      </c>
      <c r="I79" s="22" t="n">
        <v>-4</v>
      </c>
      <c r="J79" s="22" t="n">
        <v>0</v>
      </c>
      <c r="K79" s="22" t="n">
        <v>0</v>
      </c>
      <c r="L79" s="22" t="n">
        <v>0</v>
      </c>
      <c r="M79" s="22" t="n">
        <v>0</v>
      </c>
    </row>
    <row r="80" customFormat="false" ht="12.75" hidden="false" customHeight="true" outlineLevel="0" collapsed="false">
      <c r="B80" s="6" t="s">
        <v>189</v>
      </c>
      <c r="C80" s="52" t="s">
        <v>81</v>
      </c>
      <c r="H80" s="22" t="n">
        <v>-4</v>
      </c>
      <c r="I80" s="22" t="n">
        <v>-1.5</v>
      </c>
      <c r="J80" s="22" t="n">
        <v>-1.5</v>
      </c>
      <c r="K80" s="22" t="n">
        <v>-1.5</v>
      </c>
      <c r="L80" s="22" t="n">
        <v>-1.5</v>
      </c>
      <c r="M80" s="22" t="n">
        <v>-1.5</v>
      </c>
    </row>
    <row r="81" customFormat="false" ht="12.75" hidden="false" customHeight="true" outlineLevel="0" collapsed="false">
      <c r="B81" s="6" t="s">
        <v>190</v>
      </c>
      <c r="C81" s="52" t="s">
        <v>176</v>
      </c>
      <c r="H81" s="26" t="n">
        <v>0.16</v>
      </c>
      <c r="I81" s="26" t="n">
        <v>0.16</v>
      </c>
      <c r="J81" s="26" t="n">
        <v>0.16</v>
      </c>
      <c r="K81" s="26" t="n">
        <v>0.16</v>
      </c>
      <c r="L81" s="26" t="n">
        <v>0.16</v>
      </c>
      <c r="M81" s="26" t="n">
        <v>0.16</v>
      </c>
    </row>
    <row r="82" customFormat="false" ht="12.75" hidden="false" customHeight="true" outlineLevel="0" collapsed="false"/>
    <row r="83" customFormat="false" ht="12.75" hidden="false" customHeight="true" outlineLevel="0" collapsed="false">
      <c r="B83" s="9" t="s">
        <v>203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customFormat="false" ht="12.75" hidden="false" customHeight="true" outlineLevel="0" collapsed="false">
      <c r="B84" s="4" t="s">
        <v>204</v>
      </c>
      <c r="C84" s="5" t="s">
        <v>205</v>
      </c>
      <c r="D84" s="51" t="s">
        <v>206</v>
      </c>
    </row>
    <row r="85" customFormat="false" ht="12.75" hidden="false" customHeight="true" outlineLevel="0" collapsed="false">
      <c r="B85" s="6" t="s">
        <v>175</v>
      </c>
      <c r="C85" s="52" t="s">
        <v>176</v>
      </c>
      <c r="H85" s="26" t="n">
        <v>-0.03</v>
      </c>
      <c r="I85" s="26" t="n">
        <v>-0.05</v>
      </c>
      <c r="J85" s="26" t="n">
        <v>-0.03</v>
      </c>
      <c r="K85" s="26" t="n">
        <v>0</v>
      </c>
      <c r="L85" s="26" t="n">
        <v>0.02</v>
      </c>
      <c r="M85" s="26" t="n">
        <v>0.02</v>
      </c>
    </row>
    <row r="86" customFormat="false" ht="12.75" hidden="false" customHeight="true" outlineLevel="0" collapsed="false">
      <c r="B86" s="6" t="s">
        <v>177</v>
      </c>
      <c r="C86" s="52" t="s">
        <v>176</v>
      </c>
      <c r="H86" s="26" t="n">
        <v>0.05</v>
      </c>
      <c r="I86" s="26" t="n">
        <v>0.05</v>
      </c>
      <c r="J86" s="26" t="n">
        <v>0.04</v>
      </c>
      <c r="K86" s="26" t="n">
        <v>0.03</v>
      </c>
      <c r="L86" s="26" t="n">
        <v>0.02</v>
      </c>
      <c r="M86" s="26" t="n">
        <v>0.02</v>
      </c>
    </row>
    <row r="87" customFormat="false" ht="12.75" hidden="false" customHeight="true" outlineLevel="0" collapsed="false">
      <c r="B87" s="6" t="s">
        <v>178</v>
      </c>
      <c r="C87" s="52" t="s">
        <v>81</v>
      </c>
      <c r="H87" s="22" t="n">
        <v>0</v>
      </c>
      <c r="I87" s="22" t="n">
        <v>0</v>
      </c>
      <c r="J87" s="22" t="n">
        <v>0</v>
      </c>
      <c r="K87" s="22" t="n">
        <v>0</v>
      </c>
      <c r="L87" s="22" t="n">
        <v>0</v>
      </c>
      <c r="M87" s="22" t="n">
        <v>0</v>
      </c>
    </row>
    <row r="88" customFormat="false" ht="12.75" hidden="false" customHeight="true" outlineLevel="0" collapsed="false">
      <c r="B88" s="6" t="s">
        <v>179</v>
      </c>
      <c r="C88" s="52" t="s">
        <v>81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</row>
    <row r="89" customFormat="false" ht="12.75" hidden="false" customHeight="true" outlineLevel="0" collapsed="false">
      <c r="B89" s="6" t="s">
        <v>180</v>
      </c>
      <c r="C89" s="52" t="s">
        <v>176</v>
      </c>
      <c r="H89" s="26" t="n">
        <v>0.075</v>
      </c>
      <c r="I89" s="26" t="n">
        <v>0.075</v>
      </c>
      <c r="J89" s="26" t="n">
        <v>0.075</v>
      </c>
      <c r="K89" s="26" t="n">
        <v>0.075</v>
      </c>
      <c r="L89" s="26" t="n">
        <v>0.075</v>
      </c>
      <c r="M89" s="26" t="n">
        <v>0.075</v>
      </c>
    </row>
    <row r="90" customFormat="false" ht="12.75" hidden="false" customHeight="true" outlineLevel="0" collapsed="false">
      <c r="B90" s="6" t="s">
        <v>181</v>
      </c>
      <c r="C90" s="52" t="s">
        <v>176</v>
      </c>
      <c r="H90" s="26" t="n">
        <v>0.03</v>
      </c>
      <c r="I90" s="26" t="n">
        <v>0.03</v>
      </c>
      <c r="J90" s="26" t="n">
        <v>0.03</v>
      </c>
      <c r="K90" s="26" t="n">
        <v>0.03</v>
      </c>
      <c r="L90" s="26" t="n">
        <v>0.03</v>
      </c>
      <c r="M90" s="26" t="n">
        <v>0.03</v>
      </c>
    </row>
    <row r="91" customFormat="false" ht="12.75" hidden="false" customHeight="true" outlineLevel="0" collapsed="false">
      <c r="B91" s="6" t="s">
        <v>182</v>
      </c>
      <c r="C91" s="52" t="s">
        <v>81</v>
      </c>
      <c r="H91" s="22" t="n">
        <v>0</v>
      </c>
      <c r="I91" s="22" t="n">
        <v>-1</v>
      </c>
      <c r="J91" s="22" t="n">
        <v>-1</v>
      </c>
      <c r="K91" s="22" t="n">
        <v>-0.5</v>
      </c>
      <c r="L91" s="22" t="n">
        <v>-0.5</v>
      </c>
      <c r="M91" s="22" t="n">
        <v>-0.5</v>
      </c>
    </row>
    <row r="92" customFormat="false" ht="12.75" hidden="false" customHeight="true" outlineLevel="0" collapsed="false">
      <c r="B92" s="6" t="s">
        <v>183</v>
      </c>
      <c r="C92" s="52" t="s">
        <v>176</v>
      </c>
      <c r="H92" s="26" t="n">
        <v>0</v>
      </c>
      <c r="I92" s="26" t="n">
        <v>0.35</v>
      </c>
      <c r="J92" s="26" t="n">
        <v>0.45</v>
      </c>
      <c r="K92" s="26" t="n">
        <v>0.45</v>
      </c>
      <c r="L92" s="26" t="n">
        <v>0.45</v>
      </c>
      <c r="M92" s="26" t="n">
        <v>0.45</v>
      </c>
    </row>
    <row r="93" customFormat="false" ht="12.75" hidden="false" customHeight="true" outlineLevel="0" collapsed="false">
      <c r="B93" s="6" t="s">
        <v>184</v>
      </c>
      <c r="C93" s="52" t="s">
        <v>81</v>
      </c>
      <c r="H93" s="22" t="n">
        <v>-5.2</v>
      </c>
      <c r="I93" s="22" t="n">
        <v>-1</v>
      </c>
      <c r="J93" s="22" t="n">
        <v>-1</v>
      </c>
      <c r="K93" s="22" t="n">
        <v>-1</v>
      </c>
      <c r="L93" s="22" t="n">
        <v>-1</v>
      </c>
      <c r="M93" s="22" t="n">
        <v>-1</v>
      </c>
    </row>
    <row r="94" customFormat="false" ht="12.75" hidden="false" customHeight="true" outlineLevel="0" collapsed="false">
      <c r="B94" s="6" t="s">
        <v>185</v>
      </c>
      <c r="C94" s="52" t="s">
        <v>81</v>
      </c>
      <c r="H94" s="22" t="n">
        <v>-15</v>
      </c>
      <c r="I94" s="22" t="n">
        <v>-2</v>
      </c>
      <c r="J94" s="22" t="n">
        <v>0</v>
      </c>
      <c r="K94" s="22" t="n">
        <v>0</v>
      </c>
      <c r="L94" s="22" t="n">
        <v>0</v>
      </c>
      <c r="M94" s="22" t="n">
        <v>0</v>
      </c>
    </row>
    <row r="95" customFormat="false" ht="12.75" hidden="false" customHeight="true" outlineLevel="0" collapsed="false">
      <c r="B95" s="6" t="s">
        <v>186</v>
      </c>
      <c r="C95" s="52" t="s">
        <v>81</v>
      </c>
      <c r="H95" s="22" t="n">
        <v>-6.5</v>
      </c>
      <c r="I95" s="22" t="n">
        <v>-2.5</v>
      </c>
      <c r="J95" s="22" t="n">
        <v>-2.5</v>
      </c>
      <c r="K95" s="22" t="n">
        <v>-2.5</v>
      </c>
      <c r="L95" s="22" t="n">
        <v>-2.5</v>
      </c>
      <c r="M95" s="22" t="n">
        <v>-2.5</v>
      </c>
    </row>
    <row r="96" customFormat="false" ht="12.75" hidden="false" customHeight="true" outlineLevel="0" collapsed="false">
      <c r="B96" s="6" t="s">
        <v>187</v>
      </c>
      <c r="C96" s="52" t="s">
        <v>81</v>
      </c>
      <c r="H96" s="22" t="n">
        <v>0</v>
      </c>
      <c r="I96" s="22" t="n">
        <v>0</v>
      </c>
      <c r="J96" s="22" t="n">
        <v>0</v>
      </c>
      <c r="K96" s="22" t="n">
        <v>0</v>
      </c>
      <c r="L96" s="22" t="n">
        <v>0</v>
      </c>
      <c r="M96" s="22" t="n">
        <v>0</v>
      </c>
    </row>
    <row r="97" customFormat="false" ht="12.75" hidden="false" customHeight="true" outlineLevel="0" collapsed="false">
      <c r="B97" s="6" t="s">
        <v>188</v>
      </c>
      <c r="C97" s="52" t="s">
        <v>81</v>
      </c>
      <c r="H97" s="22" t="n">
        <v>-4</v>
      </c>
      <c r="I97" s="22" t="n">
        <v>-4</v>
      </c>
      <c r="J97" s="22" t="n">
        <v>0</v>
      </c>
      <c r="K97" s="22" t="n">
        <v>0</v>
      </c>
      <c r="L97" s="22" t="n">
        <v>0</v>
      </c>
      <c r="M97" s="22" t="n">
        <v>0</v>
      </c>
    </row>
    <row r="98" customFormat="false" ht="12.75" hidden="false" customHeight="true" outlineLevel="0" collapsed="false">
      <c r="B98" s="6" t="s">
        <v>189</v>
      </c>
      <c r="C98" s="52" t="s">
        <v>81</v>
      </c>
      <c r="H98" s="22" t="n">
        <v>-4</v>
      </c>
      <c r="I98" s="22" t="n">
        <v>-1.5</v>
      </c>
      <c r="J98" s="22" t="n">
        <v>-1.5</v>
      </c>
      <c r="K98" s="22" t="n">
        <v>-1.5</v>
      </c>
      <c r="L98" s="22" t="n">
        <v>-1.5</v>
      </c>
      <c r="M98" s="22" t="n">
        <v>-1.5</v>
      </c>
    </row>
    <row r="99" customFormat="false" ht="12.75" hidden="false" customHeight="true" outlineLevel="0" collapsed="false">
      <c r="B99" s="6" t="s">
        <v>190</v>
      </c>
      <c r="C99" s="52" t="s">
        <v>176</v>
      </c>
      <c r="H99" s="26" t="n">
        <v>0.16</v>
      </c>
      <c r="I99" s="26" t="n">
        <v>0.16</v>
      </c>
      <c r="J99" s="26" t="n">
        <v>0.16</v>
      </c>
      <c r="K99" s="26" t="n">
        <v>0.16</v>
      </c>
      <c r="L99" s="26" t="n">
        <v>0.16</v>
      </c>
      <c r="M99" s="26" t="n">
        <v>0.16</v>
      </c>
    </row>
    <row r="100" customFormat="false" ht="12.75" hidden="false" customHeight="true" outlineLevel="0" collapsed="false"/>
    <row r="101" customFormat="false" ht="12.75" hidden="false" customHeight="true" outlineLevel="0" collapsed="false">
      <c r="B101" s="9" t="s">
        <v>207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customFormat="false" ht="12.75" hidden="false" customHeight="true" outlineLevel="0" collapsed="false">
      <c r="B102" s="4" t="s">
        <v>208</v>
      </c>
      <c r="C102" s="5" t="s">
        <v>209</v>
      </c>
      <c r="D102" s="51" t="s">
        <v>210</v>
      </c>
    </row>
    <row r="103" customFormat="false" ht="12.75" hidden="false" customHeight="true" outlineLevel="0" collapsed="false">
      <c r="B103" s="6" t="s">
        <v>175</v>
      </c>
      <c r="C103" s="52" t="s">
        <v>176</v>
      </c>
      <c r="H103" s="26" t="n">
        <v>-0.03</v>
      </c>
      <c r="I103" s="26" t="n">
        <v>-0.05</v>
      </c>
      <c r="J103" s="26" t="n">
        <v>-0.03</v>
      </c>
      <c r="K103" s="26" t="n">
        <v>0</v>
      </c>
      <c r="L103" s="26" t="n">
        <v>0.02</v>
      </c>
      <c r="M103" s="26" t="n">
        <v>0.02</v>
      </c>
    </row>
    <row r="104" customFormat="false" ht="12.75" hidden="false" customHeight="true" outlineLevel="0" collapsed="false">
      <c r="B104" s="6" t="s">
        <v>177</v>
      </c>
      <c r="C104" s="52" t="s">
        <v>176</v>
      </c>
      <c r="H104" s="26" t="n">
        <v>0.05</v>
      </c>
      <c r="I104" s="26" t="n">
        <v>0.05</v>
      </c>
      <c r="J104" s="26" t="n">
        <v>0.04</v>
      </c>
      <c r="K104" s="26" t="n">
        <v>0.03</v>
      </c>
      <c r="L104" s="26" t="n">
        <v>0.02</v>
      </c>
      <c r="M104" s="26" t="n">
        <v>0.02</v>
      </c>
    </row>
    <row r="105" customFormat="false" ht="12.75" hidden="false" customHeight="true" outlineLevel="0" collapsed="false">
      <c r="B105" s="6" t="s">
        <v>178</v>
      </c>
      <c r="C105" s="52" t="s">
        <v>81</v>
      </c>
      <c r="H105" s="22" t="n">
        <v>0</v>
      </c>
      <c r="I105" s="22" t="n">
        <v>0</v>
      </c>
      <c r="J105" s="22" t="n">
        <v>0</v>
      </c>
      <c r="K105" s="22" t="n">
        <v>5</v>
      </c>
      <c r="L105" s="22" t="n">
        <v>20</v>
      </c>
      <c r="M105" s="22" t="n">
        <v>40</v>
      </c>
    </row>
    <row r="106" customFormat="false" ht="12.75" hidden="false" customHeight="true" outlineLevel="0" collapsed="false">
      <c r="B106" s="6" t="s">
        <v>179</v>
      </c>
      <c r="C106" s="52" t="s">
        <v>81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</row>
    <row r="107" customFormat="false" ht="12.75" hidden="false" customHeight="true" outlineLevel="0" collapsed="false">
      <c r="B107" s="6" t="s">
        <v>180</v>
      </c>
      <c r="C107" s="52" t="s">
        <v>176</v>
      </c>
      <c r="H107" s="26" t="n">
        <v>0.075</v>
      </c>
      <c r="I107" s="26" t="n">
        <v>0.075</v>
      </c>
      <c r="J107" s="26" t="n">
        <v>0.075</v>
      </c>
      <c r="K107" s="26" t="n">
        <v>0.075</v>
      </c>
      <c r="L107" s="26" t="n">
        <v>0.075</v>
      </c>
      <c r="M107" s="26" t="n">
        <v>0.075</v>
      </c>
    </row>
    <row r="108" customFormat="false" ht="12.75" hidden="false" customHeight="true" outlineLevel="0" collapsed="false">
      <c r="B108" s="6" t="s">
        <v>181</v>
      </c>
      <c r="C108" s="52" t="s">
        <v>176</v>
      </c>
      <c r="H108" s="26" t="n">
        <v>0.03</v>
      </c>
      <c r="I108" s="26" t="n">
        <v>0.03</v>
      </c>
      <c r="J108" s="26" t="n">
        <v>0.03</v>
      </c>
      <c r="K108" s="26" t="n">
        <v>0.03</v>
      </c>
      <c r="L108" s="26" t="n">
        <v>0.03</v>
      </c>
      <c r="M108" s="26" t="n">
        <v>0.03</v>
      </c>
    </row>
    <row r="109" customFormat="false" ht="12.75" hidden="false" customHeight="true" outlineLevel="0" collapsed="false">
      <c r="B109" s="6" t="s">
        <v>182</v>
      </c>
      <c r="C109" s="52" t="s">
        <v>81</v>
      </c>
      <c r="H109" s="22" t="n">
        <v>0</v>
      </c>
      <c r="I109" s="22" t="n">
        <v>-1</v>
      </c>
      <c r="J109" s="22" t="n">
        <v>-1</v>
      </c>
      <c r="K109" s="22" t="n">
        <v>-0.5</v>
      </c>
      <c r="L109" s="22" t="n">
        <v>-0.5</v>
      </c>
      <c r="M109" s="22" t="n">
        <v>-0.5</v>
      </c>
    </row>
    <row r="110" customFormat="false" ht="12.75" hidden="false" customHeight="true" outlineLevel="0" collapsed="false">
      <c r="B110" s="6" t="s">
        <v>183</v>
      </c>
      <c r="C110" s="52" t="s">
        <v>176</v>
      </c>
      <c r="H110" s="26" t="n">
        <v>0</v>
      </c>
      <c r="I110" s="26" t="n">
        <v>0.35</v>
      </c>
      <c r="J110" s="26" t="n">
        <v>0.45</v>
      </c>
      <c r="K110" s="26" t="n">
        <v>0.45</v>
      </c>
      <c r="L110" s="26" t="n">
        <v>0.45</v>
      </c>
      <c r="M110" s="26" t="n">
        <v>0.45</v>
      </c>
    </row>
    <row r="111" customFormat="false" ht="12.75" hidden="false" customHeight="true" outlineLevel="0" collapsed="false">
      <c r="B111" s="6" t="s">
        <v>184</v>
      </c>
      <c r="C111" s="52" t="s">
        <v>81</v>
      </c>
      <c r="H111" s="22" t="n">
        <v>-5.2</v>
      </c>
      <c r="I111" s="22" t="n">
        <v>-1</v>
      </c>
      <c r="J111" s="22" t="n">
        <v>-1</v>
      </c>
      <c r="K111" s="22" t="n">
        <v>-1</v>
      </c>
      <c r="L111" s="22" t="n">
        <v>-1</v>
      </c>
      <c r="M111" s="22" t="n">
        <v>-1</v>
      </c>
    </row>
    <row r="112" customFormat="false" ht="12.75" hidden="false" customHeight="true" outlineLevel="0" collapsed="false">
      <c r="B112" s="6" t="s">
        <v>185</v>
      </c>
      <c r="C112" s="52" t="s">
        <v>81</v>
      </c>
      <c r="H112" s="22" t="n">
        <v>-15</v>
      </c>
      <c r="I112" s="22" t="n">
        <v>-14</v>
      </c>
      <c r="J112" s="22" t="n">
        <v>-12</v>
      </c>
      <c r="K112" s="22" t="n">
        <v>-6</v>
      </c>
      <c r="L112" s="22" t="n">
        <v>-3</v>
      </c>
      <c r="M112" s="22" t="n">
        <v>-3</v>
      </c>
    </row>
    <row r="113" customFormat="false" ht="12.75" hidden="false" customHeight="true" outlineLevel="0" collapsed="false">
      <c r="B113" s="6" t="s">
        <v>186</v>
      </c>
      <c r="C113" s="52" t="s">
        <v>81</v>
      </c>
      <c r="H113" s="22" t="n">
        <v>-6.5</v>
      </c>
      <c r="I113" s="22" t="n">
        <v>-2.5</v>
      </c>
      <c r="J113" s="22" t="n">
        <v>-2.5</v>
      </c>
      <c r="K113" s="22" t="n">
        <v>-2.5</v>
      </c>
      <c r="L113" s="22" t="n">
        <v>-2.5</v>
      </c>
      <c r="M113" s="22" t="n">
        <v>-2.5</v>
      </c>
    </row>
    <row r="114" customFormat="false" ht="12.75" hidden="false" customHeight="true" outlineLevel="0" collapsed="false">
      <c r="B114" s="6" t="s">
        <v>187</v>
      </c>
      <c r="C114" s="52" t="s">
        <v>81</v>
      </c>
      <c r="H114" s="22" t="n">
        <v>0</v>
      </c>
      <c r="I114" s="22" t="n">
        <v>0</v>
      </c>
      <c r="J114" s="22" t="n">
        <v>-5</v>
      </c>
      <c r="K114" s="22" t="n">
        <v>-12</v>
      </c>
      <c r="L114" s="22" t="n">
        <v>-15</v>
      </c>
      <c r="M114" s="22" t="n">
        <v>-16</v>
      </c>
    </row>
    <row r="115" customFormat="false" ht="12.75" hidden="false" customHeight="true" outlineLevel="0" collapsed="false">
      <c r="B115" s="6" t="s">
        <v>188</v>
      </c>
      <c r="C115" s="52" t="s">
        <v>81</v>
      </c>
      <c r="H115" s="22" t="n">
        <v>-4</v>
      </c>
      <c r="I115" s="22" t="n">
        <v>-4</v>
      </c>
      <c r="J115" s="22" t="n">
        <v>0</v>
      </c>
      <c r="K115" s="22" t="n">
        <v>0</v>
      </c>
      <c r="L115" s="22" t="n">
        <v>0</v>
      </c>
      <c r="M115" s="22" t="n">
        <v>0</v>
      </c>
    </row>
    <row r="116" customFormat="false" ht="12.75" hidden="false" customHeight="true" outlineLevel="0" collapsed="false">
      <c r="B116" s="6" t="s">
        <v>189</v>
      </c>
      <c r="C116" s="52" t="s">
        <v>81</v>
      </c>
      <c r="H116" s="22" t="n">
        <v>-4</v>
      </c>
      <c r="I116" s="22" t="n">
        <v>-1.5</v>
      </c>
      <c r="J116" s="22" t="n">
        <v>-1.5</v>
      </c>
      <c r="K116" s="22" t="n">
        <v>-1.5</v>
      </c>
      <c r="L116" s="22" t="n">
        <v>-1.5</v>
      </c>
      <c r="M116" s="22" t="n">
        <v>-1.5</v>
      </c>
    </row>
    <row r="117" customFormat="false" ht="12.75" hidden="false" customHeight="true" outlineLevel="0" collapsed="false">
      <c r="B117" s="6" t="s">
        <v>190</v>
      </c>
      <c r="C117" s="52" t="s">
        <v>176</v>
      </c>
      <c r="H117" s="26" t="n">
        <v>0.16</v>
      </c>
      <c r="I117" s="26" t="n">
        <v>0.16</v>
      </c>
      <c r="J117" s="26" t="n">
        <v>0.16</v>
      </c>
      <c r="K117" s="26" t="n">
        <v>0.16</v>
      </c>
      <c r="L117" s="26" t="n">
        <v>0.16</v>
      </c>
      <c r="M117" s="26" t="n">
        <v>0.16</v>
      </c>
    </row>
    <row r="118" customFormat="false" ht="12.75" hidden="false" customHeight="true" outlineLevel="0" collapsed="false"/>
    <row r="119" customFormat="false" ht="12.75" hidden="false" customHeight="true" outlineLevel="0" collapsed="false">
      <c r="B119" s="9" t="s">
        <v>211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customFormat="false" ht="12.75" hidden="false" customHeight="true" outlineLevel="0" collapsed="false">
      <c r="B120" s="4" t="s">
        <v>212</v>
      </c>
      <c r="C120" s="5" t="s">
        <v>213</v>
      </c>
      <c r="D120" s="51" t="s">
        <v>214</v>
      </c>
    </row>
    <row r="121" customFormat="false" ht="12.75" hidden="false" customHeight="true" outlineLevel="0" collapsed="false">
      <c r="B121" s="6" t="s">
        <v>175</v>
      </c>
      <c r="C121" s="52" t="s">
        <v>176</v>
      </c>
      <c r="H121" s="26" t="n">
        <v>-0.05</v>
      </c>
      <c r="I121" s="26" t="n">
        <v>-0.18</v>
      </c>
      <c r="J121" s="26" t="n">
        <v>-0.15</v>
      </c>
      <c r="K121" s="26" t="n">
        <v>-0.08</v>
      </c>
      <c r="L121" s="26" t="n">
        <v>-0.05</v>
      </c>
      <c r="M121" s="26" t="n">
        <v>-0.03</v>
      </c>
    </row>
    <row r="122" customFormat="false" ht="12.75" hidden="false" customHeight="true" outlineLevel="0" collapsed="false">
      <c r="B122" s="6" t="s">
        <v>177</v>
      </c>
      <c r="C122" s="52" t="s">
        <v>176</v>
      </c>
      <c r="H122" s="26" t="n">
        <v>0.05</v>
      </c>
      <c r="I122" s="26" t="n">
        <v>0.04</v>
      </c>
      <c r="J122" s="26" t="n">
        <v>0.02</v>
      </c>
      <c r="K122" s="26" t="n">
        <v>-0.03</v>
      </c>
      <c r="L122" s="26" t="n">
        <v>-0.05</v>
      </c>
      <c r="M122" s="26" t="n">
        <v>-0.03</v>
      </c>
    </row>
    <row r="123" customFormat="false" ht="12.75" hidden="false" customHeight="true" outlineLevel="0" collapsed="false">
      <c r="B123" s="6" t="s">
        <v>178</v>
      </c>
      <c r="C123" s="52" t="s">
        <v>81</v>
      </c>
      <c r="H123" s="22" t="n">
        <v>0</v>
      </c>
      <c r="I123" s="22" t="n">
        <v>0</v>
      </c>
      <c r="J123" s="22" t="n">
        <v>0</v>
      </c>
      <c r="K123" s="22" t="n">
        <v>0</v>
      </c>
      <c r="L123" s="22" t="n">
        <v>0</v>
      </c>
      <c r="M123" s="22" t="n">
        <v>0</v>
      </c>
    </row>
    <row r="124" customFormat="false" ht="12.75" hidden="false" customHeight="true" outlineLevel="0" collapsed="false">
      <c r="B124" s="6" t="s">
        <v>179</v>
      </c>
      <c r="C124" s="52" t="s">
        <v>81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</row>
    <row r="125" customFormat="false" ht="12.75" hidden="false" customHeight="true" outlineLevel="0" collapsed="false">
      <c r="B125" s="6" t="s">
        <v>180</v>
      </c>
      <c r="C125" s="52" t="s">
        <v>176</v>
      </c>
      <c r="H125" s="26" t="n">
        <v>0.075</v>
      </c>
      <c r="I125" s="26" t="n">
        <v>0.075</v>
      </c>
      <c r="J125" s="26" t="n">
        <v>0.075</v>
      </c>
      <c r="K125" s="26" t="n">
        <v>0.075</v>
      </c>
      <c r="L125" s="26" t="n">
        <v>0.075</v>
      </c>
      <c r="M125" s="26" t="n">
        <v>0.075</v>
      </c>
    </row>
    <row r="126" customFormat="false" ht="12.75" hidden="false" customHeight="true" outlineLevel="0" collapsed="false">
      <c r="B126" s="6" t="s">
        <v>181</v>
      </c>
      <c r="C126" s="52" t="s">
        <v>176</v>
      </c>
      <c r="H126" s="26" t="n">
        <v>0.03</v>
      </c>
      <c r="I126" s="26" t="n">
        <v>0.03</v>
      </c>
      <c r="J126" s="26" t="n">
        <v>0.03</v>
      </c>
      <c r="K126" s="26" t="n">
        <v>0.03</v>
      </c>
      <c r="L126" s="26" t="n">
        <v>0.03</v>
      </c>
      <c r="M126" s="26" t="n">
        <v>0.03</v>
      </c>
    </row>
    <row r="127" customFormat="false" ht="12.75" hidden="false" customHeight="true" outlineLevel="0" collapsed="false">
      <c r="B127" s="6" t="s">
        <v>182</v>
      </c>
      <c r="C127" s="52" t="s">
        <v>81</v>
      </c>
      <c r="H127" s="22" t="n">
        <v>0</v>
      </c>
      <c r="I127" s="22" t="n">
        <v>-1.5</v>
      </c>
      <c r="J127" s="22" t="n">
        <v>-1.5</v>
      </c>
      <c r="K127" s="22" t="n">
        <v>-1</v>
      </c>
      <c r="L127" s="22" t="n">
        <v>-1</v>
      </c>
      <c r="M127" s="22" t="n">
        <v>-1</v>
      </c>
    </row>
    <row r="128" customFormat="false" ht="12.75" hidden="false" customHeight="true" outlineLevel="0" collapsed="false">
      <c r="B128" s="6" t="s">
        <v>183</v>
      </c>
      <c r="C128" s="52" t="s">
        <v>176</v>
      </c>
      <c r="H128" s="26" t="n">
        <v>0</v>
      </c>
      <c r="I128" s="26" t="n">
        <v>0</v>
      </c>
      <c r="J128" s="26" t="n">
        <v>0</v>
      </c>
      <c r="K128" s="26" t="n">
        <v>0</v>
      </c>
      <c r="L128" s="26" t="n">
        <v>0</v>
      </c>
      <c r="M128" s="26" t="n">
        <v>0</v>
      </c>
    </row>
    <row r="129" customFormat="false" ht="12.75" hidden="false" customHeight="true" outlineLevel="0" collapsed="false">
      <c r="B129" s="6" t="s">
        <v>184</v>
      </c>
      <c r="C129" s="52" t="s">
        <v>81</v>
      </c>
      <c r="H129" s="22" t="n">
        <v>-5.2</v>
      </c>
      <c r="I129" s="22" t="n">
        <v>-5.4</v>
      </c>
      <c r="J129" s="22" t="n">
        <v>-5.5</v>
      </c>
      <c r="K129" s="22" t="n">
        <v>-5.7</v>
      </c>
      <c r="L129" s="22" t="n">
        <v>-5.9</v>
      </c>
      <c r="M129" s="22" t="n">
        <v>-6</v>
      </c>
    </row>
    <row r="130" customFormat="false" ht="12.75" hidden="false" customHeight="true" outlineLevel="0" collapsed="false">
      <c r="B130" s="6" t="s">
        <v>185</v>
      </c>
      <c r="C130" s="52" t="s">
        <v>81</v>
      </c>
      <c r="H130" s="22" t="n">
        <v>-15</v>
      </c>
      <c r="I130" s="22" t="n">
        <v>-15</v>
      </c>
      <c r="J130" s="22" t="n">
        <v>-14</v>
      </c>
      <c r="K130" s="22" t="n">
        <v>-8</v>
      </c>
      <c r="L130" s="22" t="n">
        <v>-5</v>
      </c>
      <c r="M130" s="22" t="n">
        <v>-4</v>
      </c>
    </row>
    <row r="131" customFormat="false" ht="12.75" hidden="false" customHeight="true" outlineLevel="0" collapsed="false">
      <c r="B131" s="6" t="s">
        <v>186</v>
      </c>
      <c r="C131" s="52" t="s">
        <v>81</v>
      </c>
      <c r="H131" s="22" t="n">
        <v>-6.5</v>
      </c>
      <c r="I131" s="22" t="n">
        <v>-6.7</v>
      </c>
      <c r="J131" s="22" t="n">
        <v>-6.9</v>
      </c>
      <c r="K131" s="22" t="n">
        <v>-7.1</v>
      </c>
      <c r="L131" s="22" t="n">
        <v>-7.3</v>
      </c>
      <c r="M131" s="22" t="n">
        <v>-7.5</v>
      </c>
    </row>
    <row r="132" customFormat="false" ht="12.75" hidden="false" customHeight="true" outlineLevel="0" collapsed="false">
      <c r="B132" s="6" t="s">
        <v>187</v>
      </c>
      <c r="C132" s="52" t="s">
        <v>81</v>
      </c>
      <c r="H132" s="22" t="n">
        <v>0</v>
      </c>
      <c r="I132" s="22" t="n">
        <v>0</v>
      </c>
      <c r="J132" s="22" t="n">
        <v>0</v>
      </c>
      <c r="K132" s="22" t="n">
        <v>0</v>
      </c>
      <c r="L132" s="22" t="n">
        <v>0</v>
      </c>
      <c r="M132" s="22" t="n">
        <v>0</v>
      </c>
    </row>
    <row r="133" customFormat="false" ht="12.75" hidden="false" customHeight="true" outlineLevel="0" collapsed="false">
      <c r="B133" s="6" t="s">
        <v>188</v>
      </c>
      <c r="C133" s="52" t="s">
        <v>81</v>
      </c>
      <c r="H133" s="22" t="n">
        <v>-4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</row>
    <row r="134" customFormat="false" ht="12.75" hidden="false" customHeight="true" outlineLevel="0" collapsed="false">
      <c r="B134" s="6" t="s">
        <v>189</v>
      </c>
      <c r="C134" s="52" t="s">
        <v>81</v>
      </c>
      <c r="H134" s="22" t="n">
        <v>-4</v>
      </c>
      <c r="I134" s="22" t="n">
        <v>-3</v>
      </c>
      <c r="J134" s="22" t="n">
        <v>-3</v>
      </c>
      <c r="K134" s="22" t="n">
        <v>-3</v>
      </c>
      <c r="L134" s="22" t="n">
        <v>-3</v>
      </c>
      <c r="M134" s="22" t="n">
        <v>-3</v>
      </c>
    </row>
    <row r="135" customFormat="false" ht="12.75" hidden="false" customHeight="true" outlineLevel="0" collapsed="false">
      <c r="B135" s="6" t="s">
        <v>190</v>
      </c>
      <c r="C135" s="52" t="s">
        <v>176</v>
      </c>
      <c r="H135" s="26" t="n">
        <v>0.16</v>
      </c>
      <c r="I135" s="26" t="n">
        <v>0.16</v>
      </c>
      <c r="J135" s="26" t="n">
        <v>0.16</v>
      </c>
      <c r="K135" s="26" t="n">
        <v>0.16</v>
      </c>
      <c r="L135" s="26" t="n">
        <v>0.16</v>
      </c>
      <c r="M135" s="26" t="n">
        <v>0.16</v>
      </c>
    </row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>
      <c r="B138" s="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B1:G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2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6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216</v>
      </c>
      <c r="C2" s="2"/>
      <c r="D2" s="2"/>
      <c r="E2" s="2"/>
      <c r="F2" s="2"/>
      <c r="G2" s="2"/>
    </row>
    <row r="3" customFormat="false" ht="12.75" hidden="false" customHeight="true" outlineLevel="0" collapsed="false">
      <c r="B3" s="3" t="s">
        <v>217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4" t="s">
        <v>218</v>
      </c>
      <c r="E5" s="43" t="n">
        <f aca="false">MCASE!E8</f>
        <v>1</v>
      </c>
    </row>
    <row r="6" customFormat="false" ht="12.75" hidden="false" customHeight="true" outlineLevel="0" collapsed="false">
      <c r="B6" s="6" t="s">
        <v>219</v>
      </c>
      <c r="E6" s="38" t="n">
        <f aca="false">ROW(B54)-ROW(B34)</f>
        <v>20</v>
      </c>
    </row>
    <row r="7" customFormat="false" ht="12.75" hidden="false" customHeight="true" outlineLevel="0" collapsed="false"/>
    <row r="8" customFormat="false" ht="12.75" hidden="false" customHeight="true" outlineLevel="0" collapsed="false">
      <c r="B8" s="44" t="s">
        <v>220</v>
      </c>
      <c r="C8" s="45"/>
      <c r="D8" s="45"/>
      <c r="E8" s="45"/>
      <c r="F8" s="45"/>
      <c r="G8" s="45"/>
    </row>
    <row r="9" customFormat="false" ht="12.75" hidden="false" customHeight="true" outlineLevel="0" collapsed="false">
      <c r="B9" s="32" t="s">
        <v>221</v>
      </c>
      <c r="E9" s="46" t="str">
        <f aca="true">OFFSET(E$34,(FINCASE-1)*$E$6,0,1,1)</f>
        <v>Base (specialist private credit)</v>
      </c>
    </row>
    <row r="10" customFormat="false" ht="12.75" hidden="false" customHeight="true" outlineLevel="0" collapsed="false">
      <c r="B10" s="46" t="s">
        <v>222</v>
      </c>
      <c r="E10" s="53" t="n">
        <f aca="true">OFFSET(E$35,(FINCASE-1)*$E$6,0,1,1)</f>
        <v>2</v>
      </c>
      <c r="G10" s="54" t="s">
        <v>223</v>
      </c>
    </row>
    <row r="11" customFormat="false" ht="12.75" hidden="false" customHeight="true" outlineLevel="0" collapsed="false">
      <c r="B11" s="46" t="s">
        <v>224</v>
      </c>
      <c r="E11" s="55" t="n">
        <f aca="true">OFFSET(E$36,(FINCASE-1)*$E$6,0,1,1)</f>
        <v>0.06</v>
      </c>
    </row>
    <row r="12" customFormat="false" ht="12.75" hidden="false" customHeight="true" outlineLevel="0" collapsed="false">
      <c r="B12" s="46" t="s">
        <v>225</v>
      </c>
      <c r="E12" s="55" t="n">
        <f aca="true">OFFSET(E$37,(FINCASE-1)*$E$6,0,1,1)</f>
        <v>0</v>
      </c>
    </row>
    <row r="13" customFormat="false" ht="12.75" hidden="false" customHeight="true" outlineLevel="0" collapsed="false">
      <c r="B13" s="46" t="s">
        <v>226</v>
      </c>
      <c r="E13" s="55" t="n">
        <f aca="true">OFFSET(E$38,(FINCASE-1)*$E$6,0,1,1)</f>
        <v>0.025</v>
      </c>
    </row>
    <row r="14" customFormat="false" ht="12.75" hidden="false" customHeight="true" outlineLevel="0" collapsed="false">
      <c r="B14" s="46" t="s">
        <v>227</v>
      </c>
      <c r="E14" s="49" t="n">
        <f aca="true">OFFSET(E$39,(FINCASE-1)*$E$6,0,1,1)</f>
        <v>0.05</v>
      </c>
    </row>
    <row r="15" customFormat="false" ht="12.75" hidden="false" customHeight="true" outlineLevel="0" collapsed="false">
      <c r="B15" s="46" t="s">
        <v>228</v>
      </c>
      <c r="E15" s="56" t="n">
        <f aca="true">OFFSET(E$40,(FINCASE-1)*$E$6,0,1,1)</f>
        <v>5</v>
      </c>
    </row>
    <row r="16" customFormat="false" ht="12.75" hidden="false" customHeight="true" outlineLevel="0" collapsed="false">
      <c r="B16" s="46" t="s">
        <v>229</v>
      </c>
      <c r="E16" s="53" t="n">
        <f aca="true">OFFSET(E$41,(FINCASE-1)*$E$6,0,1,1)</f>
        <v>0</v>
      </c>
    </row>
    <row r="17" customFormat="false" ht="12.75" hidden="false" customHeight="true" outlineLevel="0" collapsed="false">
      <c r="B17" s="46" t="s">
        <v>230</v>
      </c>
      <c r="E17" s="55" t="n">
        <f aca="true">OFFSET(E$42,(FINCASE-1)*$E$6,0,1,1)</f>
        <v>0.12</v>
      </c>
    </row>
    <row r="18" customFormat="false" ht="12.75" hidden="false" customHeight="true" outlineLevel="0" collapsed="false">
      <c r="B18" s="46" t="s">
        <v>231</v>
      </c>
      <c r="E18" s="55" t="n">
        <f aca="true">OFFSET(E$43,(FINCASE-1)*$E$6,0,1,1)</f>
        <v>0.02</v>
      </c>
    </row>
    <row r="19" customFormat="false" ht="12.75" hidden="false" customHeight="true" outlineLevel="0" collapsed="false">
      <c r="B19" s="46" t="s">
        <v>232</v>
      </c>
      <c r="E19" s="56" t="n">
        <f aca="true">OFFSET(E$44,(FINCASE-1)*$E$6,0,1,1)</f>
        <v>6</v>
      </c>
    </row>
    <row r="20" customFormat="false" ht="12.75" hidden="false" customHeight="true" outlineLevel="0" collapsed="false">
      <c r="B20" s="46" t="s">
        <v>233</v>
      </c>
      <c r="E20" s="50" t="n">
        <f aca="true">OFFSET(E$45,(FINCASE-1)*$E$6,0,1,1)</f>
        <v>20</v>
      </c>
    </row>
    <row r="21" customFormat="false" ht="12.75" hidden="false" customHeight="true" outlineLevel="0" collapsed="false">
      <c r="B21" s="46" t="s">
        <v>234</v>
      </c>
      <c r="E21" s="55" t="n">
        <f aca="true">OFFSET(E$46,(FINCASE-1)*$E$6,0,1,1)</f>
        <v>0.04</v>
      </c>
    </row>
    <row r="22" customFormat="false" ht="12.75" hidden="false" customHeight="true" outlineLevel="0" collapsed="false">
      <c r="B22" s="46" t="s">
        <v>235</v>
      </c>
      <c r="E22" s="55" t="n">
        <f aca="true">OFFSET(E$47,(FINCASE-1)*$E$6,0,1,1)</f>
        <v>0.014</v>
      </c>
    </row>
    <row r="23" customFormat="false" ht="12.75" hidden="false" customHeight="true" outlineLevel="0" collapsed="false">
      <c r="B23" s="46" t="s">
        <v>236</v>
      </c>
      <c r="E23" s="55" t="n">
        <f aca="true">OFFSET(E$48,(FINCASE-1)*$E$6,0,1,1)</f>
        <v>0.01</v>
      </c>
    </row>
    <row r="24" customFormat="false" ht="12.75" hidden="false" customHeight="true" outlineLevel="0" collapsed="false">
      <c r="B24" s="46" t="s">
        <v>237</v>
      </c>
      <c r="E24" s="56" t="n">
        <f aca="true">OFFSET(E$49,(FINCASE-1)*$E$6,0,1,1)</f>
        <v>5</v>
      </c>
    </row>
    <row r="25" customFormat="false" ht="12.75" hidden="false" customHeight="true" outlineLevel="0" collapsed="false">
      <c r="B25" s="46" t="s">
        <v>238</v>
      </c>
      <c r="E25" s="53" t="n">
        <f aca="true">OFFSET(E$50,(FINCASE-1)*$E$6,0,1,1)</f>
        <v>3</v>
      </c>
    </row>
    <row r="26" customFormat="false" ht="12.75" hidden="false" customHeight="true" outlineLevel="0" collapsed="false">
      <c r="B26" s="46" t="s">
        <v>239</v>
      </c>
      <c r="E26" s="53" t="n">
        <f aca="true">OFFSET(E$51,(FINCASE-1)*$E$6,0,1,1)</f>
        <v>3</v>
      </c>
    </row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>
      <c r="B33" s="9" t="s">
        <v>240</v>
      </c>
      <c r="C33" s="10"/>
      <c r="D33" s="10"/>
      <c r="E33" s="10"/>
      <c r="F33" s="10"/>
      <c r="G33" s="10"/>
    </row>
    <row r="34" customFormat="false" ht="12.75" hidden="false" customHeight="true" outlineLevel="0" collapsed="false">
      <c r="B34" s="4" t="s">
        <v>192</v>
      </c>
      <c r="E34" s="5" t="s">
        <v>241</v>
      </c>
    </row>
    <row r="35" customFormat="false" ht="12.75" hidden="false" customHeight="true" outlineLevel="0" collapsed="false">
      <c r="B35" s="6" t="s">
        <v>222</v>
      </c>
      <c r="E35" s="42" t="n">
        <v>2</v>
      </c>
    </row>
    <row r="36" customFormat="false" ht="12.75" hidden="false" customHeight="true" outlineLevel="0" collapsed="false">
      <c r="B36" s="6" t="s">
        <v>224</v>
      </c>
      <c r="E36" s="41" t="n">
        <v>0.06</v>
      </c>
    </row>
    <row r="37" customFormat="false" ht="12.75" hidden="false" customHeight="true" outlineLevel="0" collapsed="false">
      <c r="B37" s="6" t="s">
        <v>225</v>
      </c>
      <c r="E37" s="41" t="n">
        <v>0</v>
      </c>
    </row>
    <row r="38" customFormat="false" ht="12.75" hidden="false" customHeight="true" outlineLevel="0" collapsed="false">
      <c r="B38" s="6" t="s">
        <v>226</v>
      </c>
      <c r="E38" s="41" t="n">
        <v>0.025</v>
      </c>
    </row>
    <row r="39" customFormat="false" ht="12.75" hidden="false" customHeight="true" outlineLevel="0" collapsed="false">
      <c r="B39" s="6" t="s">
        <v>227</v>
      </c>
      <c r="E39" s="26" t="n">
        <v>0.05</v>
      </c>
    </row>
    <row r="40" customFormat="false" ht="12.75" hidden="false" customHeight="true" outlineLevel="0" collapsed="false">
      <c r="B40" s="6" t="s">
        <v>228</v>
      </c>
      <c r="E40" s="39" t="n">
        <v>5</v>
      </c>
    </row>
    <row r="41" customFormat="false" ht="12.75" hidden="false" customHeight="true" outlineLevel="0" collapsed="false">
      <c r="B41" s="6" t="s">
        <v>229</v>
      </c>
      <c r="E41" s="42" t="n">
        <v>0</v>
      </c>
    </row>
    <row r="42" customFormat="false" ht="12.75" hidden="false" customHeight="true" outlineLevel="0" collapsed="false">
      <c r="B42" s="6" t="s">
        <v>230</v>
      </c>
      <c r="E42" s="41" t="n">
        <v>0.12</v>
      </c>
    </row>
    <row r="43" customFormat="false" ht="12.75" hidden="false" customHeight="true" outlineLevel="0" collapsed="false">
      <c r="B43" s="6" t="s">
        <v>231</v>
      </c>
      <c r="E43" s="41" t="n">
        <v>0.02</v>
      </c>
    </row>
    <row r="44" customFormat="false" ht="12.75" hidden="false" customHeight="true" outlineLevel="0" collapsed="false">
      <c r="B44" s="6" t="s">
        <v>232</v>
      </c>
      <c r="E44" s="39" t="n">
        <v>6</v>
      </c>
    </row>
    <row r="45" customFormat="false" ht="12.75" hidden="false" customHeight="true" outlineLevel="0" collapsed="false">
      <c r="B45" s="6" t="s">
        <v>233</v>
      </c>
      <c r="E45" s="22" t="n">
        <v>20</v>
      </c>
    </row>
    <row r="46" customFormat="false" ht="12.75" hidden="false" customHeight="true" outlineLevel="0" collapsed="false">
      <c r="B46" s="6" t="s">
        <v>234</v>
      </c>
      <c r="E46" s="41" t="n">
        <v>0.04</v>
      </c>
    </row>
    <row r="47" customFormat="false" ht="12.75" hidden="false" customHeight="true" outlineLevel="0" collapsed="false">
      <c r="B47" s="6" t="s">
        <v>235</v>
      </c>
      <c r="E47" s="41" t="n">
        <v>0.014</v>
      </c>
    </row>
    <row r="48" customFormat="false" ht="12.75" hidden="false" customHeight="true" outlineLevel="0" collapsed="false">
      <c r="B48" s="6" t="s">
        <v>236</v>
      </c>
      <c r="E48" s="41" t="n">
        <v>0.01</v>
      </c>
    </row>
    <row r="49" customFormat="false" ht="12.75" hidden="false" customHeight="true" outlineLevel="0" collapsed="false">
      <c r="B49" s="6" t="s">
        <v>237</v>
      </c>
      <c r="E49" s="39" t="n">
        <v>5</v>
      </c>
    </row>
    <row r="50" customFormat="false" ht="12.75" hidden="false" customHeight="true" outlineLevel="0" collapsed="false">
      <c r="B50" s="6" t="s">
        <v>238</v>
      </c>
      <c r="E50" s="42" t="n">
        <v>3</v>
      </c>
    </row>
    <row r="51" customFormat="false" ht="12.75" hidden="false" customHeight="true" outlineLevel="0" collapsed="false">
      <c r="B51" s="6" t="s">
        <v>239</v>
      </c>
      <c r="E51" s="42" t="n">
        <v>3</v>
      </c>
    </row>
    <row r="52" customFormat="false" ht="12.75" hidden="false" customHeight="true" outlineLevel="0" collapsed="false"/>
    <row r="53" customFormat="false" ht="12.75" hidden="false" customHeight="true" outlineLevel="0" collapsed="false">
      <c r="B53" s="9" t="s">
        <v>242</v>
      </c>
      <c r="C53" s="10"/>
      <c r="D53" s="10"/>
      <c r="E53" s="10"/>
      <c r="F53" s="10"/>
      <c r="G53" s="10"/>
    </row>
    <row r="54" customFormat="false" ht="12.75" hidden="false" customHeight="true" outlineLevel="0" collapsed="false">
      <c r="B54" s="4" t="s">
        <v>196</v>
      </c>
      <c r="E54" s="5" t="s">
        <v>243</v>
      </c>
    </row>
    <row r="55" customFormat="false" ht="12.75" hidden="false" customHeight="true" outlineLevel="0" collapsed="false">
      <c r="B55" s="6" t="s">
        <v>222</v>
      </c>
      <c r="E55" s="42" t="n">
        <v>3</v>
      </c>
    </row>
    <row r="56" customFormat="false" ht="12.75" hidden="false" customHeight="true" outlineLevel="0" collapsed="false">
      <c r="B56" s="6" t="s">
        <v>224</v>
      </c>
      <c r="E56" s="41" t="n">
        <v>0.0675</v>
      </c>
    </row>
    <row r="57" customFormat="false" ht="12.75" hidden="false" customHeight="true" outlineLevel="0" collapsed="false">
      <c r="B57" s="6" t="s">
        <v>225</v>
      </c>
      <c r="E57" s="41" t="n">
        <v>0</v>
      </c>
    </row>
    <row r="58" customFormat="false" ht="12.75" hidden="false" customHeight="true" outlineLevel="0" collapsed="false">
      <c r="B58" s="6" t="s">
        <v>226</v>
      </c>
      <c r="E58" s="41" t="n">
        <v>0.03</v>
      </c>
    </row>
    <row r="59" customFormat="false" ht="12.75" hidden="false" customHeight="true" outlineLevel="0" collapsed="false">
      <c r="B59" s="6" t="s">
        <v>227</v>
      </c>
      <c r="E59" s="26" t="n">
        <v>0.05</v>
      </c>
    </row>
    <row r="60" customFormat="false" ht="12.75" hidden="false" customHeight="true" outlineLevel="0" collapsed="false">
      <c r="B60" s="6" t="s">
        <v>228</v>
      </c>
      <c r="E60" s="39" t="n">
        <v>5</v>
      </c>
    </row>
    <row r="61" customFormat="false" ht="12.75" hidden="false" customHeight="true" outlineLevel="0" collapsed="false">
      <c r="B61" s="6" t="s">
        <v>229</v>
      </c>
      <c r="E61" s="42" t="n">
        <v>0.75</v>
      </c>
    </row>
    <row r="62" customFormat="false" ht="12.75" hidden="false" customHeight="true" outlineLevel="0" collapsed="false">
      <c r="B62" s="6" t="s">
        <v>230</v>
      </c>
      <c r="E62" s="41" t="n">
        <v>0.12</v>
      </c>
    </row>
    <row r="63" customFormat="false" ht="12.75" hidden="false" customHeight="true" outlineLevel="0" collapsed="false">
      <c r="B63" s="6" t="s">
        <v>231</v>
      </c>
      <c r="E63" s="41" t="n">
        <v>0.02</v>
      </c>
    </row>
    <row r="64" customFormat="false" ht="12.75" hidden="false" customHeight="true" outlineLevel="0" collapsed="false">
      <c r="B64" s="6" t="s">
        <v>232</v>
      </c>
      <c r="E64" s="39" t="n">
        <v>6</v>
      </c>
    </row>
    <row r="65" customFormat="false" ht="12.75" hidden="false" customHeight="true" outlineLevel="0" collapsed="false">
      <c r="B65" s="6" t="s">
        <v>233</v>
      </c>
      <c r="E65" s="22" t="n">
        <v>20</v>
      </c>
    </row>
    <row r="66" customFormat="false" ht="12.75" hidden="false" customHeight="true" outlineLevel="0" collapsed="false">
      <c r="B66" s="6" t="s">
        <v>234</v>
      </c>
      <c r="E66" s="41" t="n">
        <v>0.04</v>
      </c>
    </row>
    <row r="67" customFormat="false" ht="12.75" hidden="false" customHeight="true" outlineLevel="0" collapsed="false">
      <c r="B67" s="6" t="s">
        <v>235</v>
      </c>
      <c r="E67" s="41" t="n">
        <v>0.014</v>
      </c>
    </row>
    <row r="68" customFormat="false" ht="12.75" hidden="false" customHeight="true" outlineLevel="0" collapsed="false">
      <c r="B68" s="6" t="s">
        <v>236</v>
      </c>
      <c r="E68" s="41" t="n">
        <v>0.01</v>
      </c>
    </row>
    <row r="69" customFormat="false" ht="12.75" hidden="false" customHeight="true" outlineLevel="0" collapsed="false">
      <c r="B69" s="6" t="s">
        <v>237</v>
      </c>
      <c r="E69" s="39" t="n">
        <v>5</v>
      </c>
    </row>
    <row r="70" customFormat="false" ht="12.75" hidden="false" customHeight="true" outlineLevel="0" collapsed="false">
      <c r="B70" s="6" t="s">
        <v>238</v>
      </c>
      <c r="E70" s="42" t="n">
        <v>4</v>
      </c>
    </row>
    <row r="71" customFormat="false" ht="12.75" hidden="false" customHeight="true" outlineLevel="0" collapsed="false">
      <c r="B71" s="6" t="s">
        <v>239</v>
      </c>
      <c r="E71" s="42" t="n">
        <v>2</v>
      </c>
    </row>
    <row r="72" customFormat="false" ht="12.75" hidden="false" customHeight="true" outlineLevel="0" collapsed="false"/>
    <row r="73" customFormat="false" ht="12.75" hidden="false" customHeight="true" outlineLevel="0" collapsed="false">
      <c r="B73" s="9" t="s">
        <v>244</v>
      </c>
      <c r="C73" s="10"/>
      <c r="D73" s="10"/>
      <c r="E73" s="10"/>
      <c r="F73" s="10"/>
      <c r="G73" s="10"/>
    </row>
    <row r="74" customFormat="false" ht="12.75" hidden="false" customHeight="true" outlineLevel="0" collapsed="false">
      <c r="B74" s="4" t="s">
        <v>200</v>
      </c>
      <c r="E74" s="5" t="s">
        <v>245</v>
      </c>
    </row>
    <row r="75" customFormat="false" ht="12.75" hidden="false" customHeight="true" outlineLevel="0" collapsed="false">
      <c r="B75" s="6" t="s">
        <v>222</v>
      </c>
      <c r="E75" s="42" t="n">
        <v>1</v>
      </c>
    </row>
    <row r="76" customFormat="false" ht="12.75" hidden="false" customHeight="true" outlineLevel="0" collapsed="false">
      <c r="B76" s="6" t="s">
        <v>224</v>
      </c>
      <c r="E76" s="41" t="n">
        <v>0.055</v>
      </c>
    </row>
    <row r="77" customFormat="false" ht="12.75" hidden="false" customHeight="true" outlineLevel="0" collapsed="false">
      <c r="B77" s="6" t="s">
        <v>225</v>
      </c>
      <c r="E77" s="41" t="n">
        <v>0</v>
      </c>
    </row>
    <row r="78" customFormat="false" ht="12.75" hidden="false" customHeight="true" outlineLevel="0" collapsed="false">
      <c r="B78" s="6" t="s">
        <v>226</v>
      </c>
      <c r="E78" s="41" t="n">
        <v>0.0225</v>
      </c>
    </row>
    <row r="79" customFormat="false" ht="12.75" hidden="false" customHeight="true" outlineLevel="0" collapsed="false">
      <c r="B79" s="6" t="s">
        <v>227</v>
      </c>
      <c r="E79" s="26" t="n">
        <v>0.05</v>
      </c>
    </row>
    <row r="80" customFormat="false" ht="12.75" hidden="false" customHeight="true" outlineLevel="0" collapsed="false">
      <c r="B80" s="6" t="s">
        <v>228</v>
      </c>
      <c r="E80" s="39" t="n">
        <v>5</v>
      </c>
    </row>
    <row r="81" customFormat="false" ht="12.75" hidden="false" customHeight="true" outlineLevel="0" collapsed="false">
      <c r="B81" s="6" t="s">
        <v>229</v>
      </c>
      <c r="E81" s="42" t="n">
        <v>0</v>
      </c>
    </row>
    <row r="82" customFormat="false" ht="12.75" hidden="false" customHeight="true" outlineLevel="0" collapsed="false">
      <c r="B82" s="6" t="s">
        <v>230</v>
      </c>
      <c r="E82" s="41" t="n">
        <v>0.12</v>
      </c>
    </row>
    <row r="83" customFormat="false" ht="12.75" hidden="false" customHeight="true" outlineLevel="0" collapsed="false">
      <c r="B83" s="6" t="s">
        <v>231</v>
      </c>
      <c r="E83" s="41" t="n">
        <v>0.02</v>
      </c>
    </row>
    <row r="84" customFormat="false" ht="12.75" hidden="false" customHeight="true" outlineLevel="0" collapsed="false">
      <c r="B84" s="6" t="s">
        <v>232</v>
      </c>
      <c r="E84" s="39" t="n">
        <v>6</v>
      </c>
    </row>
    <row r="85" customFormat="false" ht="12.75" hidden="false" customHeight="true" outlineLevel="0" collapsed="false">
      <c r="B85" s="6" t="s">
        <v>233</v>
      </c>
      <c r="E85" s="22" t="n">
        <v>20</v>
      </c>
    </row>
    <row r="86" customFormat="false" ht="12.75" hidden="false" customHeight="true" outlineLevel="0" collapsed="false">
      <c r="B86" s="6" t="s">
        <v>234</v>
      </c>
      <c r="E86" s="41" t="n">
        <v>0.04</v>
      </c>
    </row>
    <row r="87" customFormat="false" ht="12.75" hidden="false" customHeight="true" outlineLevel="0" collapsed="false">
      <c r="B87" s="6" t="s">
        <v>235</v>
      </c>
      <c r="E87" s="41" t="n">
        <v>0.014</v>
      </c>
    </row>
    <row r="88" customFormat="false" ht="12.75" hidden="false" customHeight="true" outlineLevel="0" collapsed="false">
      <c r="B88" s="6" t="s">
        <v>236</v>
      </c>
      <c r="E88" s="41" t="n">
        <v>0.01</v>
      </c>
    </row>
    <row r="89" customFormat="false" ht="12.75" hidden="false" customHeight="true" outlineLevel="0" collapsed="false">
      <c r="B89" s="6" t="s">
        <v>237</v>
      </c>
      <c r="E89" s="39" t="n">
        <v>5</v>
      </c>
    </row>
    <row r="90" customFormat="false" ht="12.75" hidden="false" customHeight="true" outlineLevel="0" collapsed="false">
      <c r="B90" s="6" t="s">
        <v>238</v>
      </c>
      <c r="E90" s="42" t="n">
        <v>2.5</v>
      </c>
    </row>
    <row r="91" customFormat="false" ht="12.75" hidden="false" customHeight="true" outlineLevel="0" collapsed="false">
      <c r="B91" s="6" t="s">
        <v>239</v>
      </c>
      <c r="E91" s="42" t="n">
        <v>4</v>
      </c>
    </row>
    <row r="92" customFormat="false" ht="12.75" hidden="false" customHeight="true" outlineLevel="0" collapsed="false"/>
    <row r="93" customFormat="false" ht="12.75" hidden="false" customHeight="true" outlineLevel="0" collapsed="false">
      <c r="B93" s="9" t="s">
        <v>246</v>
      </c>
      <c r="C93" s="10"/>
      <c r="D93" s="10"/>
      <c r="E93" s="10"/>
      <c r="F93" s="10"/>
      <c r="G93" s="10"/>
    </row>
    <row r="94" customFormat="false" ht="12.75" hidden="false" customHeight="true" outlineLevel="0" collapsed="false">
      <c r="B94" s="4" t="s">
        <v>204</v>
      </c>
      <c r="E94" s="5" t="s">
        <v>247</v>
      </c>
    </row>
    <row r="95" customFormat="false" ht="12.75" hidden="false" customHeight="true" outlineLevel="0" collapsed="false">
      <c r="B95" s="6" t="s">
        <v>222</v>
      </c>
      <c r="E95" s="42" t="n">
        <v>0</v>
      </c>
    </row>
    <row r="96" customFormat="false" ht="12.75" hidden="false" customHeight="true" outlineLevel="0" collapsed="false">
      <c r="B96" s="6" t="s">
        <v>224</v>
      </c>
      <c r="E96" s="41" t="n">
        <v>0.06</v>
      </c>
    </row>
    <row r="97" customFormat="false" ht="12.75" hidden="false" customHeight="true" outlineLevel="0" collapsed="false">
      <c r="B97" s="6" t="s">
        <v>225</v>
      </c>
      <c r="E97" s="41" t="n">
        <v>0</v>
      </c>
    </row>
    <row r="98" customFormat="false" ht="12.75" hidden="false" customHeight="true" outlineLevel="0" collapsed="false">
      <c r="B98" s="6" t="s">
        <v>226</v>
      </c>
      <c r="E98" s="41" t="n">
        <v>0.025</v>
      </c>
    </row>
    <row r="99" customFormat="false" ht="12.75" hidden="false" customHeight="true" outlineLevel="0" collapsed="false">
      <c r="B99" s="6" t="s">
        <v>227</v>
      </c>
      <c r="E99" s="26" t="n">
        <v>0.05</v>
      </c>
    </row>
    <row r="100" customFormat="false" ht="12.75" hidden="false" customHeight="true" outlineLevel="0" collapsed="false">
      <c r="B100" s="6" t="s">
        <v>228</v>
      </c>
      <c r="E100" s="39" t="n">
        <v>5</v>
      </c>
    </row>
    <row r="101" customFormat="false" ht="12.75" hidden="false" customHeight="true" outlineLevel="0" collapsed="false">
      <c r="B101" s="6" t="s">
        <v>229</v>
      </c>
      <c r="E101" s="42" t="n">
        <v>0</v>
      </c>
    </row>
    <row r="102" customFormat="false" ht="12.75" hidden="false" customHeight="true" outlineLevel="0" collapsed="false">
      <c r="B102" s="6" t="s">
        <v>230</v>
      </c>
      <c r="E102" s="41" t="n">
        <v>0.12</v>
      </c>
    </row>
    <row r="103" customFormat="false" ht="12.75" hidden="false" customHeight="true" outlineLevel="0" collapsed="false">
      <c r="B103" s="6" t="s">
        <v>231</v>
      </c>
      <c r="E103" s="41" t="n">
        <v>0.02</v>
      </c>
    </row>
    <row r="104" customFormat="false" ht="12.75" hidden="false" customHeight="true" outlineLevel="0" collapsed="false">
      <c r="B104" s="6" t="s">
        <v>232</v>
      </c>
      <c r="E104" s="39" t="n">
        <v>6</v>
      </c>
    </row>
    <row r="105" customFormat="false" ht="12.75" hidden="false" customHeight="true" outlineLevel="0" collapsed="false">
      <c r="B105" s="6" t="s">
        <v>233</v>
      </c>
      <c r="E105" s="22" t="n">
        <v>20</v>
      </c>
    </row>
    <row r="106" customFormat="false" ht="12.75" hidden="false" customHeight="true" outlineLevel="0" collapsed="false">
      <c r="B106" s="6" t="s">
        <v>234</v>
      </c>
      <c r="E106" s="41" t="n">
        <v>0.04</v>
      </c>
    </row>
    <row r="107" customFormat="false" ht="12.75" hidden="false" customHeight="true" outlineLevel="0" collapsed="false">
      <c r="B107" s="6" t="s">
        <v>235</v>
      </c>
      <c r="E107" s="41" t="n">
        <v>0.014</v>
      </c>
    </row>
    <row r="108" customFormat="false" ht="12.75" hidden="false" customHeight="true" outlineLevel="0" collapsed="false">
      <c r="B108" s="6" t="s">
        <v>236</v>
      </c>
      <c r="E108" s="41" t="n">
        <v>0.01</v>
      </c>
    </row>
    <row r="109" customFormat="false" ht="12.75" hidden="false" customHeight="true" outlineLevel="0" collapsed="false">
      <c r="B109" s="6" t="s">
        <v>237</v>
      </c>
      <c r="E109" s="39" t="n">
        <v>5</v>
      </c>
    </row>
    <row r="110" customFormat="false" ht="12.75" hidden="false" customHeight="true" outlineLevel="0" collapsed="false">
      <c r="B110" s="6" t="s">
        <v>238</v>
      </c>
      <c r="E110" s="42" t="n">
        <v>3</v>
      </c>
    </row>
    <row r="111" customFormat="false" ht="12.75" hidden="false" customHeight="true" outlineLevel="0" collapsed="false">
      <c r="B111" s="6" t="s">
        <v>239</v>
      </c>
      <c r="E111" s="4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O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2"/>
    <col collapsed="false" customWidth="true" hidden="false" outlineLevel="0" max="14" min="7" style="0" width="10"/>
    <col collapsed="false" customWidth="true" hidden="false" outlineLevel="0" max="15" min="15" style="0" width="2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248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2.75" hidden="false" customHeight="true" outlineLevel="0" collapsed="false">
      <c r="B3" s="3" t="s">
        <v>249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4" t="s">
        <v>250</v>
      </c>
      <c r="D5" s="29" t="n">
        <v>1</v>
      </c>
    </row>
    <row r="6" customFormat="false" ht="12.75" hidden="false" customHeight="true" outlineLevel="0" collapsed="false">
      <c r="B6" s="6" t="s">
        <v>251</v>
      </c>
      <c r="D6" s="57" t="n">
        <f aca="false">MCASE</f>
        <v>3</v>
      </c>
    </row>
    <row r="7" customFormat="false" ht="12.75" hidden="false" customHeight="true" outlineLevel="0" collapsed="false">
      <c r="B7" s="6" t="s">
        <v>5</v>
      </c>
      <c r="D7" s="8" t="str">
        <f aca="false">MCASE!C8</f>
        <v>Sponsor base | Base</v>
      </c>
    </row>
    <row r="8" customFormat="false" ht="12.75" hidden="false" customHeight="true" outlineLevel="0" collapsed="false">
      <c r="B8" s="6" t="s">
        <v>252</v>
      </c>
      <c r="D8" s="7" t="n">
        <f aca="false">MCASE!D8</f>
        <v>3</v>
      </c>
      <c r="E8" s="7" t="n">
        <f aca="false">MCASE!E8</f>
        <v>1</v>
      </c>
    </row>
    <row r="9" customFormat="false" ht="12.75" hidden="false" customHeight="true" outlineLevel="0" collapsed="false">
      <c r="B9" s="6" t="s">
        <v>253</v>
      </c>
      <c r="D9" s="58" t="str">
        <f aca="false">OPCASE!D10</f>
        <v>Dersimelagon approved; APOLLO misses/delays bitopertin; SCENESSE keeps implant-preferring &amp; severe patients</v>
      </c>
    </row>
    <row r="10" customFormat="false" ht="12.75" hidden="false" customHeight="true" outlineLevel="0" collapsed="false"/>
    <row r="11" customFormat="false" ht="12.75" hidden="false" customHeight="true" outlineLevel="0" collapsed="false">
      <c r="B11" s="9" t="s">
        <v>254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customFormat="false" ht="12.75" hidden="false" customHeight="true" outlineLevel="0" collapsed="false">
      <c r="B12" s="4" t="s">
        <v>255</v>
      </c>
      <c r="G12" s="59" t="s">
        <v>256</v>
      </c>
      <c r="H12" s="59" t="s">
        <v>168</v>
      </c>
      <c r="I12" s="59" t="s">
        <v>169</v>
      </c>
      <c r="J12" s="59" t="s">
        <v>170</v>
      </c>
      <c r="K12" s="59" t="s">
        <v>171</v>
      </c>
      <c r="L12" s="59" t="s">
        <v>172</v>
      </c>
      <c r="M12" s="59" t="s">
        <v>173</v>
      </c>
    </row>
    <row r="13" customFormat="false" ht="12.75" hidden="false" customHeight="true" outlineLevel="0" collapsed="false">
      <c r="B13" s="6" t="s">
        <v>257</v>
      </c>
      <c r="G13" s="60" t="n">
        <f aca="false">DATE(2026,6,30)</f>
        <v>46203</v>
      </c>
      <c r="H13" s="61" t="n">
        <f aca="false">DATE(YEAR(G13)+1,6,30)</f>
        <v>46568</v>
      </c>
      <c r="I13" s="61" t="n">
        <f aca="false">DATE(YEAR(H13)+1,6,30)</f>
        <v>46934</v>
      </c>
      <c r="J13" s="61" t="n">
        <f aca="false">DATE(YEAR(I13)+1,6,30)</f>
        <v>47299</v>
      </c>
      <c r="K13" s="61" t="n">
        <f aca="false">DATE(YEAR(J13)+1,6,30)</f>
        <v>47664</v>
      </c>
      <c r="L13" s="61" t="n">
        <f aca="false">DATE(YEAR(K13)+1,6,30)</f>
        <v>48029</v>
      </c>
      <c r="M13" s="61" t="n">
        <f aca="false">DATE(YEAR(L13)+1,6,30)</f>
        <v>48395</v>
      </c>
    </row>
    <row r="14" customFormat="false" ht="12.75" hidden="false" customHeight="true" outlineLevel="0" collapsed="false">
      <c r="B14" s="24" t="s">
        <v>258</v>
      </c>
      <c r="G14" s="62" t="s">
        <v>259</v>
      </c>
      <c r="H14" s="62" t="s">
        <v>260</v>
      </c>
      <c r="I14" s="62" t="s">
        <v>261</v>
      </c>
      <c r="J14" s="62" t="s">
        <v>261</v>
      </c>
      <c r="K14" s="62" t="s">
        <v>261</v>
      </c>
      <c r="L14" s="62" t="s">
        <v>261</v>
      </c>
      <c r="M14" s="62" t="s">
        <v>261</v>
      </c>
    </row>
    <row r="15" customFormat="false" ht="12.75" hidden="false" customHeight="true" outlineLevel="0" collapsed="false">
      <c r="B15" s="6" t="s">
        <v>262</v>
      </c>
      <c r="I15" s="38" t="n">
        <f aca="false">YEAR(I13)-YEAR($H$13)</f>
        <v>1</v>
      </c>
      <c r="J15" s="38" t="n">
        <f aca="false">YEAR(J13)-YEAR($H$13)</f>
        <v>2</v>
      </c>
      <c r="K15" s="38" t="n">
        <f aca="false">YEAR(K13)-YEAR($H$13)</f>
        <v>3</v>
      </c>
      <c r="L15" s="38" t="n">
        <f aca="false">YEAR(L13)-YEAR($H$13)</f>
        <v>4</v>
      </c>
      <c r="M15" s="38" t="n">
        <f aca="false">YEAR(M13)-YEAR($H$13)</f>
        <v>5</v>
      </c>
    </row>
    <row r="16" customFormat="false" ht="12.75" hidden="false" customHeight="true" outlineLevel="0" collapsed="false"/>
    <row r="17" customFormat="false" ht="12.75" hidden="false" customHeight="true" outlineLevel="0" collapsed="false">
      <c r="B17" s="9" t="s">
        <v>263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customFormat="false" ht="12.75" hidden="false" customHeight="true" outlineLevel="0" collapsed="false">
      <c r="B18" s="6" t="s">
        <v>264</v>
      </c>
      <c r="C18" s="3" t="s">
        <v>265</v>
      </c>
      <c r="D18" s="40" t="n">
        <v>8.24</v>
      </c>
    </row>
    <row r="19" customFormat="false" ht="12.75" hidden="false" customHeight="true" outlineLevel="0" collapsed="false">
      <c r="B19" s="4" t="s">
        <v>7</v>
      </c>
      <c r="C19" s="3" t="s">
        <v>266</v>
      </c>
      <c r="D19" s="11" t="n">
        <f aca="false">MCASE!F8</f>
        <v>10.75</v>
      </c>
    </row>
    <row r="20" customFormat="false" ht="12.75" hidden="false" customHeight="true" outlineLevel="0" collapsed="false">
      <c r="B20" s="6" t="s">
        <v>267</v>
      </c>
      <c r="D20" s="63" t="n">
        <f aca="false">D19/D18-1</f>
        <v>0.304611650485437</v>
      </c>
    </row>
    <row r="21" customFormat="false" ht="12.75" hidden="false" customHeight="true" outlineLevel="0" collapsed="false">
      <c r="B21" s="6" t="s">
        <v>268</v>
      </c>
      <c r="C21" s="3" t="s">
        <v>269</v>
      </c>
      <c r="D21" s="64" t="n">
        <v>50.43</v>
      </c>
    </row>
    <row r="22" customFormat="false" ht="12.75" hidden="false" customHeight="true" outlineLevel="0" collapsed="false">
      <c r="B22" s="6" t="s">
        <v>270</v>
      </c>
      <c r="C22" s="3" t="s">
        <v>271</v>
      </c>
      <c r="D22" s="64" t="n">
        <v>0.25</v>
      </c>
    </row>
    <row r="23" customFormat="false" ht="12.75" hidden="false" customHeight="true" outlineLevel="0" collapsed="false">
      <c r="B23" s="6" t="s">
        <v>272</v>
      </c>
      <c r="D23" s="65" t="n">
        <f aca="false">D21+D22</f>
        <v>50.68</v>
      </c>
    </row>
    <row r="24" customFormat="false" ht="12.75" hidden="false" customHeight="true" outlineLevel="0" collapsed="false">
      <c r="B24" s="4" t="s">
        <v>273</v>
      </c>
      <c r="D24" s="66" t="n">
        <f aca="false">D19*D23</f>
        <v>544.81</v>
      </c>
    </row>
    <row r="25" customFormat="false" ht="12.75" hidden="false" customHeight="true" outlineLevel="0" collapsed="false">
      <c r="B25" s="6" t="s">
        <v>274</v>
      </c>
      <c r="C25" s="3" t="s">
        <v>275</v>
      </c>
      <c r="D25" s="27" t="n">
        <f aca="false">H175</f>
        <v>275.469036669028</v>
      </c>
    </row>
    <row r="26" customFormat="false" ht="12.75" hidden="false" customHeight="true" outlineLevel="0" collapsed="false">
      <c r="B26" s="6" t="s">
        <v>276</v>
      </c>
      <c r="C26" s="3" t="s">
        <v>277</v>
      </c>
      <c r="D26" s="22" t="n">
        <v>0</v>
      </c>
    </row>
    <row r="27" customFormat="false" ht="12.75" hidden="false" customHeight="true" outlineLevel="0" collapsed="false">
      <c r="B27" s="6" t="s">
        <v>278</v>
      </c>
      <c r="C27" s="3" t="s">
        <v>279</v>
      </c>
      <c r="D27" s="67" t="n">
        <f aca="false">MCASE!J8</f>
        <v>40</v>
      </c>
    </row>
    <row r="28" customFormat="false" ht="12.75" hidden="false" customHeight="true" outlineLevel="0" collapsed="false">
      <c r="B28" s="6" t="s">
        <v>280</v>
      </c>
      <c r="D28" s="27" t="n">
        <f aca="false">MAX(0,D25-D27)</f>
        <v>235.469036669028</v>
      </c>
    </row>
    <row r="29" customFormat="false" ht="12.75" hidden="false" customHeight="true" outlineLevel="0" collapsed="false">
      <c r="B29" s="4" t="s">
        <v>281</v>
      </c>
      <c r="D29" s="66" t="n">
        <f aca="false">D24+D26-D25</f>
        <v>269.340963330972</v>
      </c>
    </row>
    <row r="30" customFormat="false" ht="12.75" hidden="false" customHeight="true" outlineLevel="0" collapsed="false">
      <c r="B30" s="6" t="s">
        <v>282</v>
      </c>
      <c r="D30" s="27" t="n">
        <f aca="false">H129</f>
        <v>36.496922</v>
      </c>
    </row>
    <row r="31" customFormat="false" ht="12.75" hidden="false" customHeight="true" outlineLevel="0" collapsed="false">
      <c r="B31" s="6" t="s">
        <v>283</v>
      </c>
      <c r="D31" s="27" t="n">
        <f aca="false">G129</f>
        <v>42.524</v>
      </c>
    </row>
    <row r="32" customFormat="false" ht="12.75" hidden="false" customHeight="true" outlineLevel="0" collapsed="false">
      <c r="B32" s="6" t="s">
        <v>284</v>
      </c>
      <c r="D32" s="27" t="n">
        <f aca="false">I129</f>
        <v>57.50043046</v>
      </c>
    </row>
    <row r="33" customFormat="false" ht="12.75" hidden="false" customHeight="true" outlineLevel="0" collapsed="false">
      <c r="B33" s="6" t="s">
        <v>285</v>
      </c>
      <c r="D33" s="68" t="n">
        <f aca="false">D29/D30</f>
        <v>7.37982680651733</v>
      </c>
    </row>
    <row r="34" customFormat="false" ht="12.75" hidden="false" customHeight="true" outlineLevel="0" collapsed="false">
      <c r="B34" s="6" t="s">
        <v>286</v>
      </c>
      <c r="D34" s="68" t="n">
        <f aca="false">D29/D31</f>
        <v>6.33385766463579</v>
      </c>
    </row>
    <row r="35" customFormat="false" ht="12.75" hidden="false" customHeight="true" outlineLevel="0" collapsed="false">
      <c r="B35" s="6" t="s">
        <v>287</v>
      </c>
      <c r="D35" s="68" t="n">
        <f aca="false">D29/D32</f>
        <v>4.68415559981483</v>
      </c>
    </row>
    <row r="36" customFormat="false" ht="12.75" hidden="false" customHeight="true" outlineLevel="0" collapsed="false">
      <c r="B36" s="6" t="s">
        <v>288</v>
      </c>
      <c r="D36" s="68" t="n">
        <f aca="false">D29/H113</f>
        <v>2.83623565387321</v>
      </c>
    </row>
    <row r="37" customFormat="false" ht="12.75" hidden="false" customHeight="true" outlineLevel="0" collapsed="false">
      <c r="B37" s="6" t="s">
        <v>289</v>
      </c>
      <c r="D37" s="68" t="n">
        <f aca="false">D24/G141</f>
        <v>16.0710914454277</v>
      </c>
    </row>
    <row r="38" customFormat="false" ht="12.75" hidden="false" customHeight="true" outlineLevel="0" collapsed="false">
      <c r="B38" s="6" t="s">
        <v>290</v>
      </c>
      <c r="D38" s="69" t="n">
        <f aca="false">D25/D23</f>
        <v>5.43545849781033</v>
      </c>
    </row>
    <row r="39" customFormat="false" ht="12.75" hidden="false" customHeight="true" outlineLevel="0" collapsed="false">
      <c r="B39" s="6" t="s">
        <v>291</v>
      </c>
      <c r="D39" s="70" t="n">
        <f aca="false">MCASE!G8</f>
        <v>0.0275</v>
      </c>
    </row>
    <row r="40" customFormat="false" ht="12.75" hidden="false" customHeight="true" outlineLevel="0" collapsed="false">
      <c r="B40" s="6" t="s">
        <v>292</v>
      </c>
      <c r="C40" s="3" t="s">
        <v>293</v>
      </c>
      <c r="D40" s="27" t="n">
        <f aca="false">D39*D24</f>
        <v>14.982275</v>
      </c>
    </row>
    <row r="41" customFormat="false" ht="12.75" hidden="false" customHeight="true" outlineLevel="0" collapsed="false">
      <c r="B41" s="6" t="s">
        <v>294</v>
      </c>
      <c r="D41" s="71" t="n">
        <f aca="false">MCASE!H8</f>
        <v>0</v>
      </c>
    </row>
    <row r="42" customFormat="false" ht="12.75" hidden="false" customHeight="true" outlineLevel="0" collapsed="false">
      <c r="B42" s="6" t="s">
        <v>295</v>
      </c>
      <c r="D42" s="27" t="n">
        <f aca="false">D41*D24</f>
        <v>0</v>
      </c>
    </row>
    <row r="43" customFormat="false" ht="12.75" hidden="false" customHeight="true" outlineLevel="0" collapsed="false">
      <c r="B43" s="6" t="s">
        <v>296</v>
      </c>
      <c r="D43" s="72" t="n">
        <f aca="false">MCASE!I8</f>
        <v>5.5</v>
      </c>
    </row>
    <row r="44" customFormat="false" ht="12.75" hidden="false" customHeight="true" outlineLevel="0" collapsed="false">
      <c r="B44" s="6" t="s">
        <v>297</v>
      </c>
      <c r="C44" s="3" t="s">
        <v>298</v>
      </c>
      <c r="D44" s="26" t="n">
        <v>0.015</v>
      </c>
    </row>
    <row r="45" customFormat="false" ht="12.75" hidden="false" customHeight="true" outlineLevel="0" collapsed="false">
      <c r="B45" s="6" t="s">
        <v>299</v>
      </c>
      <c r="C45" s="3" t="s">
        <v>300</v>
      </c>
      <c r="D45" s="26" t="n">
        <v>0.28</v>
      </c>
    </row>
    <row r="46" customFormat="false" ht="12.75" hidden="false" customHeight="true" outlineLevel="0" collapsed="false">
      <c r="B46" s="6" t="s">
        <v>301</v>
      </c>
      <c r="C46" s="3" t="s">
        <v>302</v>
      </c>
      <c r="D46" s="41" t="n">
        <v>0.0325</v>
      </c>
    </row>
    <row r="47" customFormat="false" ht="12.75" hidden="false" customHeight="true" outlineLevel="0" collapsed="false">
      <c r="B47" s="6" t="s">
        <v>303</v>
      </c>
      <c r="C47" s="3" t="s">
        <v>304</v>
      </c>
      <c r="D47" s="40" t="n">
        <v>0.05</v>
      </c>
    </row>
    <row r="48" customFormat="false" ht="12.75" hidden="false" customHeight="true" outlineLevel="0" collapsed="false">
      <c r="B48" s="6" t="s">
        <v>305</v>
      </c>
      <c r="C48" s="3" t="s">
        <v>306</v>
      </c>
      <c r="D48" s="22" t="n">
        <v>2</v>
      </c>
    </row>
    <row r="49" customFormat="false" ht="12.75" hidden="false" customHeight="true" outlineLevel="0" collapsed="false">
      <c r="B49" s="6" t="s">
        <v>307</v>
      </c>
      <c r="C49" s="3" t="s">
        <v>308</v>
      </c>
      <c r="D49" s="22" t="n">
        <v>2.5</v>
      </c>
    </row>
    <row r="50" customFormat="false" ht="12.75" hidden="false" customHeight="true" outlineLevel="0" collapsed="false">
      <c r="B50" s="6" t="s">
        <v>309</v>
      </c>
      <c r="C50" s="3" t="s">
        <v>310</v>
      </c>
      <c r="D50" s="26" t="n">
        <v>1</v>
      </c>
    </row>
    <row r="51" customFormat="false" ht="12.75" hidden="false" customHeight="true" outlineLevel="0" collapsed="false">
      <c r="B51" s="6" t="s">
        <v>311</v>
      </c>
      <c r="C51" s="3" t="s">
        <v>312</v>
      </c>
      <c r="D51" s="22" t="n">
        <v>5</v>
      </c>
    </row>
    <row r="52" customFormat="false" ht="12.75" hidden="false" customHeight="true" outlineLevel="0" collapsed="false"/>
    <row r="53" customFormat="false" ht="12.75" hidden="false" customHeight="true" outlineLevel="0" collapsed="false">
      <c r="B53" s="9" t="s">
        <v>313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customFormat="false" ht="12.75" hidden="false" customHeight="true" outlineLevel="0" collapsed="false">
      <c r="B54" s="4" t="s">
        <v>314</v>
      </c>
      <c r="G54" s="20" t="s">
        <v>315</v>
      </c>
      <c r="H54" s="20" t="s">
        <v>81</v>
      </c>
      <c r="I54" s="20" t="s">
        <v>316</v>
      </c>
      <c r="J54" s="20" t="s">
        <v>317</v>
      </c>
      <c r="K54" s="20" t="s">
        <v>318</v>
      </c>
      <c r="L54" s="20" t="s">
        <v>319</v>
      </c>
      <c r="M54" s="20" t="s">
        <v>320</v>
      </c>
      <c r="N54" s="20" t="s">
        <v>321</v>
      </c>
    </row>
    <row r="55" customFormat="false" ht="12.75" hidden="false" customHeight="true" outlineLevel="0" collapsed="false">
      <c r="B55" s="6" t="s">
        <v>322</v>
      </c>
      <c r="H55" s="67" t="n">
        <f aca="false">FINCASE!E20</f>
        <v>20</v>
      </c>
      <c r="I55" s="70" t="n">
        <f aca="false">FINCASE!E21</f>
        <v>0.04</v>
      </c>
      <c r="K55" s="70" t="n">
        <f aca="false">FINCASE!E23</f>
        <v>0.01</v>
      </c>
      <c r="L55" s="27" t="n">
        <f aca="false">H55*K55</f>
        <v>0.2</v>
      </c>
      <c r="M55" s="7" t="n">
        <f aca="false">FINCASE!E24</f>
        <v>5</v>
      </c>
      <c r="N55" s="26" t="n">
        <v>0</v>
      </c>
    </row>
    <row r="56" customFormat="false" ht="12.75" hidden="false" customHeight="true" outlineLevel="0" collapsed="false">
      <c r="B56" s="6" t="s">
        <v>323</v>
      </c>
      <c r="G56" s="72" t="n">
        <f aca="false">FINCASE!E10</f>
        <v>2</v>
      </c>
      <c r="H56" s="27" t="n">
        <f aca="false">MROUND(G56*$D$30,$D$51)</f>
        <v>75</v>
      </c>
      <c r="I56" s="70" t="n">
        <f aca="false">FINCASE!E11</f>
        <v>0.06</v>
      </c>
      <c r="J56" s="70" t="n">
        <f aca="false">FINCASE!E12</f>
        <v>0</v>
      </c>
      <c r="K56" s="70" t="n">
        <f aca="false">FINCASE!E13</f>
        <v>0.025</v>
      </c>
      <c r="L56" s="27" t="n">
        <f aca="false">H56*K56</f>
        <v>1.875</v>
      </c>
      <c r="M56" s="7" t="n">
        <f aca="false">FINCASE!E15</f>
        <v>5</v>
      </c>
      <c r="N56" s="71" t="n">
        <f aca="false">FINCASE!E14</f>
        <v>0.05</v>
      </c>
    </row>
    <row r="57" customFormat="false" ht="12.75" hidden="false" customHeight="true" outlineLevel="0" collapsed="false">
      <c r="B57" s="6" t="s">
        <v>324</v>
      </c>
      <c r="G57" s="72" t="n">
        <f aca="false">FINCASE!E16</f>
        <v>0</v>
      </c>
      <c r="H57" s="27" t="n">
        <f aca="false">MROUND(G57*$D$30,$D$51)</f>
        <v>0</v>
      </c>
      <c r="I57" s="70" t="n">
        <f aca="false">FINCASE!E17</f>
        <v>0.12</v>
      </c>
      <c r="K57" s="70" t="n">
        <f aca="false">FINCASE!E18</f>
        <v>0.02</v>
      </c>
      <c r="L57" s="27" t="n">
        <f aca="false">H57*K57</f>
        <v>0</v>
      </c>
      <c r="M57" s="7" t="n">
        <f aca="false">FINCASE!E19</f>
        <v>6</v>
      </c>
      <c r="N57" s="26" t="n">
        <v>0</v>
      </c>
    </row>
    <row r="58" customFormat="false" ht="12.75" hidden="false" customHeight="true" outlineLevel="0" collapsed="false">
      <c r="B58" s="4" t="s">
        <v>325</v>
      </c>
      <c r="G58" s="73" t="n">
        <f aca="false">G56+G57</f>
        <v>2</v>
      </c>
      <c r="H58" s="74" t="n">
        <f aca="false">H56+H57</f>
        <v>75</v>
      </c>
      <c r="L58" s="74" t="n">
        <f aca="false">SUM(L55:L57)</f>
        <v>2.075</v>
      </c>
    </row>
    <row r="59" customFormat="false" ht="12.75" hidden="false" customHeight="true" outlineLevel="0" collapsed="false">
      <c r="B59" s="6" t="s">
        <v>235</v>
      </c>
      <c r="I59" s="70" t="n">
        <f aca="false">FINCASE!E22</f>
        <v>0.014</v>
      </c>
    </row>
    <row r="60" customFormat="false" ht="12.75" hidden="false" customHeight="true" outlineLevel="0" collapsed="false">
      <c r="B60" s="6" t="s">
        <v>326</v>
      </c>
      <c r="H60" s="22" t="n">
        <v>0</v>
      </c>
    </row>
    <row r="61" customFormat="false" ht="12.75" hidden="false" customHeight="true" outlineLevel="0" collapsed="false">
      <c r="B61" s="6" t="s">
        <v>238</v>
      </c>
      <c r="D61" s="72" t="n">
        <f aca="false">FINCASE!E25</f>
        <v>3</v>
      </c>
    </row>
    <row r="62" customFormat="false" ht="12.75" hidden="false" customHeight="true" outlineLevel="0" collapsed="false">
      <c r="B62" s="6" t="s">
        <v>239</v>
      </c>
      <c r="D62" s="72" t="n">
        <f aca="false">FINCASE!E26</f>
        <v>3</v>
      </c>
    </row>
    <row r="63" customFormat="false" ht="12.75" hidden="false" customHeight="true" outlineLevel="0" collapsed="false"/>
    <row r="64" customFormat="false" ht="12.75" hidden="false" customHeight="true" outlineLevel="0" collapsed="false">
      <c r="B64" s="9" t="s">
        <v>327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customFormat="false" ht="12.75" hidden="false" customHeight="true" outlineLevel="0" collapsed="false">
      <c r="B65" s="4" t="s">
        <v>328</v>
      </c>
      <c r="D65" s="20" t="s">
        <v>81</v>
      </c>
      <c r="E65" s="20" t="s">
        <v>176</v>
      </c>
    </row>
    <row r="66" customFormat="false" ht="12.75" hidden="false" customHeight="true" outlineLevel="0" collapsed="false">
      <c r="B66" s="6" t="s">
        <v>329</v>
      </c>
      <c r="D66" s="27" t="n">
        <f aca="false">D24</f>
        <v>544.81</v>
      </c>
      <c r="E66" s="63" t="n">
        <f aca="false">D66/$D$70</f>
        <v>0.969641807311166</v>
      </c>
    </row>
    <row r="67" customFormat="false" ht="12.75" hidden="false" customHeight="true" outlineLevel="0" collapsed="false">
      <c r="B67" s="6" t="s">
        <v>330</v>
      </c>
      <c r="D67" s="27" t="n">
        <f aca="false">D26</f>
        <v>0</v>
      </c>
      <c r="E67" s="63" t="n">
        <f aca="false">D67/$D$70</f>
        <v>0</v>
      </c>
    </row>
    <row r="68" customFormat="false" ht="12.75" hidden="false" customHeight="true" outlineLevel="0" collapsed="false">
      <c r="B68" s="6" t="s">
        <v>292</v>
      </c>
      <c r="D68" s="27" t="n">
        <f aca="false">D40</f>
        <v>14.982275</v>
      </c>
      <c r="E68" s="63" t="n">
        <f aca="false">D68/$D$70</f>
        <v>0.0266651497010571</v>
      </c>
    </row>
    <row r="69" customFormat="false" ht="12.75" hidden="false" customHeight="true" outlineLevel="0" collapsed="false">
      <c r="B69" s="6" t="s">
        <v>331</v>
      </c>
      <c r="D69" s="27" t="n">
        <f aca="false">L58</f>
        <v>2.075</v>
      </c>
      <c r="E69" s="63" t="n">
        <f aca="false">D69/$D$70</f>
        <v>0.00369304298777679</v>
      </c>
    </row>
    <row r="70" customFormat="false" ht="12.75" hidden="false" customHeight="true" outlineLevel="0" collapsed="false">
      <c r="B70" s="4" t="s">
        <v>332</v>
      </c>
      <c r="D70" s="66" t="n">
        <f aca="false">SUM(D66:D69)</f>
        <v>561.867275</v>
      </c>
      <c r="E70" s="63" t="n">
        <f aca="false">D70/$D$70</f>
        <v>1</v>
      </c>
    </row>
    <row r="71" customFormat="false" ht="12.75" hidden="false" customHeight="true" outlineLevel="0" collapsed="false">
      <c r="B71" s="4" t="s">
        <v>333</v>
      </c>
    </row>
    <row r="72" customFormat="false" ht="12.75" hidden="false" customHeight="true" outlineLevel="0" collapsed="false">
      <c r="B72" s="6" t="s">
        <v>334</v>
      </c>
      <c r="D72" s="27" t="n">
        <f aca="false">D28</f>
        <v>235.469036669028</v>
      </c>
      <c r="E72" s="63" t="n">
        <f aca="false">D72/$D$78</f>
        <v>0.419083023956196</v>
      </c>
    </row>
    <row r="73" customFormat="false" ht="12.75" hidden="false" customHeight="true" outlineLevel="0" collapsed="false">
      <c r="B73" s="6" t="s">
        <v>335</v>
      </c>
      <c r="D73" s="27" t="n">
        <f aca="false">H60</f>
        <v>0</v>
      </c>
      <c r="E73" s="63" t="n">
        <f aca="false">D73/$D$78</f>
        <v>0</v>
      </c>
    </row>
    <row r="74" customFormat="false" ht="12.75" hidden="false" customHeight="true" outlineLevel="0" collapsed="false">
      <c r="B74" s="6" t="s">
        <v>323</v>
      </c>
      <c r="D74" s="27" t="n">
        <f aca="false">H56</f>
        <v>75</v>
      </c>
      <c r="E74" s="63" t="n">
        <f aca="false">D74/$D$78</f>
        <v>0.133483481485908</v>
      </c>
    </row>
    <row r="75" customFormat="false" ht="12.75" hidden="false" customHeight="true" outlineLevel="0" collapsed="false">
      <c r="B75" s="6" t="s">
        <v>324</v>
      </c>
      <c r="D75" s="27" t="n">
        <f aca="false">H57</f>
        <v>0</v>
      </c>
      <c r="E75" s="63" t="n">
        <f aca="false">D75/$D$78</f>
        <v>0</v>
      </c>
    </row>
    <row r="76" customFormat="false" ht="12.75" hidden="false" customHeight="true" outlineLevel="0" collapsed="false">
      <c r="B76" s="6" t="s">
        <v>295</v>
      </c>
      <c r="D76" s="27" t="n">
        <f aca="false">D42</f>
        <v>0</v>
      </c>
      <c r="E76" s="63" t="n">
        <f aca="false">D76/$D$78</f>
        <v>0</v>
      </c>
    </row>
    <row r="77" customFormat="false" ht="12.75" hidden="false" customHeight="true" outlineLevel="0" collapsed="false">
      <c r="B77" s="4" t="s">
        <v>336</v>
      </c>
      <c r="D77" s="66" t="n">
        <f aca="false">D70-SUM(D72:D76)</f>
        <v>251.398238330972</v>
      </c>
      <c r="E77" s="63" t="n">
        <f aca="false">D77/$D$78</f>
        <v>0.447433494557896</v>
      </c>
    </row>
    <row r="78" customFormat="false" ht="12.75" hidden="false" customHeight="true" outlineLevel="0" collapsed="false">
      <c r="B78" s="4" t="s">
        <v>337</v>
      </c>
      <c r="D78" s="66" t="n">
        <f aca="false">SUM(D72:D77)</f>
        <v>561.867275</v>
      </c>
      <c r="E78" s="63" t="n">
        <f aca="false">D78/$D$78</f>
        <v>1</v>
      </c>
    </row>
    <row r="79" customFormat="false" ht="12.75" hidden="false" customHeight="true" outlineLevel="0" collapsed="false">
      <c r="B79" s="75" t="s">
        <v>338</v>
      </c>
      <c r="D79" s="76" t="n">
        <f aca="false">D78-D70</f>
        <v>0</v>
      </c>
    </row>
    <row r="80" customFormat="false" ht="12.75" hidden="false" customHeight="true" outlineLevel="0" collapsed="false">
      <c r="B80" s="4" t="s">
        <v>339</v>
      </c>
      <c r="D80" s="66" t="n">
        <f aca="false">D77+D76</f>
        <v>251.398238330972</v>
      </c>
    </row>
    <row r="81" customFormat="false" ht="12.75" hidden="false" customHeight="true" outlineLevel="0" collapsed="false">
      <c r="B81" s="6" t="s">
        <v>340</v>
      </c>
      <c r="D81" s="63" t="n">
        <f aca="false">D80/(D80+D73+D74+D75)</f>
        <v>0.770219348047005</v>
      </c>
    </row>
    <row r="82" customFormat="false" ht="12.75" hidden="false" customHeight="true" outlineLevel="0" collapsed="false">
      <c r="B82" s="6" t="s">
        <v>341</v>
      </c>
      <c r="D82" s="63" t="n">
        <f aca="false">D80/D78</f>
        <v>0.447433494557896</v>
      </c>
    </row>
    <row r="83" customFormat="false" ht="12.75" hidden="false" customHeight="true" outlineLevel="0" collapsed="false">
      <c r="B83" s="6" t="s">
        <v>342</v>
      </c>
      <c r="D83" s="68" t="n">
        <f aca="false">(D73+D74+D75-D27)/D30</f>
        <v>0.958984979610061</v>
      </c>
    </row>
    <row r="84" customFormat="false" ht="12.75" hidden="false" customHeight="true" outlineLevel="0" collapsed="false">
      <c r="B84" s="6" t="s">
        <v>343</v>
      </c>
      <c r="C84" s="3" t="s">
        <v>344</v>
      </c>
      <c r="D84" s="27" t="n">
        <f aca="false">D69-D72-D73-D74-D75</f>
        <v>-308.394036669028</v>
      </c>
    </row>
    <row r="85" customFormat="false" ht="12.75" hidden="false" customHeight="true" outlineLevel="0" collapsed="false"/>
    <row r="86" customFormat="false" ht="12.75" hidden="false" customHeight="true" outlineLevel="0" collapsed="false">
      <c r="B86" s="9" t="s">
        <v>345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customFormat="false" ht="12.75" hidden="false" customHeight="true" outlineLevel="0" collapsed="false">
      <c r="B87" s="6" t="s">
        <v>273</v>
      </c>
      <c r="D87" s="27" t="n">
        <f aca="false">D24</f>
        <v>544.81</v>
      </c>
    </row>
    <row r="88" customFormat="false" ht="12.75" hidden="false" customHeight="true" outlineLevel="0" collapsed="false">
      <c r="B88" s="6" t="s">
        <v>346</v>
      </c>
      <c r="D88" s="27" t="n">
        <f aca="false">-G103</f>
        <v>-298.508315069028</v>
      </c>
    </row>
    <row r="89" customFormat="false" ht="12.75" hidden="false" customHeight="true" outlineLevel="0" collapsed="false">
      <c r="B89" s="4" t="s">
        <v>347</v>
      </c>
      <c r="D89" s="66" t="n">
        <f aca="false">D87+D88</f>
        <v>246.301684930972</v>
      </c>
    </row>
    <row r="90" customFormat="false" ht="12.75" hidden="false" customHeight="true" outlineLevel="0" collapsed="false"/>
    <row r="91" customFormat="false" ht="12.75" hidden="false" customHeight="true" outlineLevel="0" collapsed="false">
      <c r="B91" s="9" t="s">
        <v>348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customFormat="false" ht="12.75" hidden="false" customHeight="true" outlineLevel="0" collapsed="false">
      <c r="G92" s="20" t="s">
        <v>349</v>
      </c>
      <c r="H92" s="20" t="s">
        <v>350</v>
      </c>
      <c r="I92" s="20" t="s">
        <v>351</v>
      </c>
    </row>
    <row r="93" customFormat="false" ht="12.75" hidden="false" customHeight="true" outlineLevel="0" collapsed="false">
      <c r="B93" s="6" t="s">
        <v>352</v>
      </c>
      <c r="G93" s="27" t="n">
        <f aca="false">H175</f>
        <v>275.469036669028</v>
      </c>
      <c r="H93" s="27" t="n">
        <f aca="false">-D28+D73</f>
        <v>-235.469036669028</v>
      </c>
      <c r="I93" s="27" t="n">
        <f aca="false">G93+H93</f>
        <v>40</v>
      </c>
    </row>
    <row r="94" customFormat="false" ht="12.75" hidden="false" customHeight="true" outlineLevel="0" collapsed="false">
      <c r="B94" s="6" t="s">
        <v>353</v>
      </c>
      <c r="G94" s="27" t="n">
        <f aca="false">H147</f>
        <v>15.1942784</v>
      </c>
      <c r="H94" s="22" t="n">
        <v>0</v>
      </c>
      <c r="I94" s="27" t="n">
        <f aca="false">G94+H94</f>
        <v>15.1942784</v>
      </c>
    </row>
    <row r="95" customFormat="false" ht="12.75" hidden="false" customHeight="true" outlineLevel="0" collapsed="false">
      <c r="B95" s="6" t="s">
        <v>354</v>
      </c>
      <c r="G95" s="27" t="n">
        <f aca="false">H148</f>
        <v>7.84499999999997</v>
      </c>
      <c r="H95" s="22" t="n">
        <v>0</v>
      </c>
      <c r="I95" s="27" t="n">
        <f aca="false">G95+H95</f>
        <v>7.84499999999997</v>
      </c>
    </row>
    <row r="96" customFormat="false" ht="12.75" hidden="false" customHeight="true" outlineLevel="0" collapsed="false">
      <c r="B96" s="6" t="s">
        <v>355</v>
      </c>
      <c r="G96" s="22" t="n">
        <v>0</v>
      </c>
      <c r="H96" s="27" t="n">
        <f aca="false">D89</f>
        <v>246.301684930972</v>
      </c>
      <c r="I96" s="27" t="n">
        <f aca="false">G96+H96</f>
        <v>246.301684930972</v>
      </c>
    </row>
    <row r="97" customFormat="false" ht="12.75" hidden="false" customHeight="true" outlineLevel="0" collapsed="false">
      <c r="B97" s="6" t="s">
        <v>356</v>
      </c>
      <c r="G97" s="22" t="n">
        <v>0</v>
      </c>
      <c r="H97" s="27" t="n">
        <f aca="false">D69</f>
        <v>2.075</v>
      </c>
      <c r="I97" s="27" t="n">
        <f aca="false">G97+H97</f>
        <v>2.075</v>
      </c>
    </row>
    <row r="98" customFormat="false" ht="12.75" hidden="false" customHeight="true" outlineLevel="0" collapsed="false">
      <c r="B98" s="4" t="s">
        <v>357</v>
      </c>
      <c r="G98" s="74" t="n">
        <f aca="false">SUM(G93:G97)</f>
        <v>298.508315069028</v>
      </c>
      <c r="H98" s="74" t="n">
        <f aca="false">SUM(H93:H97)</f>
        <v>12.9076482619447</v>
      </c>
      <c r="I98" s="74" t="n">
        <f aca="false">SUM(I93:I97)</f>
        <v>311.415963330972</v>
      </c>
    </row>
    <row r="99" customFormat="false" ht="12.75" hidden="false" customHeight="true" outlineLevel="0" collapsed="false">
      <c r="B99" s="6" t="s">
        <v>358</v>
      </c>
      <c r="G99" s="22" t="n">
        <v>0</v>
      </c>
      <c r="H99" s="27" t="n">
        <f aca="false">D73</f>
        <v>0</v>
      </c>
      <c r="I99" s="27" t="n">
        <f aca="false">G99+H99</f>
        <v>0</v>
      </c>
    </row>
    <row r="100" customFormat="false" ht="12.75" hidden="false" customHeight="true" outlineLevel="0" collapsed="false">
      <c r="B100" s="6" t="s">
        <v>323</v>
      </c>
      <c r="G100" s="22" t="n">
        <v>0</v>
      </c>
      <c r="H100" s="27" t="n">
        <f aca="false">D74</f>
        <v>75</v>
      </c>
      <c r="I100" s="27" t="n">
        <f aca="false">G100+H100</f>
        <v>75</v>
      </c>
    </row>
    <row r="101" customFormat="false" ht="12.75" hidden="false" customHeight="true" outlineLevel="0" collapsed="false">
      <c r="B101" s="6" t="s">
        <v>324</v>
      </c>
      <c r="G101" s="22" t="n">
        <v>0</v>
      </c>
      <c r="H101" s="27" t="n">
        <f aca="false">D75</f>
        <v>0</v>
      </c>
      <c r="I101" s="27" t="n">
        <f aca="false">G101+H101</f>
        <v>0</v>
      </c>
    </row>
    <row r="102" customFormat="false" ht="12.75" hidden="false" customHeight="true" outlineLevel="0" collapsed="false">
      <c r="B102" s="4" t="s">
        <v>359</v>
      </c>
      <c r="G102" s="74" t="n">
        <f aca="false">SUM(G99:G101)</f>
        <v>0</v>
      </c>
      <c r="H102" s="74" t="n">
        <f aca="false">SUM(H99:H101)</f>
        <v>75</v>
      </c>
      <c r="I102" s="74" t="n">
        <f aca="false">SUM(I99:I101)</f>
        <v>75</v>
      </c>
    </row>
    <row r="103" customFormat="false" ht="12.75" hidden="false" customHeight="true" outlineLevel="0" collapsed="false">
      <c r="B103" s="6" t="s">
        <v>360</v>
      </c>
      <c r="G103" s="27" t="n">
        <f aca="false">G156+H141+H169</f>
        <v>298.508315069028</v>
      </c>
      <c r="H103" s="27" t="n">
        <f aca="false">-G103+D80-D68</f>
        <v>-62.0923517380553</v>
      </c>
      <c r="I103" s="27" t="n">
        <f aca="false">G103+H103</f>
        <v>236.415963330972</v>
      </c>
    </row>
    <row r="104" customFormat="false" ht="12.75" hidden="false" customHeight="true" outlineLevel="0" collapsed="false">
      <c r="B104" s="4" t="s">
        <v>361</v>
      </c>
      <c r="G104" s="74" t="n">
        <f aca="false">G102+G103</f>
        <v>298.508315069028</v>
      </c>
      <c r="H104" s="74" t="n">
        <f aca="false">H102+H103</f>
        <v>12.9076482619447</v>
      </c>
      <c r="I104" s="74" t="n">
        <f aca="false">I102+I103</f>
        <v>311.415963330972</v>
      </c>
    </row>
    <row r="105" customFormat="false" ht="12.75" hidden="false" customHeight="true" outlineLevel="0" collapsed="false">
      <c r="B105" s="75" t="s">
        <v>362</v>
      </c>
      <c r="G105" s="28" t="n">
        <f aca="false">G98-G104</f>
        <v>0</v>
      </c>
      <c r="H105" s="28" t="n">
        <f aca="false">H98-H104</f>
        <v>0</v>
      </c>
      <c r="I105" s="28" t="n">
        <f aca="false">I98-I104</f>
        <v>0</v>
      </c>
    </row>
    <row r="106" customFormat="false" ht="12.75" hidden="false" customHeight="true" outlineLevel="0" collapsed="false"/>
    <row r="107" customFormat="false" ht="12.75" hidden="false" customHeight="true" outlineLevel="0" collapsed="false">
      <c r="B107" s="9" t="s">
        <v>363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customFormat="false" ht="12.75" hidden="false" customHeight="true" outlineLevel="0" collapsed="false">
      <c r="G108" s="20" t="s">
        <v>256</v>
      </c>
      <c r="H108" s="20" t="s">
        <v>168</v>
      </c>
      <c r="I108" s="20" t="s">
        <v>169</v>
      </c>
      <c r="J108" s="20" t="s">
        <v>170</v>
      </c>
      <c r="K108" s="20" t="s">
        <v>171</v>
      </c>
      <c r="L108" s="20" t="s">
        <v>172</v>
      </c>
      <c r="M108" s="20" t="s">
        <v>173</v>
      </c>
    </row>
    <row r="109" customFormat="false" ht="12.75" hidden="false" customHeight="true" outlineLevel="0" collapsed="false">
      <c r="B109" s="6" t="s">
        <v>364</v>
      </c>
      <c r="G109" s="67" t="n">
        <f aca="false">Hist!C22</f>
        <v>37.6096</v>
      </c>
      <c r="H109" s="67" t="n">
        <f aca="false">G109*(1+OPCASE!H11)</f>
        <v>35.72912</v>
      </c>
      <c r="I109" s="67" t="n">
        <f aca="false">H109*(1+OPCASE!I11)</f>
        <v>29.2978784</v>
      </c>
      <c r="J109" s="67" t="n">
        <f aca="false">I109*(1+OPCASE!J11)</f>
        <v>24.90319664</v>
      </c>
      <c r="K109" s="67" t="n">
        <f aca="false">J109*(1+OPCASE!K11)</f>
        <v>22.9109409088</v>
      </c>
      <c r="L109" s="67" t="n">
        <f aca="false">K109*(1+OPCASE!L11)</f>
        <v>21.76539386336</v>
      </c>
      <c r="M109" s="67" t="n">
        <f aca="false">L109*(1+OPCASE!M11)</f>
        <v>21.1124320474592</v>
      </c>
    </row>
    <row r="110" customFormat="false" ht="12.75" hidden="false" customHeight="true" outlineLevel="0" collapsed="false">
      <c r="B110" s="6" t="s">
        <v>365</v>
      </c>
      <c r="G110" s="67" t="n">
        <f aca="false">Hist!C23</f>
        <v>56.4144</v>
      </c>
      <c r="H110" s="67" t="n">
        <f aca="false">G110*(1+OPCASE!H12)</f>
        <v>59.23512</v>
      </c>
      <c r="I110" s="67" t="n">
        <f aca="false">H110*(1+OPCASE!I12)</f>
        <v>61.6045248</v>
      </c>
      <c r="J110" s="67" t="n">
        <f aca="false">I110*(1+OPCASE!J12)</f>
        <v>62.836615296</v>
      </c>
      <c r="K110" s="67" t="n">
        <f aca="false">J110*(1+OPCASE!K12)</f>
        <v>60.95151683712</v>
      </c>
      <c r="L110" s="67" t="n">
        <f aca="false">K110*(1+OPCASE!L12)</f>
        <v>57.903940995264</v>
      </c>
      <c r="M110" s="67" t="n">
        <f aca="false">L110*(1+OPCASE!M12)</f>
        <v>56.1668227654061</v>
      </c>
    </row>
    <row r="111" customFormat="false" ht="12.75" hidden="false" customHeight="true" outlineLevel="0" collapsed="false">
      <c r="B111" s="6" t="s">
        <v>178</v>
      </c>
      <c r="G111" s="22" t="n">
        <v>0</v>
      </c>
      <c r="H111" s="67" t="n">
        <f aca="false">OPCASE!H13</f>
        <v>0</v>
      </c>
      <c r="I111" s="67" t="n">
        <f aca="false">OPCASE!I13</f>
        <v>0</v>
      </c>
      <c r="J111" s="67" t="n">
        <f aca="false">OPCASE!J13</f>
        <v>0</v>
      </c>
      <c r="K111" s="67" t="n">
        <f aca="false">OPCASE!K13</f>
        <v>0</v>
      </c>
      <c r="L111" s="67" t="n">
        <f aca="false">OPCASE!L13</f>
        <v>0</v>
      </c>
      <c r="M111" s="67" t="n">
        <f aca="false">OPCASE!M13</f>
        <v>0</v>
      </c>
    </row>
    <row r="112" customFormat="false" ht="12.75" hidden="false" customHeight="true" outlineLevel="0" collapsed="false">
      <c r="B112" s="6" t="s">
        <v>366</v>
      </c>
      <c r="G112" s="22" t="n">
        <v>0</v>
      </c>
      <c r="H112" s="67" t="n">
        <f aca="false">OPCASE!H14</f>
        <v>0</v>
      </c>
      <c r="I112" s="67" t="n">
        <f aca="false">OPCASE!I14</f>
        <v>0</v>
      </c>
      <c r="J112" s="67" t="n">
        <f aca="false">OPCASE!J14</f>
        <v>0</v>
      </c>
      <c r="K112" s="67" t="n">
        <f aca="false">OPCASE!K14</f>
        <v>0</v>
      </c>
      <c r="L112" s="67" t="n">
        <f aca="false">OPCASE!L14</f>
        <v>0</v>
      </c>
      <c r="M112" s="67" t="n">
        <f aca="false">OPCASE!M14</f>
        <v>0</v>
      </c>
    </row>
    <row r="113" customFormat="false" ht="12.75" hidden="false" customHeight="true" outlineLevel="0" collapsed="false">
      <c r="B113" s="4" t="s">
        <v>367</v>
      </c>
      <c r="G113" s="74" t="n">
        <f aca="false">SUM(G109:G112)</f>
        <v>94.024</v>
      </c>
      <c r="H113" s="74" t="n">
        <f aca="false">SUM(H109:H112)</f>
        <v>94.96424</v>
      </c>
      <c r="I113" s="74" t="n">
        <f aca="false">SUM(I109:I112)</f>
        <v>90.9024032</v>
      </c>
      <c r="J113" s="74" t="n">
        <f aca="false">SUM(J109:J112)</f>
        <v>87.739811936</v>
      </c>
      <c r="K113" s="74" t="n">
        <f aca="false">SUM(K109:K112)</f>
        <v>83.86245774592</v>
      </c>
      <c r="L113" s="74" t="n">
        <f aca="false">SUM(L109:L112)</f>
        <v>79.669334858624</v>
      </c>
      <c r="M113" s="74" t="n">
        <f aca="false">SUM(M109:M112)</f>
        <v>77.2792548128653</v>
      </c>
    </row>
    <row r="114" customFormat="false" ht="12.75" hidden="false" customHeight="true" outlineLevel="0" collapsed="false">
      <c r="B114" s="24" t="s">
        <v>368</v>
      </c>
      <c r="H114" s="25" t="n">
        <f aca="false">H113/G113-1</f>
        <v>0.01</v>
      </c>
      <c r="I114" s="25" t="n">
        <f aca="false">I113/H113-1</f>
        <v>-0.0427722772277227</v>
      </c>
      <c r="J114" s="25" t="n">
        <f aca="false">J113/I113-1</f>
        <v>-0.0347910633016135</v>
      </c>
      <c r="K114" s="25" t="n">
        <f aca="false">K113/J113-1</f>
        <v>-0.0441915033156015</v>
      </c>
      <c r="L114" s="25" t="n">
        <f aca="false">L113/K113-1</f>
        <v>-0.0499999999999999</v>
      </c>
      <c r="M114" s="25" t="n">
        <f aca="false">M113/L113-1</f>
        <v>-0.0300000000000003</v>
      </c>
    </row>
    <row r="115" customFormat="false" ht="12.75" hidden="false" customHeight="true" outlineLevel="0" collapsed="false">
      <c r="B115" s="24" t="s">
        <v>369</v>
      </c>
      <c r="G115" s="25" t="n">
        <f aca="false">G109/G113</f>
        <v>0.4</v>
      </c>
      <c r="H115" s="25" t="n">
        <f aca="false">H109/H113</f>
        <v>0.376237623762376</v>
      </c>
      <c r="I115" s="25" t="n">
        <f aca="false">I109/I113</f>
        <v>0.322300372362433</v>
      </c>
      <c r="J115" s="25" t="n">
        <f aca="false">J109/J113</f>
        <v>0.283830066312031</v>
      </c>
      <c r="K115" s="25" t="n">
        <f aca="false">K109/K113</f>
        <v>0.273196630823936</v>
      </c>
      <c r="L115" s="25" t="n">
        <f aca="false">L109/L113</f>
        <v>0.273196630823936</v>
      </c>
      <c r="M115" s="25" t="n">
        <f aca="false">M109/M113</f>
        <v>0.273196630823936</v>
      </c>
    </row>
    <row r="116" customFormat="false" ht="12.75" hidden="false" customHeight="true" outlineLevel="0" collapsed="false">
      <c r="B116" s="6" t="s">
        <v>370</v>
      </c>
      <c r="G116" s="67" t="n">
        <f aca="false">-Hist!C27</f>
        <v>-7</v>
      </c>
      <c r="H116" s="67" t="n">
        <f aca="false">-H113*OPCASE!H15</f>
        <v>-7.122318</v>
      </c>
      <c r="I116" s="67" t="n">
        <f aca="false">-I113*OPCASE!I15</f>
        <v>-6.81768024</v>
      </c>
      <c r="J116" s="67" t="n">
        <f aca="false">-J113*OPCASE!J15</f>
        <v>-6.5804858952</v>
      </c>
      <c r="K116" s="67" t="n">
        <f aca="false">-K113*OPCASE!K15</f>
        <v>-6.289684330944</v>
      </c>
      <c r="L116" s="67" t="n">
        <f aca="false">-L113*OPCASE!L15</f>
        <v>-5.9752001143968</v>
      </c>
      <c r="M116" s="67" t="n">
        <f aca="false">-M113*OPCASE!M15</f>
        <v>-5.7959441109649</v>
      </c>
    </row>
    <row r="117" customFormat="false" ht="12.75" hidden="false" customHeight="true" outlineLevel="0" collapsed="false">
      <c r="B117" s="4" t="s">
        <v>371</v>
      </c>
      <c r="G117" s="74" t="n">
        <f aca="false">G113+G116</f>
        <v>87.024</v>
      </c>
      <c r="H117" s="74" t="n">
        <f aca="false">H113+H116</f>
        <v>87.841922</v>
      </c>
      <c r="I117" s="74" t="n">
        <f aca="false">I113+I116</f>
        <v>84.08472296</v>
      </c>
      <c r="J117" s="74" t="n">
        <f aca="false">J113+J116</f>
        <v>81.1593260408</v>
      </c>
      <c r="K117" s="74" t="n">
        <f aca="false">K113+K116</f>
        <v>77.572773414976</v>
      </c>
      <c r="L117" s="74" t="n">
        <f aca="false">L113+L116</f>
        <v>73.6941347442272</v>
      </c>
      <c r="M117" s="74" t="n">
        <f aca="false">M113+M116</f>
        <v>71.4833107019004</v>
      </c>
    </row>
    <row r="118" customFormat="false" ht="12.75" hidden="false" customHeight="true" outlineLevel="0" collapsed="false">
      <c r="B118" s="24" t="s">
        <v>372</v>
      </c>
      <c r="G118" s="25" t="n">
        <f aca="false">G117/G113</f>
        <v>0.925550923168553</v>
      </c>
      <c r="H118" s="25" t="n">
        <f aca="false">H117/H113</f>
        <v>0.925</v>
      </c>
      <c r="I118" s="25" t="n">
        <f aca="false">I117/I113</f>
        <v>0.925</v>
      </c>
      <c r="J118" s="25" t="n">
        <f aca="false">J117/J113</f>
        <v>0.925</v>
      </c>
      <c r="K118" s="25" t="n">
        <f aca="false">K117/K113</f>
        <v>0.925</v>
      </c>
      <c r="L118" s="25" t="n">
        <f aca="false">L117/L113</f>
        <v>0.925</v>
      </c>
      <c r="M118" s="25" t="n">
        <f aca="false">M117/M113</f>
        <v>0.925</v>
      </c>
    </row>
    <row r="119" customFormat="false" ht="12.75" hidden="false" customHeight="true" outlineLevel="0" collapsed="false">
      <c r="B119" s="6" t="s">
        <v>373</v>
      </c>
      <c r="G119" s="67" t="n">
        <f aca="false">-Hist!C28</f>
        <v>-11</v>
      </c>
      <c r="H119" s="67" t="n">
        <f aca="false">G119*(1+OPCASE!H16)</f>
        <v>-11.33</v>
      </c>
      <c r="I119" s="67" t="n">
        <f aca="false">H119*(1+OPCASE!I16)</f>
        <v>-11.6699</v>
      </c>
      <c r="J119" s="67" t="n">
        <f aca="false">I119*(1+OPCASE!J16)</f>
        <v>-12.019997</v>
      </c>
      <c r="K119" s="67" t="n">
        <f aca="false">J119*(1+OPCASE!K16)</f>
        <v>-12.38059691</v>
      </c>
      <c r="L119" s="67" t="n">
        <f aca="false">K119*(1+OPCASE!L16)</f>
        <v>-12.7520148173</v>
      </c>
      <c r="M119" s="67" t="n">
        <f aca="false">L119*(1+OPCASE!M16)</f>
        <v>-13.134575261819</v>
      </c>
    </row>
    <row r="120" customFormat="false" ht="12.75" hidden="false" customHeight="true" outlineLevel="0" collapsed="false">
      <c r="B120" s="6" t="s">
        <v>374</v>
      </c>
      <c r="G120" s="22" t="n">
        <v>0</v>
      </c>
      <c r="H120" s="67" t="n">
        <f aca="false">OPCASE!H17</f>
        <v>0</v>
      </c>
      <c r="I120" s="67" t="n">
        <f aca="false">OPCASE!I17</f>
        <v>-1.5</v>
      </c>
      <c r="J120" s="67" t="n">
        <f aca="false">OPCASE!J17</f>
        <v>-1.5</v>
      </c>
      <c r="K120" s="67" t="n">
        <f aca="false">OPCASE!K17</f>
        <v>-1</v>
      </c>
      <c r="L120" s="67" t="n">
        <f aca="false">OPCASE!L17</f>
        <v>-1</v>
      </c>
      <c r="M120" s="67" t="n">
        <f aca="false">OPCASE!M17</f>
        <v>-1</v>
      </c>
    </row>
    <row r="121" customFormat="false" ht="12.75" hidden="false" customHeight="true" outlineLevel="0" collapsed="false">
      <c r="B121" s="6" t="s">
        <v>375</v>
      </c>
      <c r="G121" s="67" t="n">
        <f aca="false">-Hist!C29</f>
        <v>-10.5</v>
      </c>
      <c r="H121" s="67" t="n">
        <f aca="false">G121*(1+OPCASE!H16)</f>
        <v>-10.815</v>
      </c>
      <c r="I121" s="67" t="n">
        <f aca="false">H121*(1+OPCASE!I16)</f>
        <v>-11.13945</v>
      </c>
      <c r="J121" s="67" t="n">
        <f aca="false">I121*(1+OPCASE!J16)</f>
        <v>-11.4736335</v>
      </c>
      <c r="K121" s="67" t="n">
        <f aca="false">J121*(1+OPCASE!K16)</f>
        <v>-11.817842505</v>
      </c>
      <c r="L121" s="67" t="n">
        <f aca="false">K121*(1+OPCASE!L16)</f>
        <v>-12.17237778015</v>
      </c>
      <c r="M121" s="67" t="n">
        <f aca="false">L121*(1+OPCASE!M16)</f>
        <v>-12.5375491135545</v>
      </c>
    </row>
    <row r="122" customFormat="false" ht="12.75" hidden="false" customHeight="true" outlineLevel="0" collapsed="false">
      <c r="B122" s="6" t="s">
        <v>376</v>
      </c>
      <c r="G122" s="22" t="n">
        <v>0</v>
      </c>
      <c r="H122" s="27" t="n">
        <f aca="false">-$D$49</f>
        <v>-2.5</v>
      </c>
      <c r="I122" s="67" t="n">
        <f aca="false">H122*(1+OPCASE!I16)</f>
        <v>-2.575</v>
      </c>
      <c r="J122" s="67" t="n">
        <f aca="false">I122*(1+OPCASE!J16)</f>
        <v>-2.65225</v>
      </c>
      <c r="K122" s="67" t="n">
        <f aca="false">J122*(1+OPCASE!K16)</f>
        <v>-2.7318175</v>
      </c>
      <c r="L122" s="67" t="n">
        <f aca="false">K122*(1+OPCASE!L16)</f>
        <v>-2.813772025</v>
      </c>
      <c r="M122" s="67" t="n">
        <f aca="false">L122*(1+OPCASE!M16)</f>
        <v>-2.89818518575</v>
      </c>
    </row>
    <row r="123" customFormat="false" ht="12.75" hidden="false" customHeight="true" outlineLevel="0" collapsed="false">
      <c r="B123" s="6" t="s">
        <v>377</v>
      </c>
      <c r="G123" s="22" t="n">
        <v>0</v>
      </c>
      <c r="H123" s="67" t="n">
        <f aca="false">-(H121+H122)*OPCASE!H18</f>
        <v>0</v>
      </c>
      <c r="I123" s="67" t="n">
        <f aca="false">-(I121+I122)*OPCASE!I18</f>
        <v>4.8000575</v>
      </c>
      <c r="J123" s="67" t="n">
        <f aca="false">-(J121+J122)*OPCASE!J18</f>
        <v>6.356647575</v>
      </c>
      <c r="K123" s="67" t="n">
        <f aca="false">-(K121+K122)*OPCASE!K18</f>
        <v>6.54734700225</v>
      </c>
      <c r="L123" s="67" t="n">
        <f aca="false">-(L121+L122)*OPCASE!L18</f>
        <v>6.7437674123175</v>
      </c>
      <c r="M123" s="67" t="n">
        <f aca="false">-(M121+M122)*OPCASE!M18</f>
        <v>6.94608043468703</v>
      </c>
    </row>
    <row r="124" customFormat="false" ht="12.75" hidden="false" customHeight="true" outlineLevel="0" collapsed="false">
      <c r="B124" s="6" t="s">
        <v>378</v>
      </c>
      <c r="G124" s="67" t="n">
        <f aca="false">-Hist!C30</f>
        <v>-5</v>
      </c>
      <c r="H124" s="67" t="n">
        <f aca="false">OPCASE!H19</f>
        <v>-5.2</v>
      </c>
      <c r="I124" s="67" t="n">
        <f aca="false">OPCASE!I19</f>
        <v>-1</v>
      </c>
      <c r="J124" s="67" t="n">
        <f aca="false">OPCASE!J19</f>
        <v>-1</v>
      </c>
      <c r="K124" s="67" t="n">
        <f aca="false">OPCASE!K19</f>
        <v>-1</v>
      </c>
      <c r="L124" s="67" t="n">
        <f aca="false">OPCASE!L19</f>
        <v>-1</v>
      </c>
      <c r="M124" s="67" t="n">
        <f aca="false">OPCASE!M19</f>
        <v>-1</v>
      </c>
    </row>
    <row r="125" customFormat="false" ht="12.75" hidden="false" customHeight="true" outlineLevel="0" collapsed="false">
      <c r="B125" s="6" t="s">
        <v>379</v>
      </c>
      <c r="G125" s="67" t="n">
        <f aca="false">-Hist!C31</f>
        <v>-12</v>
      </c>
      <c r="H125" s="67" t="n">
        <f aca="false">OPCASE!H20</f>
        <v>-15</v>
      </c>
      <c r="I125" s="67" t="n">
        <f aca="false">OPCASE!I20</f>
        <v>-2</v>
      </c>
      <c r="J125" s="67" t="n">
        <f aca="false">OPCASE!J20</f>
        <v>0</v>
      </c>
      <c r="K125" s="67" t="n">
        <f aca="false">OPCASE!K20</f>
        <v>0</v>
      </c>
      <c r="L125" s="67" t="n">
        <f aca="false">OPCASE!L20</f>
        <v>0</v>
      </c>
      <c r="M125" s="67" t="n">
        <f aca="false">OPCASE!M20</f>
        <v>0</v>
      </c>
    </row>
    <row r="126" customFormat="false" ht="12.75" hidden="false" customHeight="true" outlineLevel="0" collapsed="false">
      <c r="B126" s="6" t="s">
        <v>380</v>
      </c>
      <c r="G126" s="67" t="n">
        <f aca="false">-Hist!C32</f>
        <v>-6</v>
      </c>
      <c r="H126" s="67" t="n">
        <f aca="false">OPCASE!H21</f>
        <v>-6.5</v>
      </c>
      <c r="I126" s="67" t="n">
        <f aca="false">OPCASE!I21</f>
        <v>-1.5</v>
      </c>
      <c r="J126" s="67" t="n">
        <f aca="false">OPCASE!J21</f>
        <v>-1.5</v>
      </c>
      <c r="K126" s="67" t="n">
        <f aca="false">OPCASE!K21</f>
        <v>-1.5</v>
      </c>
      <c r="L126" s="67" t="n">
        <f aca="false">OPCASE!L21</f>
        <v>-1.5</v>
      </c>
      <c r="M126" s="67" t="n">
        <f aca="false">OPCASE!M21</f>
        <v>-1.5</v>
      </c>
    </row>
    <row r="127" customFormat="false" ht="12.75" hidden="false" customHeight="true" outlineLevel="0" collapsed="false">
      <c r="B127" s="6" t="s">
        <v>381</v>
      </c>
      <c r="G127" s="22" t="n">
        <v>0</v>
      </c>
      <c r="H127" s="67" t="n">
        <f aca="false">OPCASE!H22</f>
        <v>0</v>
      </c>
      <c r="I127" s="67" t="n">
        <f aca="false">OPCASE!I22</f>
        <v>0</v>
      </c>
      <c r="J127" s="67" t="n">
        <f aca="false">OPCASE!J22</f>
        <v>0</v>
      </c>
      <c r="K127" s="67" t="n">
        <f aca="false">OPCASE!K22</f>
        <v>0</v>
      </c>
      <c r="L127" s="67" t="n">
        <f aca="false">OPCASE!L22</f>
        <v>0</v>
      </c>
      <c r="M127" s="67" t="n">
        <f aca="false">OPCASE!M22</f>
        <v>0</v>
      </c>
    </row>
    <row r="128" customFormat="false" ht="12.75" hidden="false" customHeight="true" outlineLevel="0" collapsed="false">
      <c r="B128" s="4" t="s">
        <v>382</v>
      </c>
      <c r="G128" s="74" t="n">
        <f aca="false">SUM(G119:G127)</f>
        <v>-44.5</v>
      </c>
      <c r="H128" s="74" t="n">
        <f aca="false">SUM(H119:H127)</f>
        <v>-51.345</v>
      </c>
      <c r="I128" s="74" t="n">
        <f aca="false">SUM(I119:I127)</f>
        <v>-26.5842925</v>
      </c>
      <c r="J128" s="74" t="n">
        <f aca="false">SUM(J119:J127)</f>
        <v>-23.789232925</v>
      </c>
      <c r="K128" s="74" t="n">
        <f aca="false">SUM(K119:K127)</f>
        <v>-23.88290991275</v>
      </c>
      <c r="L128" s="74" t="n">
        <f aca="false">SUM(L119:L127)</f>
        <v>-24.4943972101325</v>
      </c>
      <c r="M128" s="74" t="n">
        <f aca="false">SUM(M119:M127)</f>
        <v>-25.1242291264365</v>
      </c>
    </row>
    <row r="129" customFormat="false" ht="12.75" hidden="false" customHeight="true" outlineLevel="0" collapsed="false">
      <c r="B129" s="77" t="s">
        <v>383</v>
      </c>
      <c r="G129" s="78" t="n">
        <f aca="false">G117+G128</f>
        <v>42.524</v>
      </c>
      <c r="H129" s="78" t="n">
        <f aca="false">H117+H128</f>
        <v>36.496922</v>
      </c>
      <c r="I129" s="78" t="n">
        <f aca="false">I117+I128</f>
        <v>57.50043046</v>
      </c>
      <c r="J129" s="78" t="n">
        <f aca="false">J117+J128</f>
        <v>57.3700931158</v>
      </c>
      <c r="K129" s="78" t="n">
        <f aca="false">K117+K128</f>
        <v>53.689863502226</v>
      </c>
      <c r="L129" s="78" t="n">
        <f aca="false">L117+L128</f>
        <v>49.1997375340947</v>
      </c>
      <c r="M129" s="78" t="n">
        <f aca="false">M117+M128</f>
        <v>46.3590815754639</v>
      </c>
    </row>
    <row r="130" customFormat="false" ht="12.75" hidden="false" customHeight="true" outlineLevel="0" collapsed="false">
      <c r="B130" s="24" t="s">
        <v>384</v>
      </c>
      <c r="G130" s="25" t="n">
        <f aca="false">G129/G113</f>
        <v>0.452267506168638</v>
      </c>
      <c r="H130" s="25" t="n">
        <f aca="false">H129/H113</f>
        <v>0.384322793506272</v>
      </c>
      <c r="I130" s="25" t="n">
        <f aca="false">I129/I113</f>
        <v>0.632551268567562</v>
      </c>
      <c r="J130" s="25" t="n">
        <f aca="false">J129/J113</f>
        <v>0.653866150951491</v>
      </c>
      <c r="K130" s="25" t="n">
        <f aca="false">K129/K113</f>
        <v>0.640213331988092</v>
      </c>
      <c r="L130" s="25" t="n">
        <f aca="false">L129/L113</f>
        <v>0.617549244278258</v>
      </c>
      <c r="M130" s="25" t="n">
        <f aca="false">M129/M113</f>
        <v>0.599890380513169</v>
      </c>
    </row>
    <row r="131" customFormat="false" ht="12.75" hidden="false" customHeight="true" outlineLevel="0" collapsed="false">
      <c r="B131" s="24" t="s">
        <v>385</v>
      </c>
      <c r="G131" s="79" t="n">
        <f aca="false">G124+G125+G126+G127</f>
        <v>-23</v>
      </c>
      <c r="H131" s="79" t="n">
        <f aca="false">H124+H125+H126+H127</f>
        <v>-26.7</v>
      </c>
      <c r="I131" s="79" t="n">
        <f aca="false">I124+I125+I126+I127</f>
        <v>-4.5</v>
      </c>
      <c r="J131" s="79" t="n">
        <f aca="false">J124+J125+J126+J127</f>
        <v>-2.5</v>
      </c>
      <c r="K131" s="79" t="n">
        <f aca="false">K124+K125+K126+K127</f>
        <v>-2.5</v>
      </c>
      <c r="L131" s="79" t="n">
        <f aca="false">L124+L125+L126+L127</f>
        <v>-2.5</v>
      </c>
      <c r="M131" s="79" t="n">
        <f aca="false">M124+M125+M126+M127</f>
        <v>-2.5</v>
      </c>
    </row>
    <row r="132" customFormat="false" ht="12.75" hidden="false" customHeight="true" outlineLevel="0" collapsed="false">
      <c r="B132" s="6" t="s">
        <v>386</v>
      </c>
      <c r="G132" s="22" t="n">
        <v>0</v>
      </c>
      <c r="H132" s="67" t="n">
        <f aca="false">OPCASE!H23</f>
        <v>-4</v>
      </c>
      <c r="I132" s="67" t="n">
        <f aca="false">OPCASE!I23</f>
        <v>-4</v>
      </c>
      <c r="J132" s="67" t="n">
        <f aca="false">OPCASE!J23</f>
        <v>0</v>
      </c>
      <c r="K132" s="67" t="n">
        <f aca="false">OPCASE!K23</f>
        <v>0</v>
      </c>
      <c r="L132" s="67" t="n">
        <f aca="false">OPCASE!L23</f>
        <v>0</v>
      </c>
      <c r="M132" s="67" t="n">
        <f aca="false">OPCASE!M23</f>
        <v>0</v>
      </c>
    </row>
    <row r="133" customFormat="false" ht="12.75" hidden="false" customHeight="true" outlineLevel="0" collapsed="false">
      <c r="B133" s="4" t="s">
        <v>387</v>
      </c>
      <c r="G133" s="74" t="n">
        <f aca="false">G129+G132</f>
        <v>42.524</v>
      </c>
      <c r="H133" s="74" t="n">
        <f aca="false">H129+H132</f>
        <v>32.496922</v>
      </c>
      <c r="I133" s="74" t="n">
        <f aca="false">I129+I132</f>
        <v>53.50043046</v>
      </c>
      <c r="J133" s="74" t="n">
        <f aca="false">J129+J132</f>
        <v>57.3700931158</v>
      </c>
      <c r="K133" s="74" t="n">
        <f aca="false">K129+K132</f>
        <v>53.689863502226</v>
      </c>
      <c r="L133" s="74" t="n">
        <f aca="false">L129+L132</f>
        <v>49.1997375340947</v>
      </c>
      <c r="M133" s="74" t="n">
        <f aca="false">M129+M132</f>
        <v>46.3590815754639</v>
      </c>
    </row>
    <row r="134" customFormat="false" ht="12.75" hidden="false" customHeight="true" outlineLevel="0" collapsed="false">
      <c r="B134" s="6" t="s">
        <v>388</v>
      </c>
      <c r="G134" s="67" t="n">
        <f aca="false">-Hist!C33</f>
        <v>-2</v>
      </c>
      <c r="H134" s="27" t="n">
        <f aca="false">-$D$48</f>
        <v>-2</v>
      </c>
      <c r="I134" s="27" t="n">
        <f aca="false">-$D$48</f>
        <v>-2</v>
      </c>
      <c r="J134" s="27" t="n">
        <f aca="false">-$D$48</f>
        <v>-2</v>
      </c>
      <c r="K134" s="27" t="n">
        <f aca="false">-$D$48</f>
        <v>-2</v>
      </c>
      <c r="L134" s="27" t="n">
        <f aca="false">-$D$48</f>
        <v>-2</v>
      </c>
      <c r="M134" s="27" t="n">
        <f aca="false">-$D$48</f>
        <v>-2</v>
      </c>
    </row>
    <row r="135" customFormat="false" ht="12.75" hidden="false" customHeight="true" outlineLevel="0" collapsed="false">
      <c r="B135" s="4" t="s">
        <v>389</v>
      </c>
      <c r="G135" s="74" t="n">
        <f aca="false">G133+G134</f>
        <v>40.524</v>
      </c>
      <c r="H135" s="74" t="n">
        <f aca="false">H133+H134</f>
        <v>30.496922</v>
      </c>
      <c r="I135" s="74" t="n">
        <f aca="false">I133+I134</f>
        <v>51.50043046</v>
      </c>
      <c r="J135" s="74" t="n">
        <f aca="false">J133+J134</f>
        <v>55.3700931158</v>
      </c>
      <c r="K135" s="74" t="n">
        <f aca="false">K133+K134</f>
        <v>51.689863502226</v>
      </c>
      <c r="L135" s="74" t="n">
        <f aca="false">L133+L134</f>
        <v>47.1997375340947</v>
      </c>
      <c r="M135" s="74" t="n">
        <f aca="false">M133+M134</f>
        <v>44.3590815754639</v>
      </c>
    </row>
    <row r="136" customFormat="false" ht="12.75" hidden="false" customHeight="true" outlineLevel="0" collapsed="false">
      <c r="B136" s="6" t="s">
        <v>390</v>
      </c>
      <c r="G136" s="67" t="n">
        <f aca="false">Hist!C25</f>
        <v>7.12900000000001</v>
      </c>
      <c r="H136" s="27" t="n">
        <f aca="false">$D$46*IF(CIRC=1,AVERAGE(H174,H175),H174)</f>
        <v>8.5722655958717</v>
      </c>
      <c r="I136" s="27" t="n">
        <f aca="false">$D$46*IF(CIRC=1,AVERAGE(I174,I175),I174)</f>
        <v>1.3</v>
      </c>
      <c r="J136" s="27" t="n">
        <f aca="false">$D$46*IF(CIRC=1,AVERAGE(J174,J175),J174)</f>
        <v>1.3</v>
      </c>
      <c r="K136" s="27" t="n">
        <f aca="false">$D$46*IF(CIRC=1,AVERAGE(K174,K175),K174)</f>
        <v>1.3</v>
      </c>
      <c r="L136" s="27" t="n">
        <f aca="false">$D$46*IF(CIRC=1,AVERAGE(L174,L175),L174)</f>
        <v>1.3</v>
      </c>
      <c r="M136" s="27" t="n">
        <f aca="false">$D$46*IF(CIRC=1,AVERAGE(M174,M175),M174)</f>
        <v>1.3</v>
      </c>
    </row>
    <row r="137" customFormat="false" ht="12.75" hidden="false" customHeight="true" outlineLevel="0" collapsed="false">
      <c r="B137" s="6" t="s">
        <v>391</v>
      </c>
      <c r="G137" s="22" t="n">
        <v>0</v>
      </c>
      <c r="H137" s="22" t="n">
        <v>0</v>
      </c>
      <c r="I137" s="27" t="n">
        <f aca="false">IF(CIRC=1,-I210,0)</f>
        <v>-5.79470978691415</v>
      </c>
      <c r="J137" s="27" t="n">
        <f aca="false">IF(CIRC=1,-J210,0)</f>
        <v>-2.19470978691415</v>
      </c>
      <c r="K137" s="27" t="n">
        <f aca="false">IF(CIRC=1,-K210,0)</f>
        <v>-0.28</v>
      </c>
      <c r="L137" s="27" t="n">
        <f aca="false">IF(CIRC=1,-L210,0)</f>
        <v>-0.28</v>
      </c>
      <c r="M137" s="27" t="n">
        <f aca="false">IF(CIRC=1,-M210,0)</f>
        <v>-0.28</v>
      </c>
    </row>
    <row r="138" customFormat="false" ht="12.75" hidden="false" customHeight="true" outlineLevel="0" collapsed="false">
      <c r="B138" s="6" t="s">
        <v>392</v>
      </c>
      <c r="G138" s="22" t="n">
        <v>0</v>
      </c>
      <c r="H138" s="22" t="n">
        <v>0</v>
      </c>
      <c r="I138" s="27" t="n">
        <f aca="false">IF(CIRC=1,-I215,0)</f>
        <v>-0.415</v>
      </c>
      <c r="J138" s="27" t="n">
        <f aca="false">IF(CIRC=1,-J215,0)</f>
        <v>-0.415</v>
      </c>
      <c r="K138" s="27" t="n">
        <f aca="false">IF(CIRC=1,-K215,0)</f>
        <v>-0.415</v>
      </c>
      <c r="L138" s="27" t="n">
        <f aca="false">IF(CIRC=1,-L215,0)</f>
        <v>-0.415</v>
      </c>
      <c r="M138" s="27" t="n">
        <f aca="false">IF(CIRC=1,-M215,0)</f>
        <v>-0.415</v>
      </c>
    </row>
    <row r="139" customFormat="false" ht="12.75" hidden="false" customHeight="true" outlineLevel="0" collapsed="false">
      <c r="B139" s="4" t="s">
        <v>68</v>
      </c>
      <c r="G139" s="74" t="n">
        <f aca="false">G135+G136+G137+G138</f>
        <v>47.653</v>
      </c>
      <c r="H139" s="74" t="n">
        <f aca="false">H135+H136+H137+H138</f>
        <v>39.0691875958717</v>
      </c>
      <c r="I139" s="74" t="n">
        <f aca="false">I135+I136+I137+I138</f>
        <v>46.5907206730859</v>
      </c>
      <c r="J139" s="74" t="n">
        <f aca="false">J135+J136+J137+J138</f>
        <v>54.0603833288859</v>
      </c>
      <c r="K139" s="74" t="n">
        <f aca="false">K135+K136+K137+K138</f>
        <v>52.294863502226</v>
      </c>
      <c r="L139" s="74" t="n">
        <f aca="false">L135+L136+L137+L138</f>
        <v>47.8047375340947</v>
      </c>
      <c r="M139" s="74" t="n">
        <f aca="false">M135+M136+M137+M138</f>
        <v>44.9640815754639</v>
      </c>
    </row>
    <row r="140" customFormat="false" ht="12.75" hidden="false" customHeight="true" outlineLevel="0" collapsed="false">
      <c r="B140" s="6" t="s">
        <v>393</v>
      </c>
      <c r="G140" s="67" t="n">
        <f aca="false">-Hist!C37</f>
        <v>-13.753</v>
      </c>
      <c r="H140" s="27" t="n">
        <f aca="false">-MAX(0,H139*$D$45)</f>
        <v>-10.9393725268441</v>
      </c>
      <c r="I140" s="27" t="n">
        <f aca="false">-MAX(0,I139*$D$45)</f>
        <v>-13.045401788464</v>
      </c>
      <c r="J140" s="27" t="n">
        <f aca="false">-MAX(0,J139*$D$45)</f>
        <v>-15.136907332088</v>
      </c>
      <c r="K140" s="27" t="n">
        <f aca="false">-MAX(0,K139*$D$45)</f>
        <v>-14.6425617806233</v>
      </c>
      <c r="L140" s="27" t="n">
        <f aca="false">-MAX(0,L139*$D$45)</f>
        <v>-13.3853265095465</v>
      </c>
      <c r="M140" s="27" t="n">
        <f aca="false">-MAX(0,M139*$D$45)</f>
        <v>-12.5899428411299</v>
      </c>
    </row>
    <row r="141" customFormat="false" ht="12.75" hidden="false" customHeight="true" outlineLevel="0" collapsed="false">
      <c r="B141" s="4" t="s">
        <v>394</v>
      </c>
      <c r="G141" s="74" t="n">
        <f aca="false">G139+G140</f>
        <v>33.9</v>
      </c>
      <c r="H141" s="74" t="n">
        <f aca="false">H139+H140</f>
        <v>28.1298150690276</v>
      </c>
      <c r="I141" s="74" t="n">
        <f aca="false">I139+I140</f>
        <v>33.5453188846218</v>
      </c>
      <c r="J141" s="74" t="n">
        <f aca="false">J139+J140</f>
        <v>38.9234759967978</v>
      </c>
      <c r="K141" s="74" t="n">
        <f aca="false">K139+K140</f>
        <v>37.6523017216027</v>
      </c>
      <c r="L141" s="74" t="n">
        <f aca="false">L139+L140</f>
        <v>34.4194110245482</v>
      </c>
      <c r="M141" s="74" t="n">
        <f aca="false">M139+M140</f>
        <v>32.374138734334</v>
      </c>
    </row>
    <row r="142" customFormat="false" ht="12.75" hidden="false" customHeight="true" outlineLevel="0" collapsed="false">
      <c r="B142" s="75" t="s">
        <v>395</v>
      </c>
      <c r="G142" s="80" t="n">
        <f aca="false">G141-Hist!C36</f>
        <v>0</v>
      </c>
    </row>
    <row r="143" customFormat="false" ht="12.75" hidden="false" customHeight="true" outlineLevel="0" collapsed="false"/>
    <row r="144" customFormat="false" ht="12.75" hidden="false" customHeight="true" outlineLevel="0" collapsed="false">
      <c r="B144" s="9" t="s">
        <v>396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customFormat="false" ht="12.75" hidden="false" customHeight="true" outlineLevel="0" collapsed="false">
      <c r="G145" s="20" t="s">
        <v>256</v>
      </c>
      <c r="H145" s="20" t="s">
        <v>397</v>
      </c>
      <c r="I145" s="20" t="s">
        <v>169</v>
      </c>
      <c r="J145" s="20" t="s">
        <v>170</v>
      </c>
      <c r="K145" s="20" t="s">
        <v>171</v>
      </c>
      <c r="L145" s="20" t="s">
        <v>172</v>
      </c>
      <c r="M145" s="20" t="s">
        <v>173</v>
      </c>
    </row>
    <row r="146" customFormat="false" ht="12.75" hidden="false" customHeight="true" outlineLevel="0" collapsed="false">
      <c r="B146" s="6" t="s">
        <v>352</v>
      </c>
      <c r="G146" s="67" t="n">
        <f aca="false">Hist!C38</f>
        <v>252.055</v>
      </c>
      <c r="H146" s="27" t="n">
        <f aca="false">I93</f>
        <v>40</v>
      </c>
      <c r="I146" s="27" t="n">
        <f aca="false">I175</f>
        <v>40</v>
      </c>
      <c r="J146" s="27" t="n">
        <f aca="false">J175</f>
        <v>40</v>
      </c>
      <c r="K146" s="27" t="n">
        <f aca="false">K175</f>
        <v>40</v>
      </c>
      <c r="L146" s="27" t="n">
        <f aca="false">L175</f>
        <v>40</v>
      </c>
      <c r="M146" s="27" t="n">
        <f aca="false">M175</f>
        <v>39.9999999999987</v>
      </c>
    </row>
    <row r="147" customFormat="false" ht="12.75" hidden="false" customHeight="true" outlineLevel="0" collapsed="false">
      <c r="B147" s="6" t="s">
        <v>353</v>
      </c>
      <c r="G147" s="67" t="n">
        <f aca="false">Hist!C40</f>
        <v>15</v>
      </c>
      <c r="H147" s="67" t="n">
        <f aca="false">H113*OPCASE!H25</f>
        <v>15.1942784</v>
      </c>
      <c r="I147" s="67" t="n">
        <f aca="false">I113*OPCASE!I25</f>
        <v>14.544384512</v>
      </c>
      <c r="J147" s="67" t="n">
        <f aca="false">J113*OPCASE!J25</f>
        <v>14.03836990976</v>
      </c>
      <c r="K147" s="67" t="n">
        <f aca="false">K113*OPCASE!K25</f>
        <v>13.4179932393472</v>
      </c>
      <c r="L147" s="67" t="n">
        <f aca="false">L113*OPCASE!L25</f>
        <v>12.7470935773798</v>
      </c>
      <c r="M147" s="67" t="n">
        <f aca="false">M113*OPCASE!M25</f>
        <v>12.3646807700584</v>
      </c>
    </row>
    <row r="148" customFormat="false" ht="12.75" hidden="false" customHeight="true" outlineLevel="0" collapsed="false">
      <c r="B148" s="6" t="s">
        <v>398</v>
      </c>
      <c r="G148" s="67" t="n">
        <f aca="false">Hist!C39-G146-G147</f>
        <v>5.84499999999997</v>
      </c>
      <c r="H148" s="27" t="n">
        <f aca="false">G148-H167+H134</f>
        <v>7.84499999999997</v>
      </c>
      <c r="I148" s="27" t="n">
        <f aca="false">H148-I167+I134</f>
        <v>7.34499999999997</v>
      </c>
      <c r="J148" s="27" t="n">
        <f aca="false">I148-J167+J134</f>
        <v>6.84499999999997</v>
      </c>
      <c r="K148" s="27" t="n">
        <f aca="false">J148-K167+K134</f>
        <v>6.34499999999997</v>
      </c>
      <c r="L148" s="27" t="n">
        <f aca="false">K148-L167+L134</f>
        <v>5.84499999999997</v>
      </c>
      <c r="M148" s="27" t="n">
        <f aca="false">L148-M167+M134</f>
        <v>5.34499999999997</v>
      </c>
    </row>
    <row r="149" customFormat="false" ht="12.75" hidden="false" customHeight="true" outlineLevel="0" collapsed="false">
      <c r="B149" s="6" t="s">
        <v>399</v>
      </c>
      <c r="G149" s="22" t="n">
        <v>0</v>
      </c>
      <c r="H149" s="27" t="n">
        <f aca="false">I96</f>
        <v>246.301684930972</v>
      </c>
      <c r="I149" s="27" t="n">
        <f aca="false">H149</f>
        <v>246.301684930972</v>
      </c>
      <c r="J149" s="27" t="n">
        <f aca="false">I149</f>
        <v>246.301684930972</v>
      </c>
      <c r="K149" s="27" t="n">
        <f aca="false">J149</f>
        <v>246.301684930972</v>
      </c>
      <c r="L149" s="27" t="n">
        <f aca="false">K149</f>
        <v>246.301684930972</v>
      </c>
      <c r="M149" s="27" t="n">
        <f aca="false">L149</f>
        <v>246.301684930972</v>
      </c>
    </row>
    <row r="150" customFormat="false" ht="12.75" hidden="false" customHeight="true" outlineLevel="0" collapsed="false">
      <c r="B150" s="6" t="s">
        <v>356</v>
      </c>
      <c r="G150" s="22" t="n">
        <v>0</v>
      </c>
      <c r="H150" s="27" t="n">
        <f aca="false">I97</f>
        <v>2.075</v>
      </c>
      <c r="I150" s="27" t="n">
        <f aca="false">H150-I214</f>
        <v>1.66</v>
      </c>
      <c r="J150" s="27" t="n">
        <f aca="false">I150-J214</f>
        <v>1.245</v>
      </c>
      <c r="K150" s="27" t="n">
        <f aca="false">J150-K214</f>
        <v>0.83</v>
      </c>
      <c r="L150" s="27" t="n">
        <f aca="false">K150-L214</f>
        <v>0.415</v>
      </c>
      <c r="M150" s="27" t="n">
        <f aca="false">L150-M214</f>
        <v>0</v>
      </c>
    </row>
    <row r="151" customFormat="false" ht="12.75" hidden="false" customHeight="true" outlineLevel="0" collapsed="false">
      <c r="B151" s="4" t="s">
        <v>357</v>
      </c>
      <c r="G151" s="74" t="n">
        <f aca="false">SUM(G146:G150)</f>
        <v>272.9</v>
      </c>
      <c r="H151" s="74" t="n">
        <f aca="false">SUM(H146:H150)</f>
        <v>311.415963330972</v>
      </c>
      <c r="I151" s="74" t="n">
        <f aca="false">SUM(I146:I150)</f>
        <v>309.851069442972</v>
      </c>
      <c r="J151" s="74" t="n">
        <f aca="false">SUM(J146:J150)</f>
        <v>308.430054840732</v>
      </c>
      <c r="K151" s="74" t="n">
        <f aca="false">SUM(K146:K150)</f>
        <v>306.89467817032</v>
      </c>
      <c r="L151" s="74" t="n">
        <f aca="false">SUM(L146:L150)</f>
        <v>305.308778508352</v>
      </c>
      <c r="M151" s="74" t="n">
        <f aca="false">SUM(M146:M150)</f>
        <v>304.011365701029</v>
      </c>
    </row>
    <row r="152" customFormat="false" ht="12.75" hidden="false" customHeight="true" outlineLevel="0" collapsed="false">
      <c r="B152" s="6" t="s">
        <v>358</v>
      </c>
      <c r="G152" s="22" t="n">
        <v>0</v>
      </c>
      <c r="H152" s="27" t="n">
        <f aca="false">I99</f>
        <v>0</v>
      </c>
      <c r="I152" s="27" t="n">
        <f aca="false">I187</f>
        <v>0</v>
      </c>
      <c r="J152" s="27" t="n">
        <f aca="false">J187</f>
        <v>0</v>
      </c>
      <c r="K152" s="27" t="n">
        <f aca="false">K187</f>
        <v>0</v>
      </c>
      <c r="L152" s="27" t="n">
        <f aca="false">L187</f>
        <v>0</v>
      </c>
      <c r="M152" s="27" t="n">
        <f aca="false">M187</f>
        <v>0</v>
      </c>
    </row>
    <row r="153" customFormat="false" ht="12.75" hidden="false" customHeight="true" outlineLevel="0" collapsed="false">
      <c r="B153" s="6" t="s">
        <v>323</v>
      </c>
      <c r="G153" s="22" t="n">
        <v>0</v>
      </c>
      <c r="H153" s="27" t="n">
        <f aca="false">I100</f>
        <v>75</v>
      </c>
      <c r="I153" s="27" t="n">
        <f aca="false">I191</f>
        <v>39.8897872273782</v>
      </c>
      <c r="J153" s="27" t="n">
        <f aca="false">J191</f>
        <v>0</v>
      </c>
      <c r="K153" s="27" t="n">
        <f aca="false">K191</f>
        <v>0</v>
      </c>
      <c r="L153" s="27" t="n">
        <f aca="false">L191</f>
        <v>0</v>
      </c>
      <c r="M153" s="27" t="n">
        <f aca="false">M191</f>
        <v>0</v>
      </c>
    </row>
    <row r="154" customFormat="false" ht="12.75" hidden="false" customHeight="true" outlineLevel="0" collapsed="false">
      <c r="B154" s="6" t="s">
        <v>324</v>
      </c>
      <c r="G154" s="22" t="n">
        <v>0</v>
      </c>
      <c r="H154" s="27" t="n">
        <f aca="false">I101</f>
        <v>0</v>
      </c>
      <c r="I154" s="27" t="n">
        <f aca="false">I196</f>
        <v>0</v>
      </c>
      <c r="J154" s="27" t="n">
        <f aca="false">J196</f>
        <v>0</v>
      </c>
      <c r="K154" s="27" t="n">
        <f aca="false">K196</f>
        <v>0</v>
      </c>
      <c r="L154" s="27" t="n">
        <f aca="false">L196</f>
        <v>0</v>
      </c>
      <c r="M154" s="27" t="n">
        <f aca="false">M196</f>
        <v>0</v>
      </c>
    </row>
    <row r="155" customFormat="false" ht="12.75" hidden="false" customHeight="true" outlineLevel="0" collapsed="false">
      <c r="B155" s="4" t="s">
        <v>359</v>
      </c>
      <c r="G155" s="74" t="n">
        <f aca="false">SUM(G152:G154)</f>
        <v>0</v>
      </c>
      <c r="H155" s="74" t="n">
        <f aca="false">SUM(H152:H154)</f>
        <v>75</v>
      </c>
      <c r="I155" s="74" t="n">
        <f aca="false">SUM(I152:I154)</f>
        <v>39.8897872273782</v>
      </c>
      <c r="J155" s="74" t="n">
        <f aca="false">SUM(J152:J154)</f>
        <v>0</v>
      </c>
      <c r="K155" s="74" t="n">
        <f aca="false">SUM(K152:K154)</f>
        <v>0</v>
      </c>
      <c r="L155" s="74" t="n">
        <f aca="false">SUM(L152:L154)</f>
        <v>0</v>
      </c>
      <c r="M155" s="74" t="n">
        <f aca="false">SUM(M152:M154)</f>
        <v>0</v>
      </c>
    </row>
    <row r="156" customFormat="false" ht="12.75" hidden="false" customHeight="true" outlineLevel="0" collapsed="false">
      <c r="B156" s="6" t="s">
        <v>360</v>
      </c>
      <c r="G156" s="67" t="n">
        <f aca="false">Hist!C39</f>
        <v>272.9</v>
      </c>
      <c r="H156" s="27" t="n">
        <f aca="false">I103</f>
        <v>236.415963330972</v>
      </c>
      <c r="I156" s="27" t="n">
        <f aca="false">H156+I141+I172</f>
        <v>269.961282215594</v>
      </c>
      <c r="J156" s="27" t="n">
        <f aca="false">I156+J141+J172</f>
        <v>308.430054840732</v>
      </c>
      <c r="K156" s="27" t="n">
        <f aca="false">J156+K141+K172</f>
        <v>306.89467817032</v>
      </c>
      <c r="L156" s="27" t="n">
        <f aca="false">K156+L141+L172</f>
        <v>305.308778508352</v>
      </c>
      <c r="M156" s="27" t="n">
        <f aca="false">L156+M141+M172</f>
        <v>304.011365701031</v>
      </c>
    </row>
    <row r="157" customFormat="false" ht="12.75" hidden="false" customHeight="true" outlineLevel="0" collapsed="false">
      <c r="B157" s="4" t="s">
        <v>361</v>
      </c>
      <c r="G157" s="74" t="n">
        <f aca="false">G155+G156</f>
        <v>272.9</v>
      </c>
      <c r="H157" s="74" t="n">
        <f aca="false">H155+H156</f>
        <v>311.415963330972</v>
      </c>
      <c r="I157" s="74" t="n">
        <f aca="false">I155+I156</f>
        <v>309.851069442972</v>
      </c>
      <c r="J157" s="74" t="n">
        <f aca="false">J155+J156</f>
        <v>308.430054840732</v>
      </c>
      <c r="K157" s="74" t="n">
        <f aca="false">K155+K156</f>
        <v>306.89467817032</v>
      </c>
      <c r="L157" s="74" t="n">
        <f aca="false">L155+L156</f>
        <v>305.308778508352</v>
      </c>
      <c r="M157" s="74" t="n">
        <f aca="false">M155+M156</f>
        <v>304.011365701031</v>
      </c>
    </row>
    <row r="158" customFormat="false" ht="12.75" hidden="false" customHeight="true" outlineLevel="0" collapsed="false">
      <c r="B158" s="75" t="s">
        <v>362</v>
      </c>
      <c r="G158" s="28" t="n">
        <f aca="false">ROUND(G151-G157,4)</f>
        <v>0</v>
      </c>
      <c r="H158" s="28" t="n">
        <f aca="false">ROUND(H151-H157,4)</f>
        <v>0</v>
      </c>
      <c r="I158" s="28" t="n">
        <f aca="false">ROUND(I151-I157,4)</f>
        <v>0</v>
      </c>
      <c r="J158" s="28" t="n">
        <f aca="false">ROUND(J151-J157,4)</f>
        <v>0</v>
      </c>
      <c r="K158" s="28" t="n">
        <f aca="false">ROUND(K151-K157,4)</f>
        <v>0</v>
      </c>
      <c r="L158" s="28" t="n">
        <f aca="false">ROUND(L151-L157,4)</f>
        <v>0</v>
      </c>
      <c r="M158" s="28" t="n">
        <f aca="false">ROUND(M151-M157,4)</f>
        <v>-0</v>
      </c>
    </row>
    <row r="159" customFormat="false" ht="12.75" hidden="false" customHeight="true" outlineLevel="0" collapsed="false"/>
    <row r="160" customFormat="false" ht="12.75" hidden="false" customHeight="true" outlineLevel="0" collapsed="false">
      <c r="B160" s="9" t="s">
        <v>400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customFormat="false" ht="12.75" hidden="false" customHeight="true" outlineLevel="0" collapsed="false">
      <c r="H161" s="20" t="s">
        <v>168</v>
      </c>
      <c r="I161" s="20" t="s">
        <v>169</v>
      </c>
      <c r="J161" s="20" t="s">
        <v>170</v>
      </c>
      <c r="K161" s="20" t="s">
        <v>171</v>
      </c>
      <c r="L161" s="20" t="s">
        <v>172</v>
      </c>
      <c r="M161" s="20" t="s">
        <v>173</v>
      </c>
    </row>
    <row r="162" customFormat="false" ht="12.75" hidden="false" customHeight="true" outlineLevel="0" collapsed="false">
      <c r="B162" s="6" t="s">
        <v>394</v>
      </c>
      <c r="H162" s="27" t="n">
        <f aca="false">H141</f>
        <v>28.1298150690276</v>
      </c>
      <c r="I162" s="27" t="n">
        <f aca="false">I141</f>
        <v>33.5453188846218</v>
      </c>
      <c r="J162" s="27" t="n">
        <f aca="false">J141</f>
        <v>38.9234759967978</v>
      </c>
      <c r="K162" s="27" t="n">
        <f aca="false">K141</f>
        <v>37.6523017216027</v>
      </c>
      <c r="L162" s="27" t="n">
        <f aca="false">L141</f>
        <v>34.4194110245482</v>
      </c>
      <c r="M162" s="27" t="n">
        <f aca="false">M141</f>
        <v>32.374138734334</v>
      </c>
    </row>
    <row r="163" customFormat="false" ht="12.75" hidden="false" customHeight="true" outlineLevel="0" collapsed="false">
      <c r="B163" s="6" t="s">
        <v>401</v>
      </c>
      <c r="H163" s="27" t="n">
        <f aca="false">-H134</f>
        <v>2</v>
      </c>
      <c r="I163" s="27" t="n">
        <f aca="false">-I134</f>
        <v>2</v>
      </c>
      <c r="J163" s="27" t="n">
        <f aca="false">-J134</f>
        <v>2</v>
      </c>
      <c r="K163" s="27" t="n">
        <f aca="false">-K134</f>
        <v>2</v>
      </c>
      <c r="L163" s="27" t="n">
        <f aca="false">-L134</f>
        <v>2</v>
      </c>
      <c r="M163" s="27" t="n">
        <f aca="false">-M134</f>
        <v>2</v>
      </c>
    </row>
    <row r="164" customFormat="false" ht="12.75" hidden="false" customHeight="true" outlineLevel="0" collapsed="false">
      <c r="B164" s="6" t="s">
        <v>402</v>
      </c>
      <c r="H164" s="27" t="n">
        <f aca="false">-H138</f>
        <v>-0</v>
      </c>
      <c r="I164" s="27" t="n">
        <f aca="false">-I138</f>
        <v>0.415</v>
      </c>
      <c r="J164" s="27" t="n">
        <f aca="false">-J138</f>
        <v>0.415</v>
      </c>
      <c r="K164" s="27" t="n">
        <f aca="false">-K138</f>
        <v>0.415</v>
      </c>
      <c r="L164" s="27" t="n">
        <f aca="false">-L138</f>
        <v>0.415</v>
      </c>
      <c r="M164" s="27" t="n">
        <f aca="false">-M138</f>
        <v>0.415</v>
      </c>
    </row>
    <row r="165" customFormat="false" ht="12.75" hidden="false" customHeight="true" outlineLevel="0" collapsed="false">
      <c r="B165" s="6" t="s">
        <v>403</v>
      </c>
      <c r="H165" s="27" t="n">
        <f aca="false">-(H147-G147)</f>
        <v>-0.194278400000002</v>
      </c>
      <c r="I165" s="27" t="n">
        <f aca="false">-(I147-H147)</f>
        <v>0.649893887999999</v>
      </c>
      <c r="J165" s="27" t="n">
        <f aca="false">-(J147-I147)</f>
        <v>0.506014602240001</v>
      </c>
      <c r="K165" s="27" t="n">
        <f aca="false">-(K147-J147)</f>
        <v>0.620376670412799</v>
      </c>
      <c r="L165" s="27" t="n">
        <f aca="false">-(L147-K147)</f>
        <v>0.67089966196736</v>
      </c>
      <c r="M165" s="27" t="n">
        <f aca="false">-(M147-L147)</f>
        <v>0.3824128073214</v>
      </c>
    </row>
    <row r="166" customFormat="false" ht="12.75" hidden="false" customHeight="true" outlineLevel="0" collapsed="false">
      <c r="B166" s="4" t="s">
        <v>404</v>
      </c>
      <c r="H166" s="74" t="n">
        <f aca="false">SUM(H162:H165)</f>
        <v>29.9355366690276</v>
      </c>
      <c r="I166" s="74" t="n">
        <f aca="false">SUM(I162:I165)</f>
        <v>36.6102127726218</v>
      </c>
      <c r="J166" s="74" t="n">
        <f aca="false">SUM(J162:J165)</f>
        <v>41.8444905990378</v>
      </c>
      <c r="K166" s="74" t="n">
        <f aca="false">SUM(K162:K165)</f>
        <v>40.6876783920155</v>
      </c>
      <c r="L166" s="74" t="n">
        <f aca="false">SUM(L162:L165)</f>
        <v>37.5053106865155</v>
      </c>
      <c r="M166" s="74" t="n">
        <f aca="false">SUM(M162:M165)</f>
        <v>35.1715515416554</v>
      </c>
    </row>
    <row r="167" customFormat="false" ht="12.75" hidden="false" customHeight="true" outlineLevel="0" collapsed="false">
      <c r="B167" s="6" t="s">
        <v>189</v>
      </c>
      <c r="H167" s="67" t="n">
        <f aca="false">OPCASE!H24</f>
        <v>-4</v>
      </c>
      <c r="I167" s="67" t="n">
        <f aca="false">OPCASE!I24</f>
        <v>-1.5</v>
      </c>
      <c r="J167" s="67" t="n">
        <f aca="false">OPCASE!J24</f>
        <v>-1.5</v>
      </c>
      <c r="K167" s="67" t="n">
        <f aca="false">OPCASE!K24</f>
        <v>-1.5</v>
      </c>
      <c r="L167" s="67" t="n">
        <f aca="false">OPCASE!L24</f>
        <v>-1.5</v>
      </c>
      <c r="M167" s="67" t="n">
        <f aca="false">OPCASE!M24</f>
        <v>-1.5</v>
      </c>
    </row>
    <row r="168" customFormat="false" ht="12.75" hidden="false" customHeight="true" outlineLevel="0" collapsed="false">
      <c r="B168" s="4" t="s">
        <v>405</v>
      </c>
      <c r="H168" s="74" t="n">
        <f aca="false">H166+H167</f>
        <v>25.9355366690276</v>
      </c>
      <c r="I168" s="74" t="n">
        <f aca="false">I166+I167</f>
        <v>35.1102127726218</v>
      </c>
      <c r="J168" s="74" t="n">
        <f aca="false">J166+J167</f>
        <v>40.3444905990378</v>
      </c>
      <c r="K168" s="74" t="n">
        <f aca="false">K166+K167</f>
        <v>39.1876783920155</v>
      </c>
      <c r="L168" s="74" t="n">
        <f aca="false">L166+L167</f>
        <v>36.0053106865155</v>
      </c>
      <c r="M168" s="74" t="n">
        <f aca="false">M166+M167</f>
        <v>33.6715515416554</v>
      </c>
    </row>
    <row r="169" customFormat="false" ht="12.75" hidden="false" customHeight="true" outlineLevel="0" collapsed="false">
      <c r="B169" s="6" t="s">
        <v>406</v>
      </c>
      <c r="H169" s="27" t="n">
        <f aca="false">-$D$47*$D$21</f>
        <v>-2.5215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</row>
    <row r="170" customFormat="false" ht="12.75" hidden="false" customHeight="true" outlineLevel="0" collapsed="false">
      <c r="B170" s="6" t="s">
        <v>407</v>
      </c>
      <c r="H170" s="22" t="n">
        <v>0</v>
      </c>
      <c r="I170" s="27" t="n">
        <f aca="false">I182</f>
        <v>-3.75</v>
      </c>
      <c r="J170" s="27" t="n">
        <f aca="false">J182</f>
        <v>-3.75</v>
      </c>
      <c r="K170" s="27" t="n">
        <f aca="false">K182</f>
        <v>0</v>
      </c>
      <c r="L170" s="27" t="n">
        <f aca="false">L182</f>
        <v>0</v>
      </c>
      <c r="M170" s="27" t="n">
        <f aca="false">M182</f>
        <v>0</v>
      </c>
    </row>
    <row r="171" customFormat="false" ht="12.75" hidden="false" customHeight="true" outlineLevel="0" collapsed="false">
      <c r="B171" s="6" t="s">
        <v>408</v>
      </c>
      <c r="H171" s="22" t="n">
        <v>0</v>
      </c>
      <c r="I171" s="27" t="n">
        <f aca="false">I197</f>
        <v>-31.3602127726218</v>
      </c>
      <c r="J171" s="27" t="n">
        <f aca="false">J197</f>
        <v>-36.1397872273782</v>
      </c>
      <c r="K171" s="27" t="n">
        <f aca="false">K197</f>
        <v>-0</v>
      </c>
      <c r="L171" s="27" t="n">
        <f aca="false">L197</f>
        <v>-0</v>
      </c>
      <c r="M171" s="27" t="n">
        <f aca="false">M197</f>
        <v>-0</v>
      </c>
    </row>
    <row r="172" customFormat="false" ht="12.75" hidden="false" customHeight="true" outlineLevel="0" collapsed="false">
      <c r="B172" s="6" t="s">
        <v>409</v>
      </c>
      <c r="H172" s="22" t="n">
        <v>0</v>
      </c>
      <c r="I172" s="27" t="n">
        <f aca="false">-MAX(0,I174+I168+I169+I170+I171-MIN_CASH)*$D$50</f>
        <v>-0</v>
      </c>
      <c r="J172" s="27" t="n">
        <f aca="false">-MAX(0,J174+J168+J169+J170+J171-MIN_CASH)*$D$50</f>
        <v>-0.454703371659619</v>
      </c>
      <c r="K172" s="27" t="n">
        <f aca="false">-MAX(0,K174+K168+K169+K170+K171-MIN_CASH)*$D$50</f>
        <v>-39.1876783920155</v>
      </c>
      <c r="L172" s="27" t="n">
        <f aca="false">-MAX(0,L174+L168+L169+L170+L171-MIN_CASH)*$D$50</f>
        <v>-36.0053106865155</v>
      </c>
      <c r="M172" s="27" t="n">
        <f aca="false">-MAX(0,M174+M168+M169+M170+M171-MIN_CASH)*$D$50</f>
        <v>-33.6715515416554</v>
      </c>
    </row>
    <row r="173" customFormat="false" ht="12.75" hidden="false" customHeight="true" outlineLevel="0" collapsed="false">
      <c r="B173" s="4" t="s">
        <v>410</v>
      </c>
      <c r="H173" s="74" t="n">
        <f aca="false">H168+H169+H170+H171+H172</f>
        <v>23.4140366690276</v>
      </c>
      <c r="I173" s="74" t="n">
        <f aca="false">I168+I169+I170+I171+I172</f>
        <v>0</v>
      </c>
      <c r="J173" s="74" t="n">
        <f aca="false">J168+J169+J170+J171+J172</f>
        <v>0</v>
      </c>
      <c r="K173" s="74" t="n">
        <f aca="false">K168+K169+K170+K171+K172</f>
        <v>0</v>
      </c>
      <c r="L173" s="74" t="n">
        <f aca="false">L168+L169+L170+L171+L172</f>
        <v>0</v>
      </c>
      <c r="M173" s="74" t="n">
        <f aca="false">M168+M169+M170+M171+M172</f>
        <v>0</v>
      </c>
    </row>
    <row r="174" customFormat="false" ht="12.75" hidden="false" customHeight="true" outlineLevel="0" collapsed="false">
      <c r="B174" s="6" t="s">
        <v>411</v>
      </c>
      <c r="H174" s="27" t="n">
        <f aca="false">G146</f>
        <v>252.055</v>
      </c>
      <c r="I174" s="27" t="n">
        <f aca="false">H146</f>
        <v>40</v>
      </c>
      <c r="J174" s="27" t="n">
        <f aca="false">I146</f>
        <v>40</v>
      </c>
      <c r="K174" s="27" t="n">
        <f aca="false">J146</f>
        <v>40</v>
      </c>
      <c r="L174" s="27" t="n">
        <f aca="false">K146</f>
        <v>40</v>
      </c>
      <c r="M174" s="27" t="n">
        <f aca="false">L146</f>
        <v>40</v>
      </c>
    </row>
    <row r="175" customFormat="false" ht="12.75" hidden="false" customHeight="true" outlineLevel="0" collapsed="false">
      <c r="B175" s="4" t="s">
        <v>412</v>
      </c>
      <c r="H175" s="66" t="n">
        <f aca="false">H174+H173</f>
        <v>275.469036669028</v>
      </c>
      <c r="I175" s="66" t="n">
        <f aca="false">I174+I173</f>
        <v>40</v>
      </c>
      <c r="J175" s="66" t="n">
        <f aca="false">J174+J173</f>
        <v>40</v>
      </c>
      <c r="K175" s="66" t="n">
        <f aca="false">K174+K173</f>
        <v>40</v>
      </c>
      <c r="L175" s="66" t="n">
        <f aca="false">L174+L173</f>
        <v>40</v>
      </c>
      <c r="M175" s="66" t="n">
        <f aca="false">M174+M173</f>
        <v>40</v>
      </c>
    </row>
    <row r="176" customFormat="false" ht="12.75" hidden="false" customHeight="true" outlineLevel="0" collapsed="false">
      <c r="B176" s="24" t="s">
        <v>413</v>
      </c>
      <c r="I176" s="79" t="n">
        <f aca="false">I174+I168+I169-MIN_CASH</f>
        <v>35.1102127726218</v>
      </c>
      <c r="J176" s="79" t="n">
        <f aca="false">J174+J168+J169-MIN_CASH</f>
        <v>40.3444905990378</v>
      </c>
      <c r="K176" s="79" t="n">
        <f aca="false">K174+K168+K169-MIN_CASH</f>
        <v>39.1876783920155</v>
      </c>
      <c r="L176" s="79" t="n">
        <f aca="false">L174+L168+L169-MIN_CASH</f>
        <v>36.0053106865155</v>
      </c>
      <c r="M176" s="79" t="n">
        <f aca="false">M174+M168+M169-MIN_CASH</f>
        <v>33.6715515416554</v>
      </c>
    </row>
    <row r="177" customFormat="false" ht="12.75" hidden="false" customHeight="true" outlineLevel="0" collapsed="false">
      <c r="B177" s="24" t="s">
        <v>414</v>
      </c>
      <c r="H177" s="79" t="n">
        <f aca="false">H133+H165+H167-MAX(0,H135)*$D$45</f>
        <v>19.76350544</v>
      </c>
      <c r="I177" s="79" t="n">
        <f aca="false">I133+I165+I167-MAX(0,I135)*$D$45</f>
        <v>38.2302038192</v>
      </c>
      <c r="J177" s="79" t="n">
        <f aca="false">J133+J165+J167-MAX(0,J135)*$D$45</f>
        <v>40.872481645616</v>
      </c>
      <c r="K177" s="79" t="n">
        <f aca="false">K133+K165+K167-MAX(0,K135)*$D$45</f>
        <v>38.3370783920155</v>
      </c>
      <c r="L177" s="79" t="n">
        <f aca="false">L133+L165+L167-MAX(0,L135)*$D$45</f>
        <v>35.1547106865156</v>
      </c>
      <c r="M177" s="79" t="n">
        <f aca="false">M133+M165+M167-MAX(0,M135)*$D$45</f>
        <v>32.8209515416554</v>
      </c>
    </row>
    <row r="178" customFormat="false" ht="12.75" hidden="false" customHeight="true" outlineLevel="0" collapsed="false"/>
    <row r="179" customFormat="false" ht="12.75" hidden="false" customHeight="true" outlineLevel="0" collapsed="false">
      <c r="B179" s="9" t="s">
        <v>415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customFormat="false" ht="12.75" hidden="false" customHeight="true" outlineLevel="0" collapsed="false">
      <c r="H180" s="20" t="s">
        <v>397</v>
      </c>
      <c r="I180" s="20" t="s">
        <v>169</v>
      </c>
      <c r="J180" s="20" t="s">
        <v>170</v>
      </c>
      <c r="K180" s="20" t="s">
        <v>171</v>
      </c>
      <c r="L180" s="20" t="s">
        <v>172</v>
      </c>
      <c r="M180" s="20" t="s">
        <v>173</v>
      </c>
    </row>
    <row r="181" customFormat="false" ht="12.75" hidden="false" customHeight="true" outlineLevel="0" collapsed="false">
      <c r="B181" s="6" t="s">
        <v>416</v>
      </c>
      <c r="I181" s="27" t="n">
        <f aca="false">I176</f>
        <v>35.1102127726218</v>
      </c>
      <c r="J181" s="27" t="n">
        <f aca="false">J176</f>
        <v>40.3444905990378</v>
      </c>
      <c r="K181" s="27" t="n">
        <f aca="false">K176</f>
        <v>39.1876783920155</v>
      </c>
      <c r="L181" s="27" t="n">
        <f aca="false">L176</f>
        <v>36.0053106865155</v>
      </c>
      <c r="M181" s="27" t="n">
        <f aca="false">M176</f>
        <v>33.6715515416554</v>
      </c>
    </row>
    <row r="182" customFormat="false" ht="12.75" hidden="false" customHeight="true" outlineLevel="0" collapsed="false">
      <c r="B182" s="6" t="s">
        <v>417</v>
      </c>
      <c r="I182" s="27" t="n">
        <f aca="false">I185+I189+I193</f>
        <v>-3.75</v>
      </c>
      <c r="J182" s="27" t="n">
        <f aca="false">J185+J189+J193</f>
        <v>-3.75</v>
      </c>
      <c r="K182" s="27" t="n">
        <f aca="false">K185+K189+K193</f>
        <v>0</v>
      </c>
      <c r="L182" s="27" t="n">
        <f aca="false">L185+L189+L193</f>
        <v>0</v>
      </c>
      <c r="M182" s="27" t="n">
        <f aca="false">M185+M189+M193</f>
        <v>0</v>
      </c>
    </row>
    <row r="183" customFormat="false" ht="12.75" hidden="false" customHeight="true" outlineLevel="0" collapsed="false">
      <c r="B183" s="4" t="s">
        <v>418</v>
      </c>
      <c r="I183" s="66" t="n">
        <f aca="false">I181+I182</f>
        <v>31.3602127726218</v>
      </c>
      <c r="J183" s="66" t="n">
        <f aca="false">J181+J182</f>
        <v>36.5944905990378</v>
      </c>
      <c r="K183" s="66" t="n">
        <f aca="false">K181+K182</f>
        <v>39.1876783920155</v>
      </c>
      <c r="L183" s="66" t="n">
        <f aca="false">L181+L182</f>
        <v>36.0053106865155</v>
      </c>
      <c r="M183" s="66" t="n">
        <f aca="false">M181+M182</f>
        <v>33.6715515416554</v>
      </c>
    </row>
    <row r="184" customFormat="false" ht="12.75" hidden="false" customHeight="true" outlineLevel="0" collapsed="false">
      <c r="B184" s="4" t="s">
        <v>358</v>
      </c>
    </row>
    <row r="185" customFormat="false" ht="12.75" hidden="false" customHeight="true" outlineLevel="0" collapsed="false">
      <c r="B185" s="6" t="s">
        <v>419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</row>
    <row r="186" customFormat="false" ht="12.75" hidden="false" customHeight="true" outlineLevel="0" collapsed="false">
      <c r="B186" s="6" t="s">
        <v>420</v>
      </c>
      <c r="I186" s="27" t="n">
        <f aca="false">IF(I183&gt;0,-MAX(0,MIN(H187,I183)),-MIN(0,I183))</f>
        <v>-0</v>
      </c>
      <c r="J186" s="27" t="n">
        <f aca="false">IF(J183&gt;0,-MAX(0,MIN(I187,J183)),-MIN(0,J183))</f>
        <v>-0</v>
      </c>
      <c r="K186" s="27" t="n">
        <f aca="false">IF(K183&gt;0,-MAX(0,MIN(J187,K183)),-MIN(0,K183))</f>
        <v>-0</v>
      </c>
      <c r="L186" s="27" t="n">
        <f aca="false">IF(L183&gt;0,-MAX(0,MIN(K187,L183)),-MIN(0,L183))</f>
        <v>-0</v>
      </c>
      <c r="M186" s="27" t="n">
        <f aca="false">IF(M183&gt;0,-MAX(0,MIN(L187,M183)),-MIN(0,M183))</f>
        <v>-0</v>
      </c>
    </row>
    <row r="187" customFormat="false" ht="12.75" hidden="false" customHeight="true" outlineLevel="0" collapsed="false">
      <c r="B187" s="4" t="s">
        <v>421</v>
      </c>
      <c r="H187" s="66" t="n">
        <f aca="false">I99</f>
        <v>0</v>
      </c>
      <c r="I187" s="66" t="n">
        <f aca="false">MAX(0,H187+I185+I186)</f>
        <v>0</v>
      </c>
      <c r="J187" s="66" t="n">
        <f aca="false">MAX(0,I187+J185+J186)</f>
        <v>0</v>
      </c>
      <c r="K187" s="66" t="n">
        <f aca="false">MAX(0,J187+K185+K186)</f>
        <v>0</v>
      </c>
      <c r="L187" s="66" t="n">
        <f aca="false">MAX(0,K187+L185+L186)</f>
        <v>0</v>
      </c>
      <c r="M187" s="66" t="n">
        <f aca="false">MAX(0,L187+M185+M186)</f>
        <v>0</v>
      </c>
    </row>
    <row r="188" customFormat="false" ht="12.75" hidden="false" customHeight="true" outlineLevel="0" collapsed="false">
      <c r="B188" s="4" t="s">
        <v>323</v>
      </c>
    </row>
    <row r="189" customFormat="false" ht="12.75" hidden="false" customHeight="true" outlineLevel="0" collapsed="false">
      <c r="B189" s="6" t="s">
        <v>419</v>
      </c>
      <c r="I189" s="27" t="n">
        <f aca="false">-MAX(0,MIN($H191*$N$56,H191))</f>
        <v>-3.75</v>
      </c>
      <c r="J189" s="27" t="n">
        <f aca="false">-MAX(0,MIN($H191*$N$56,I191))</f>
        <v>-3.75</v>
      </c>
      <c r="K189" s="27" t="n">
        <f aca="false">-MAX(0,MIN($H191*$N$56,J191))</f>
        <v>-0</v>
      </c>
      <c r="L189" s="27" t="n">
        <f aca="false">-MAX(0,MIN($H191*$N$56,K191))</f>
        <v>-0</v>
      </c>
      <c r="M189" s="27" t="n">
        <f aca="false">-MAX(0,MIN($H191*$N$56,L191))</f>
        <v>-0</v>
      </c>
    </row>
    <row r="190" customFormat="false" ht="12.75" hidden="false" customHeight="true" outlineLevel="0" collapsed="false">
      <c r="B190" s="6" t="s">
        <v>422</v>
      </c>
      <c r="I190" s="27" t="n">
        <f aca="false">-MAX(0,MIN(H191+I189,I183+I186))</f>
        <v>-31.3602127726218</v>
      </c>
      <c r="J190" s="27" t="n">
        <f aca="false">-MAX(0,MIN(I191+J189,J183+J186))</f>
        <v>-36.1397872273782</v>
      </c>
      <c r="K190" s="27" t="n">
        <f aca="false">-MAX(0,MIN(J191+K189,K183+K186))</f>
        <v>-0</v>
      </c>
      <c r="L190" s="27" t="n">
        <f aca="false">-MAX(0,MIN(K191+L189,L183+L186))</f>
        <v>-0</v>
      </c>
      <c r="M190" s="27" t="n">
        <f aca="false">-MAX(0,MIN(L191+M189,M183+M186))</f>
        <v>-0</v>
      </c>
    </row>
    <row r="191" customFormat="false" ht="12.75" hidden="false" customHeight="true" outlineLevel="0" collapsed="false">
      <c r="B191" s="4" t="s">
        <v>421</v>
      </c>
      <c r="H191" s="66" t="n">
        <f aca="false">I100</f>
        <v>75</v>
      </c>
      <c r="I191" s="66" t="n">
        <f aca="false">MAX(0,H191+I189+I190)</f>
        <v>39.8897872273782</v>
      </c>
      <c r="J191" s="66" t="n">
        <f aca="false">MAX(0,I191+J189+J190)</f>
        <v>0</v>
      </c>
      <c r="K191" s="66" t="n">
        <f aca="false">MAX(0,J191+K189+K190)</f>
        <v>0</v>
      </c>
      <c r="L191" s="66" t="n">
        <f aca="false">MAX(0,K191+L189+L190)</f>
        <v>0</v>
      </c>
      <c r="M191" s="66" t="n">
        <f aca="false">MAX(0,L191+M189+M190)</f>
        <v>0</v>
      </c>
    </row>
    <row r="192" customFormat="false" ht="12.75" hidden="false" customHeight="true" outlineLevel="0" collapsed="false">
      <c r="B192" s="4" t="s">
        <v>324</v>
      </c>
    </row>
    <row r="193" customFormat="false" ht="12.75" hidden="false" customHeight="true" outlineLevel="0" collapsed="false">
      <c r="B193" s="6" t="s">
        <v>419</v>
      </c>
      <c r="I193" s="22" t="n">
        <v>0</v>
      </c>
      <c r="J193" s="22" t="n">
        <v>0</v>
      </c>
      <c r="K193" s="22" t="n">
        <v>0</v>
      </c>
      <c r="L193" s="22" t="n">
        <v>0</v>
      </c>
      <c r="M193" s="22" t="n">
        <v>0</v>
      </c>
    </row>
    <row r="194" customFormat="false" ht="12.75" hidden="false" customHeight="true" outlineLevel="0" collapsed="false">
      <c r="B194" s="6" t="s">
        <v>423</v>
      </c>
      <c r="I194" s="27" t="n">
        <f aca="false">I209</f>
        <v>0</v>
      </c>
      <c r="J194" s="27" t="n">
        <f aca="false">J209</f>
        <v>0</v>
      </c>
      <c r="K194" s="27" t="n">
        <f aca="false">K209</f>
        <v>0</v>
      </c>
      <c r="L194" s="27" t="n">
        <f aca="false">L209</f>
        <v>0</v>
      </c>
      <c r="M194" s="27" t="n">
        <f aca="false">M209</f>
        <v>0</v>
      </c>
    </row>
    <row r="195" customFormat="false" ht="12.75" hidden="false" customHeight="true" outlineLevel="0" collapsed="false">
      <c r="B195" s="6" t="s">
        <v>424</v>
      </c>
      <c r="I195" s="27" t="n">
        <f aca="false">-MAX(0,MIN(H196+I194,I183+I186+I190))</f>
        <v>-0</v>
      </c>
      <c r="J195" s="27" t="n">
        <f aca="false">-MAX(0,MIN(I196+J194,J183+J186+J190))</f>
        <v>-0</v>
      </c>
      <c r="K195" s="27" t="n">
        <f aca="false">-MAX(0,MIN(J196+K194,K183+K186+K190))</f>
        <v>-0</v>
      </c>
      <c r="L195" s="27" t="n">
        <f aca="false">-MAX(0,MIN(K196+L194,L183+L186+L190))</f>
        <v>-0</v>
      </c>
      <c r="M195" s="27" t="n">
        <f aca="false">-MAX(0,MIN(L196+M194,M183+M186+M190))</f>
        <v>-0</v>
      </c>
    </row>
    <row r="196" customFormat="false" ht="12.75" hidden="false" customHeight="true" outlineLevel="0" collapsed="false">
      <c r="B196" s="4" t="s">
        <v>421</v>
      </c>
      <c r="H196" s="66" t="n">
        <f aca="false">I101</f>
        <v>0</v>
      </c>
      <c r="I196" s="66" t="n">
        <f aca="false">MAX(0,H196+I193+I195+I194)</f>
        <v>0</v>
      </c>
      <c r="J196" s="66" t="n">
        <f aca="false">MAX(0,I196+J193+J195+J194)</f>
        <v>0</v>
      </c>
      <c r="K196" s="66" t="n">
        <f aca="false">MAX(0,J196+K193+K195+K194)</f>
        <v>0</v>
      </c>
      <c r="L196" s="66" t="n">
        <f aca="false">MAX(0,K196+L193+L195+L194)</f>
        <v>0</v>
      </c>
      <c r="M196" s="66" t="n">
        <f aca="false">MAX(0,L196+M193+M195+M194)</f>
        <v>0</v>
      </c>
    </row>
    <row r="197" customFormat="false" ht="12.75" hidden="false" customHeight="true" outlineLevel="0" collapsed="false">
      <c r="B197" s="4" t="s">
        <v>425</v>
      </c>
      <c r="I197" s="74" t="n">
        <f aca="false">I186+I190+I195</f>
        <v>-31.3602127726218</v>
      </c>
      <c r="J197" s="74" t="n">
        <f aca="false">J186+J190+J195</f>
        <v>-36.1397872273782</v>
      </c>
      <c r="K197" s="74" t="n">
        <f aca="false">K186+K190+K195</f>
        <v>-0</v>
      </c>
      <c r="L197" s="74" t="n">
        <f aca="false">L186+L190+L195</f>
        <v>-0</v>
      </c>
      <c r="M197" s="74" t="n">
        <f aca="false">M186+M190+M195</f>
        <v>-0</v>
      </c>
    </row>
    <row r="198" customFormat="false" ht="12.75" hidden="false" customHeight="true" outlineLevel="0" collapsed="false">
      <c r="B198" s="4" t="s">
        <v>426</v>
      </c>
      <c r="H198" s="66" t="n">
        <f aca="false">H187+H191+H196</f>
        <v>75</v>
      </c>
      <c r="I198" s="66" t="n">
        <f aca="false">I187+I191+I196</f>
        <v>39.8897872273782</v>
      </c>
      <c r="J198" s="66" t="n">
        <f aca="false">J187+J191+J196</f>
        <v>0</v>
      </c>
      <c r="K198" s="66" t="n">
        <f aca="false">K187+K191+K196</f>
        <v>0</v>
      </c>
      <c r="L198" s="66" t="n">
        <f aca="false">L187+L191+L196</f>
        <v>0</v>
      </c>
      <c r="M198" s="66" t="n">
        <f aca="false">M187+M191+M196</f>
        <v>0</v>
      </c>
    </row>
    <row r="199" customFormat="false" ht="12.75" hidden="false" customHeight="true" outlineLevel="0" collapsed="false"/>
    <row r="200" customFormat="false" ht="12.75" hidden="false" customHeight="true" outlineLevel="0" collapsed="false">
      <c r="B200" s="9" t="s">
        <v>427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customFormat="false" ht="12.75" hidden="false" customHeight="true" outlineLevel="0" collapsed="false">
      <c r="I201" s="20" t="s">
        <v>169</v>
      </c>
      <c r="J201" s="20" t="s">
        <v>170</v>
      </c>
      <c r="K201" s="20" t="s">
        <v>171</v>
      </c>
      <c r="L201" s="20" t="s">
        <v>172</v>
      </c>
      <c r="M201" s="20" t="s">
        <v>173</v>
      </c>
    </row>
    <row r="202" customFormat="false" ht="12.75" hidden="false" customHeight="true" outlineLevel="0" collapsed="false">
      <c r="B202" s="6" t="s">
        <v>428</v>
      </c>
      <c r="C202" s="3" t="s">
        <v>429</v>
      </c>
      <c r="I202" s="41" t="n">
        <v>0.036</v>
      </c>
      <c r="J202" s="41" t="n">
        <v>0.036</v>
      </c>
      <c r="K202" s="41" t="n">
        <v>0.036</v>
      </c>
      <c r="L202" s="41" t="n">
        <v>0.036</v>
      </c>
      <c r="M202" s="41" t="n">
        <v>0.036</v>
      </c>
    </row>
    <row r="203" customFormat="false" ht="12.75" hidden="false" customHeight="true" outlineLevel="0" collapsed="false">
      <c r="B203" s="6" t="s">
        <v>430</v>
      </c>
      <c r="I203" s="27" t="n">
        <f aca="false">IF(CIRC=1,AVERAGE(H187,I187),H187)</f>
        <v>0</v>
      </c>
      <c r="J203" s="27" t="n">
        <f aca="false">IF(CIRC=1,AVERAGE(I187,J187),I187)</f>
        <v>0</v>
      </c>
      <c r="K203" s="27" t="n">
        <f aca="false">IF(CIRC=1,AVERAGE(J187,K187),J187)</f>
        <v>0</v>
      </c>
      <c r="L203" s="27" t="n">
        <f aca="false">IF(CIRC=1,AVERAGE(K187,L187),K187)</f>
        <v>0</v>
      </c>
      <c r="M203" s="27" t="n">
        <f aca="false">IF(CIRC=1,AVERAGE(L187,M187),L187)</f>
        <v>0</v>
      </c>
    </row>
    <row r="204" customFormat="false" ht="12.75" hidden="false" customHeight="true" outlineLevel="0" collapsed="false">
      <c r="B204" s="6" t="s">
        <v>431</v>
      </c>
      <c r="I204" s="27" t="n">
        <f aca="false">I203*(I202+$I$55)+MAX(0,$H$55-I203)*$I$59</f>
        <v>0.28</v>
      </c>
      <c r="J204" s="27" t="n">
        <f aca="false">J203*(J202+$I$55)+MAX(0,$H$55-J203)*$I$59</f>
        <v>0.28</v>
      </c>
      <c r="K204" s="27" t="n">
        <f aca="false">K203*(K202+$I$55)+MAX(0,$H$55-K203)*$I$59</f>
        <v>0.28</v>
      </c>
      <c r="L204" s="27" t="n">
        <f aca="false">L203*(L202+$I$55)+MAX(0,$H$55-L203)*$I$59</f>
        <v>0.28</v>
      </c>
      <c r="M204" s="27" t="n">
        <f aca="false">M203*(M202+$I$55)+MAX(0,$H$55-M203)*$I$59</f>
        <v>0.28</v>
      </c>
    </row>
    <row r="205" customFormat="false" ht="12.75" hidden="false" customHeight="true" outlineLevel="0" collapsed="false">
      <c r="B205" s="6" t="s">
        <v>432</v>
      </c>
      <c r="I205" s="27" t="n">
        <f aca="false">IF(CIRC=1,AVERAGE(H191,I191),H191)</f>
        <v>57.4448936136891</v>
      </c>
      <c r="J205" s="27" t="n">
        <f aca="false">IF(CIRC=1,AVERAGE(I191,J191),I191)</f>
        <v>19.9448936136891</v>
      </c>
      <c r="K205" s="27" t="n">
        <f aca="false">IF(CIRC=1,AVERAGE(J191,K191),J191)</f>
        <v>0</v>
      </c>
      <c r="L205" s="27" t="n">
        <f aca="false">IF(CIRC=1,AVERAGE(K191,L191),K191)</f>
        <v>0</v>
      </c>
      <c r="M205" s="27" t="n">
        <f aca="false">IF(CIRC=1,AVERAGE(L191,M191),L191)</f>
        <v>0</v>
      </c>
    </row>
    <row r="206" customFormat="false" ht="12.75" hidden="false" customHeight="true" outlineLevel="0" collapsed="false">
      <c r="B206" s="6" t="s">
        <v>433</v>
      </c>
      <c r="I206" s="81" t="n">
        <f aca="false">MAX($J$56,I202)+$I$56</f>
        <v>0.096</v>
      </c>
      <c r="J206" s="81" t="n">
        <f aca="false">MAX($J$56,J202)+$I$56</f>
        <v>0.096</v>
      </c>
      <c r="K206" s="81" t="n">
        <f aca="false">MAX($J$56,K202)+$I$56</f>
        <v>0.096</v>
      </c>
      <c r="L206" s="81" t="n">
        <f aca="false">MAX($J$56,L202)+$I$56</f>
        <v>0.096</v>
      </c>
      <c r="M206" s="81" t="n">
        <f aca="false">MAX($J$56,M202)+$I$56</f>
        <v>0.096</v>
      </c>
    </row>
    <row r="207" customFormat="false" ht="12.75" hidden="false" customHeight="true" outlineLevel="0" collapsed="false">
      <c r="B207" s="6" t="s">
        <v>434</v>
      </c>
      <c r="I207" s="27" t="n">
        <f aca="false">I205*I206</f>
        <v>5.51470978691415</v>
      </c>
      <c r="J207" s="27" t="n">
        <f aca="false">J205*J206</f>
        <v>1.91470978691415</v>
      </c>
      <c r="K207" s="27" t="n">
        <f aca="false">K205*K206</f>
        <v>0</v>
      </c>
      <c r="L207" s="27" t="n">
        <f aca="false">L205*L206</f>
        <v>0</v>
      </c>
      <c r="M207" s="27" t="n">
        <f aca="false">M205*M206</f>
        <v>0</v>
      </c>
    </row>
    <row r="208" customFormat="false" ht="12.75" hidden="false" customHeight="true" outlineLevel="0" collapsed="false">
      <c r="B208" s="6" t="s">
        <v>435</v>
      </c>
      <c r="I208" s="27" t="n">
        <f aca="false">IF(CIRC=1,AVERAGE(H196,I196),H196)</f>
        <v>0</v>
      </c>
      <c r="J208" s="27" t="n">
        <f aca="false">IF(CIRC=1,AVERAGE(I196,J196),I196)</f>
        <v>0</v>
      </c>
      <c r="K208" s="27" t="n">
        <f aca="false">IF(CIRC=1,AVERAGE(J196,K196),J196)</f>
        <v>0</v>
      </c>
      <c r="L208" s="27" t="n">
        <f aca="false">IF(CIRC=1,AVERAGE(K196,L196),K196)</f>
        <v>0</v>
      </c>
      <c r="M208" s="27" t="n">
        <f aca="false">IF(CIRC=1,AVERAGE(L196,M196),L196)</f>
        <v>0</v>
      </c>
    </row>
    <row r="209" customFormat="false" ht="12.75" hidden="false" customHeight="true" outlineLevel="0" collapsed="false">
      <c r="B209" s="6" t="s">
        <v>436</v>
      </c>
      <c r="I209" s="27" t="n">
        <f aca="false">I208*$I$57</f>
        <v>0</v>
      </c>
      <c r="J209" s="27" t="n">
        <f aca="false">J208*$I$57</f>
        <v>0</v>
      </c>
      <c r="K209" s="27" t="n">
        <f aca="false">K208*$I$57</f>
        <v>0</v>
      </c>
      <c r="L209" s="27" t="n">
        <f aca="false">L208*$I$57</f>
        <v>0</v>
      </c>
      <c r="M209" s="27" t="n">
        <f aca="false">M208*$I$57</f>
        <v>0</v>
      </c>
    </row>
    <row r="210" customFormat="false" ht="12.75" hidden="false" customHeight="true" outlineLevel="0" collapsed="false">
      <c r="B210" s="4" t="s">
        <v>437</v>
      </c>
      <c r="I210" s="74" t="n">
        <f aca="false">I204+I207</f>
        <v>5.79470978691415</v>
      </c>
      <c r="J210" s="74" t="n">
        <f aca="false">J204+J207</f>
        <v>2.19470978691415</v>
      </c>
      <c r="K210" s="74" t="n">
        <f aca="false">K204+K207</f>
        <v>0.28</v>
      </c>
      <c r="L210" s="74" t="n">
        <f aca="false">L204+L207</f>
        <v>0.28</v>
      </c>
      <c r="M210" s="74" t="n">
        <f aca="false">M204+M207</f>
        <v>0.28</v>
      </c>
    </row>
    <row r="211" customFormat="false" ht="12.75" hidden="false" customHeight="true" outlineLevel="0" collapsed="false">
      <c r="B211" s="6" t="s">
        <v>438</v>
      </c>
      <c r="I211" s="27" t="n">
        <f aca="false">MAX(0,MIN($L$55-SUM($H211:H211),$L$55/$M$55))</f>
        <v>0.04</v>
      </c>
      <c r="J211" s="27" t="n">
        <f aca="false">MAX(0,MIN($L$55-SUM($H211:I211),$L$55/$M$55))</f>
        <v>0.04</v>
      </c>
      <c r="K211" s="27" t="n">
        <f aca="false">MAX(0,MIN($L$55-SUM($H211:J211),$L$55/$M$55))</f>
        <v>0.04</v>
      </c>
      <c r="L211" s="27" t="n">
        <f aca="false">MAX(0,MIN($L$55-SUM($H211:K211),$L$55/$M$55))</f>
        <v>0.04</v>
      </c>
      <c r="M211" s="27" t="n">
        <f aca="false">MAX(0,MIN($L$55-SUM($H211:L211),$L$55/$M$55))</f>
        <v>0.04</v>
      </c>
    </row>
    <row r="212" customFormat="false" ht="12.75" hidden="false" customHeight="true" outlineLevel="0" collapsed="false">
      <c r="B212" s="6" t="s">
        <v>439</v>
      </c>
      <c r="I212" s="27" t="n">
        <f aca="false">MAX(0,MIN($L$56-SUM($H212:H212),$L$56/$M$56))</f>
        <v>0.375</v>
      </c>
      <c r="J212" s="27" t="n">
        <f aca="false">MAX(0,MIN($L$56-SUM($H212:I212),$L$56/$M$56))</f>
        <v>0.375</v>
      </c>
      <c r="K212" s="27" t="n">
        <f aca="false">MAX(0,MIN($L$56-SUM($H212:J212),$L$56/$M$56))</f>
        <v>0.375</v>
      </c>
      <c r="L212" s="27" t="n">
        <f aca="false">MAX(0,MIN($L$56-SUM($H212:K212),$L$56/$M$56))</f>
        <v>0.375</v>
      </c>
      <c r="M212" s="27" t="n">
        <f aca="false">MAX(0,MIN($L$56-SUM($H212:L212),$L$56/$M$56))</f>
        <v>0.375</v>
      </c>
    </row>
    <row r="213" customFormat="false" ht="12.75" hidden="false" customHeight="true" outlineLevel="0" collapsed="false">
      <c r="B213" s="6" t="s">
        <v>440</v>
      </c>
      <c r="I213" s="27" t="n">
        <f aca="false">MAX(0,MIN($L$57-SUM($H213:H213),$L$57/$M$57))</f>
        <v>0</v>
      </c>
      <c r="J213" s="27" t="n">
        <f aca="false">MAX(0,MIN($L$57-SUM($H213:I213),$L$57/$M$57))</f>
        <v>0</v>
      </c>
      <c r="K213" s="27" t="n">
        <f aca="false">MAX(0,MIN($L$57-SUM($H213:J213),$L$57/$M$57))</f>
        <v>0</v>
      </c>
      <c r="L213" s="27" t="n">
        <f aca="false">MAX(0,MIN($L$57-SUM($H213:K213),$L$57/$M$57))</f>
        <v>0</v>
      </c>
      <c r="M213" s="27" t="n">
        <f aca="false">MAX(0,MIN($L$57-SUM($H213:L213),$L$57/$M$57))</f>
        <v>0</v>
      </c>
    </row>
    <row r="214" customFormat="false" ht="12.75" hidden="false" customHeight="true" outlineLevel="0" collapsed="false">
      <c r="B214" s="6" t="s">
        <v>441</v>
      </c>
      <c r="I214" s="82" t="n">
        <f aca="false">SUM(I211:I213)</f>
        <v>0.415</v>
      </c>
      <c r="J214" s="82" t="n">
        <f aca="false">SUM(J211:J213)</f>
        <v>0.415</v>
      </c>
      <c r="K214" s="82" t="n">
        <f aca="false">SUM(K211:K213)</f>
        <v>0.415</v>
      </c>
      <c r="L214" s="82" t="n">
        <f aca="false">SUM(L211:L213)</f>
        <v>0.415</v>
      </c>
      <c r="M214" s="82" t="n">
        <f aca="false">SUM(M211:M213)</f>
        <v>0.415</v>
      </c>
    </row>
    <row r="215" customFormat="false" ht="12.75" hidden="false" customHeight="true" outlineLevel="0" collapsed="false">
      <c r="B215" s="4" t="s">
        <v>442</v>
      </c>
      <c r="I215" s="66" t="n">
        <f aca="false">I209+I214</f>
        <v>0.415</v>
      </c>
      <c r="J215" s="66" t="n">
        <f aca="false">J209+J214</f>
        <v>0.415</v>
      </c>
      <c r="K215" s="66" t="n">
        <f aca="false">K209+K214</f>
        <v>0.415</v>
      </c>
      <c r="L215" s="66" t="n">
        <f aca="false">L209+L214</f>
        <v>0.415</v>
      </c>
      <c r="M215" s="66" t="n">
        <f aca="false">M209+M214</f>
        <v>0.415</v>
      </c>
    </row>
    <row r="216" customFormat="false" ht="12.75" hidden="false" customHeight="true" outlineLevel="0" collapsed="false">
      <c r="B216" s="4" t="s">
        <v>443</v>
      </c>
      <c r="I216" s="66" t="n">
        <f aca="false">I210+I215</f>
        <v>6.20970978691415</v>
      </c>
      <c r="J216" s="66" t="n">
        <f aca="false">J210+J215</f>
        <v>2.60970978691415</v>
      </c>
      <c r="K216" s="66" t="n">
        <f aca="false">K210+K215</f>
        <v>0.695</v>
      </c>
      <c r="L216" s="66" t="n">
        <f aca="false">L210+L215</f>
        <v>0.695</v>
      </c>
      <c r="M216" s="66" t="n">
        <f aca="false">M210+M215</f>
        <v>0.695</v>
      </c>
    </row>
    <row r="217" customFormat="false" ht="12.75" hidden="false" customHeight="true" outlineLevel="0" collapsed="false"/>
    <row r="218" customFormat="false" ht="12.75" hidden="false" customHeight="true" outlineLevel="0" collapsed="false">
      <c r="B218" s="9" t="s">
        <v>444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customFormat="false" ht="12.75" hidden="false" customHeight="true" outlineLevel="0" collapsed="false">
      <c r="H219" s="20" t="s">
        <v>397</v>
      </c>
      <c r="I219" s="20" t="s">
        <v>169</v>
      </c>
      <c r="J219" s="20" t="s">
        <v>170</v>
      </c>
      <c r="K219" s="20" t="s">
        <v>171</v>
      </c>
      <c r="L219" s="20" t="s">
        <v>172</v>
      </c>
      <c r="M219" s="20" t="s">
        <v>173</v>
      </c>
    </row>
    <row r="220" customFormat="false" ht="12.75" hidden="false" customHeight="true" outlineLevel="0" collapsed="false">
      <c r="B220" s="6" t="s">
        <v>359</v>
      </c>
      <c r="H220" s="27" t="n">
        <f aca="false">H155</f>
        <v>75</v>
      </c>
      <c r="I220" s="27" t="n">
        <f aca="false">I155</f>
        <v>39.8897872273782</v>
      </c>
      <c r="J220" s="27" t="n">
        <f aca="false">J155</f>
        <v>0</v>
      </c>
      <c r="K220" s="27" t="n">
        <f aca="false">K155</f>
        <v>0</v>
      </c>
      <c r="L220" s="27" t="n">
        <f aca="false">L155</f>
        <v>0</v>
      </c>
      <c r="M220" s="27" t="n">
        <f aca="false">M155</f>
        <v>0</v>
      </c>
    </row>
    <row r="221" customFormat="false" ht="12.75" hidden="false" customHeight="true" outlineLevel="0" collapsed="false">
      <c r="B221" s="6" t="s">
        <v>352</v>
      </c>
      <c r="H221" s="27" t="n">
        <f aca="false">H146</f>
        <v>40</v>
      </c>
      <c r="I221" s="27" t="n">
        <f aca="false">I146</f>
        <v>40</v>
      </c>
      <c r="J221" s="27" t="n">
        <f aca="false">J146</f>
        <v>40</v>
      </c>
      <c r="K221" s="27" t="n">
        <f aca="false">K146</f>
        <v>40</v>
      </c>
      <c r="L221" s="27" t="n">
        <f aca="false">L146</f>
        <v>40</v>
      </c>
      <c r="M221" s="27" t="n">
        <f aca="false">M146</f>
        <v>39.9999999999987</v>
      </c>
    </row>
    <row r="222" customFormat="false" ht="12.75" hidden="false" customHeight="true" outlineLevel="0" collapsed="false">
      <c r="B222" s="4" t="s">
        <v>445</v>
      </c>
      <c r="H222" s="66" t="n">
        <f aca="false">H220-H221</f>
        <v>35</v>
      </c>
      <c r="I222" s="66" t="n">
        <f aca="false">I220-I221</f>
        <v>-0.110212772621807</v>
      </c>
      <c r="J222" s="66" t="n">
        <f aca="false">J220-J221</f>
        <v>-40</v>
      </c>
      <c r="K222" s="66" t="n">
        <f aca="false">K220-K221</f>
        <v>-40</v>
      </c>
      <c r="L222" s="66" t="n">
        <f aca="false">L220-L221</f>
        <v>-40</v>
      </c>
      <c r="M222" s="66" t="n">
        <f aca="false">M220-M221</f>
        <v>-39.9999999999987</v>
      </c>
    </row>
    <row r="223" customFormat="false" ht="12.75" hidden="false" customHeight="true" outlineLevel="0" collapsed="false">
      <c r="B223" s="6" t="s">
        <v>446</v>
      </c>
      <c r="H223" s="27" t="n">
        <f aca="false">H129</f>
        <v>36.496922</v>
      </c>
      <c r="I223" s="27" t="n">
        <f aca="false">I129</f>
        <v>57.50043046</v>
      </c>
      <c r="J223" s="27" t="n">
        <f aca="false">J129</f>
        <v>57.3700931158</v>
      </c>
      <c r="K223" s="27" t="n">
        <f aca="false">K129</f>
        <v>53.689863502226</v>
      </c>
      <c r="L223" s="27" t="n">
        <f aca="false">L129</f>
        <v>49.1997375340947</v>
      </c>
      <c r="M223" s="27" t="n">
        <f aca="false">M129</f>
        <v>46.3590815754639</v>
      </c>
    </row>
    <row r="224" customFormat="false" ht="12.75" hidden="false" customHeight="true" outlineLevel="0" collapsed="false">
      <c r="B224" s="6" t="s">
        <v>447</v>
      </c>
      <c r="H224" s="83" t="n">
        <f aca="false">H220/H223</f>
        <v>2.05496781345013</v>
      </c>
      <c r="I224" s="83" t="n">
        <f aca="false">I220/I223</f>
        <v>0.693730236595836</v>
      </c>
      <c r="J224" s="83" t="n">
        <f aca="false">J220/J223</f>
        <v>0</v>
      </c>
      <c r="K224" s="83" t="n">
        <f aca="false">K220/K223</f>
        <v>0</v>
      </c>
      <c r="L224" s="83" t="n">
        <f aca="false">L220/L223</f>
        <v>0</v>
      </c>
      <c r="M224" s="83" t="n">
        <f aca="false">M220/M223</f>
        <v>0</v>
      </c>
    </row>
    <row r="225" customFormat="false" ht="12.75" hidden="false" customHeight="true" outlineLevel="0" collapsed="false">
      <c r="B225" s="6" t="s">
        <v>448</v>
      </c>
      <c r="H225" s="83" t="n">
        <f aca="false">H222/H223</f>
        <v>0.958984979610061</v>
      </c>
      <c r="I225" s="83" t="n">
        <f aca="false">I222/I223</f>
        <v>-0.00191672952254638</v>
      </c>
      <c r="J225" s="83" t="n">
        <f aca="false">J222/J223</f>
        <v>-0.697227384994148</v>
      </c>
      <c r="K225" s="83" t="n">
        <f aca="false">K222/K223</f>
        <v>-0.745019588256945</v>
      </c>
      <c r="L225" s="83" t="n">
        <f aca="false">L222/L223</f>
        <v>-0.813012467236854</v>
      </c>
      <c r="M225" s="83" t="n">
        <f aca="false">M222/M223</f>
        <v>-0.862829862901537</v>
      </c>
    </row>
    <row r="226" customFormat="false" ht="12.75" hidden="false" customHeight="true" outlineLevel="0" collapsed="false">
      <c r="B226" s="6" t="s">
        <v>449</v>
      </c>
      <c r="I226" s="68" t="n">
        <f aca="false">IF(I210&gt;0.05,I223/I210,"n.m.")</f>
        <v>9.92291807086695</v>
      </c>
      <c r="J226" s="68" t="n">
        <f aca="false">IF(J210&gt;0.05,J223/J210,"n.m.")</f>
        <v>26.1401728182315</v>
      </c>
      <c r="K226" s="68" t="n">
        <f aca="false">IF(K210&gt;0.05,K223/K210,"n.m.")</f>
        <v>191.74951250795</v>
      </c>
      <c r="L226" s="68" t="n">
        <f aca="false">IF(L210&gt;0.05,L223/L210,"n.m.")</f>
        <v>175.713348336053</v>
      </c>
      <c r="M226" s="68" t="n">
        <f aca="false">IF(M210&gt;0.05,M223/M210,"n.m.")</f>
        <v>165.5681484838</v>
      </c>
    </row>
    <row r="227" customFormat="false" ht="12.75" hidden="false" customHeight="true" outlineLevel="0" collapsed="false">
      <c r="B227" s="6" t="s">
        <v>450</v>
      </c>
      <c r="I227" s="68" t="n">
        <f aca="false">IF(I210&gt;0.05,(I223+I167)/I210,"n.m.")</f>
        <v>9.66406127645295</v>
      </c>
      <c r="J227" s="68" t="n">
        <f aca="false">IF(J210&gt;0.05,(J223+J167)/J210,"n.m.")</f>
        <v>25.4567111555809</v>
      </c>
      <c r="K227" s="68" t="n">
        <f aca="false">IF(K210&gt;0.05,(K223+K167)/K210,"n.m.")</f>
        <v>186.392369650807</v>
      </c>
      <c r="L227" s="68" t="n">
        <f aca="false">IF(L210&gt;0.05,(L223+L167)/L210,"n.m.")</f>
        <v>170.35620547891</v>
      </c>
      <c r="M227" s="68" t="n">
        <f aca="false">IF(M210&gt;0.05,(M223+M167)/M210,"n.m.")</f>
        <v>160.211005626657</v>
      </c>
    </row>
    <row r="228" customFormat="false" ht="12.75" hidden="false" customHeight="true" outlineLevel="0" collapsed="false">
      <c r="B228" s="6" t="s">
        <v>451</v>
      </c>
      <c r="I228" s="68" t="n">
        <f aca="false">IF(I210-I182&gt;0.05,I223/(I210-I182),"n.m.")</f>
        <v>6.02432465142454</v>
      </c>
      <c r="J228" s="68" t="n">
        <f aca="false">IF(J210-J182&gt;0.05,J223/(J210-J182),"n.m.")</f>
        <v>9.65061292682217</v>
      </c>
      <c r="K228" s="68" t="n">
        <f aca="false">IF(K210-K182&gt;0.05,K223/(K210-K182),"n.m.")</f>
        <v>191.74951250795</v>
      </c>
      <c r="L228" s="68" t="n">
        <f aca="false">IF(L210-L182&gt;0.05,L223/(L210-L182),"n.m.")</f>
        <v>175.713348336053</v>
      </c>
      <c r="M228" s="68" t="n">
        <f aca="false">IF(M210-M182&gt;0.05,M223/(M210-M182),"n.m.")</f>
        <v>165.5681484838</v>
      </c>
    </row>
    <row r="229" customFormat="false" ht="12.75" hidden="false" customHeight="true" outlineLevel="0" collapsed="false">
      <c r="B229" s="6" t="s">
        <v>452</v>
      </c>
      <c r="I229" s="83" t="n">
        <f aca="false">$D$61-I225</f>
        <v>3.00191672952255</v>
      </c>
      <c r="J229" s="83" t="n">
        <f aca="false">$D$61-J225</f>
        <v>3.69722738499415</v>
      </c>
      <c r="K229" s="83" t="n">
        <f aca="false">$D$61-K225</f>
        <v>3.74501958825695</v>
      </c>
      <c r="L229" s="83" t="n">
        <f aca="false">$D$61-L225</f>
        <v>3.81301246723685</v>
      </c>
      <c r="M229" s="83" t="n">
        <f aca="false">$D$61-M225</f>
        <v>3.86282986290154</v>
      </c>
    </row>
    <row r="230" customFormat="false" ht="12.75" hidden="false" customHeight="true" outlineLevel="0" collapsed="false">
      <c r="B230" s="6" t="s">
        <v>453</v>
      </c>
      <c r="I230" s="68" t="n">
        <f aca="false">IF(ISNUMBER(I226),I226-$D$62,"n.m.")</f>
        <v>6.92291807086695</v>
      </c>
      <c r="J230" s="68" t="n">
        <f aca="false">IF(ISNUMBER(J226),J226-$D$62,"n.m.")</f>
        <v>23.1401728182315</v>
      </c>
      <c r="K230" s="68" t="n">
        <f aca="false">IF(ISNUMBER(K226),K226-$D$62,"n.m.")</f>
        <v>188.74951250795</v>
      </c>
      <c r="L230" s="68" t="n">
        <f aca="false">IF(ISNUMBER(L226),L226-$D$62,"n.m.")</f>
        <v>172.713348336053</v>
      </c>
      <c r="M230" s="68" t="n">
        <f aca="false">IF(ISNUMBER(M226),M226-$D$62,"n.m.")</f>
        <v>162.5681484838</v>
      </c>
    </row>
    <row r="231" customFormat="false" ht="12.75" hidden="false" customHeight="true" outlineLevel="0" collapsed="false">
      <c r="B231" s="4" t="s">
        <v>454</v>
      </c>
      <c r="D231" s="84" t="n">
        <f aca="false">MAX(I225:M225)</f>
        <v>-0.00191672952254638</v>
      </c>
    </row>
    <row r="232" customFormat="false" ht="12.75" hidden="false" customHeight="true" outlineLevel="0" collapsed="false">
      <c r="B232" s="4" t="s">
        <v>455</v>
      </c>
      <c r="D232" s="85" t="n">
        <f aca="false">IF(COUNT(I226:M226)=0,"n.m.",MIN(I226:M226))</f>
        <v>9.92291807086695</v>
      </c>
    </row>
    <row r="233" customFormat="false" ht="12.75" hidden="false" customHeight="true" outlineLevel="0" collapsed="false">
      <c r="B233" s="6" t="s">
        <v>456</v>
      </c>
      <c r="D233" s="38" t="n">
        <f aca="false">IF(H155&lt;0.01,"no debt",IF(M155&gt;0.01,"beyond Y5",COUNTIF(I155:M155,"&gt;0.01")+1))</f>
        <v>2</v>
      </c>
    </row>
    <row r="234" customFormat="false" ht="12.75" hidden="false" customHeight="true" outlineLevel="0" collapsed="false"/>
    <row r="235" customFormat="false" ht="12.75" hidden="false" customHeight="true" outlineLevel="0" collapsed="false">
      <c r="B235" s="9" t="s">
        <v>457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customFormat="false" ht="12.75" hidden="false" customHeight="true" outlineLevel="0" collapsed="false">
      <c r="H236" s="20" t="s">
        <v>458</v>
      </c>
      <c r="I236" s="20" t="s">
        <v>459</v>
      </c>
      <c r="J236" s="20" t="s">
        <v>460</v>
      </c>
      <c r="K236" s="20" t="s">
        <v>461</v>
      </c>
      <c r="L236" s="20" t="s">
        <v>462</v>
      </c>
      <c r="M236" s="20" t="s">
        <v>463</v>
      </c>
    </row>
    <row r="237" customFormat="false" ht="12.75" hidden="false" customHeight="true" outlineLevel="0" collapsed="false">
      <c r="B237" s="6" t="s">
        <v>262</v>
      </c>
      <c r="I237" s="38" t="n">
        <f aca="false">I15</f>
        <v>1</v>
      </c>
      <c r="J237" s="38" t="n">
        <f aca="false">J15</f>
        <v>2</v>
      </c>
      <c r="K237" s="38" t="n">
        <f aca="false">K15</f>
        <v>3</v>
      </c>
      <c r="L237" s="38" t="n">
        <f aca="false">L15</f>
        <v>4</v>
      </c>
      <c r="M237" s="38" t="n">
        <f aca="false">M15</f>
        <v>5</v>
      </c>
    </row>
    <row r="238" customFormat="false" ht="12.75" hidden="false" customHeight="true" outlineLevel="0" collapsed="false">
      <c r="B238" s="6" t="s">
        <v>446</v>
      </c>
      <c r="I238" s="27" t="n">
        <f aca="false">I129</f>
        <v>57.50043046</v>
      </c>
      <c r="J238" s="27" t="n">
        <f aca="false">J129</f>
        <v>57.3700931158</v>
      </c>
      <c r="K238" s="27" t="n">
        <f aca="false">K129</f>
        <v>53.689863502226</v>
      </c>
      <c r="L238" s="27" t="n">
        <f aca="false">L129</f>
        <v>49.1997375340947</v>
      </c>
      <c r="M238" s="27" t="n">
        <f aca="false">M129</f>
        <v>46.3590815754639</v>
      </c>
    </row>
    <row r="239" customFormat="false" ht="12.75" hidden="false" customHeight="true" outlineLevel="0" collapsed="false">
      <c r="B239" s="6" t="s">
        <v>464</v>
      </c>
      <c r="I239" s="68" t="n">
        <f aca="false">$D$43</f>
        <v>5.5</v>
      </c>
      <c r="J239" s="68" t="n">
        <f aca="false">$D$43</f>
        <v>5.5</v>
      </c>
      <c r="K239" s="68" t="n">
        <f aca="false">$D$43</f>
        <v>5.5</v>
      </c>
      <c r="L239" s="68" t="n">
        <f aca="false">$D$43</f>
        <v>5.5</v>
      </c>
      <c r="M239" s="68" t="n">
        <f aca="false">$D$43</f>
        <v>5.5</v>
      </c>
    </row>
    <row r="240" customFormat="false" ht="12.75" hidden="false" customHeight="true" outlineLevel="0" collapsed="false">
      <c r="B240" s="6" t="s">
        <v>465</v>
      </c>
      <c r="I240" s="27" t="n">
        <f aca="false">I238*I239</f>
        <v>316.25236753</v>
      </c>
      <c r="J240" s="27" t="n">
        <f aca="false">J238*J239</f>
        <v>315.5355121369</v>
      </c>
      <c r="K240" s="27" t="n">
        <f aca="false">K238*K239</f>
        <v>295.294249262243</v>
      </c>
      <c r="L240" s="27" t="n">
        <f aca="false">L238*L239</f>
        <v>270.598556437521</v>
      </c>
      <c r="M240" s="27" t="n">
        <f aca="false">M238*M239</f>
        <v>254.974948665051</v>
      </c>
    </row>
    <row r="241" customFormat="false" ht="12.75" hidden="false" customHeight="true" outlineLevel="0" collapsed="false">
      <c r="B241" s="6" t="s">
        <v>466</v>
      </c>
      <c r="I241" s="27" t="n">
        <f aca="false">-I155</f>
        <v>-39.8897872273782</v>
      </c>
      <c r="J241" s="27" t="n">
        <f aca="false">-J155</f>
        <v>-0</v>
      </c>
      <c r="K241" s="27" t="n">
        <f aca="false">-K155</f>
        <v>-0</v>
      </c>
      <c r="L241" s="27" t="n">
        <f aca="false">-L155</f>
        <v>-0</v>
      </c>
      <c r="M241" s="27" t="n">
        <f aca="false">-M155</f>
        <v>-0</v>
      </c>
    </row>
    <row r="242" customFormat="false" ht="12.75" hidden="false" customHeight="true" outlineLevel="0" collapsed="false">
      <c r="B242" s="6" t="s">
        <v>467</v>
      </c>
      <c r="I242" s="27" t="n">
        <f aca="false">I146</f>
        <v>40</v>
      </c>
      <c r="J242" s="27" t="n">
        <f aca="false">J146</f>
        <v>40</v>
      </c>
      <c r="K242" s="27" t="n">
        <f aca="false">K146</f>
        <v>40</v>
      </c>
      <c r="L242" s="27" t="n">
        <f aca="false">L146</f>
        <v>40</v>
      </c>
      <c r="M242" s="27" t="n">
        <f aca="false">M146</f>
        <v>39.9999999999987</v>
      </c>
    </row>
    <row r="243" customFormat="false" ht="12.75" hidden="false" customHeight="true" outlineLevel="0" collapsed="false">
      <c r="B243" s="6" t="s">
        <v>468</v>
      </c>
      <c r="I243" s="27" t="n">
        <f aca="false">-I240*$D$44</f>
        <v>-4.74378551295</v>
      </c>
      <c r="J243" s="27" t="n">
        <f aca="false">-J240*$D$44</f>
        <v>-4.7330326820535</v>
      </c>
      <c r="K243" s="27" t="n">
        <f aca="false">-K240*$D$44</f>
        <v>-4.42941373893365</v>
      </c>
      <c r="L243" s="27" t="n">
        <f aca="false">-L240*$D$44</f>
        <v>-4.05897834656281</v>
      </c>
      <c r="M243" s="27" t="n">
        <f aca="false">-M240*$D$44</f>
        <v>-3.82462422997577</v>
      </c>
    </row>
    <row r="244" customFormat="false" ht="12.75" hidden="false" customHeight="true" outlineLevel="0" collapsed="false">
      <c r="B244" s="4" t="s">
        <v>469</v>
      </c>
      <c r="I244" s="74" t="n">
        <f aca="false">SUM(I240:I243)</f>
        <v>311.618794789672</v>
      </c>
      <c r="J244" s="74" t="n">
        <f aca="false">SUM(J240:J243)</f>
        <v>350.802479454847</v>
      </c>
      <c r="K244" s="74" t="n">
        <f aca="false">SUM(K240:K243)</f>
        <v>330.864835523309</v>
      </c>
      <c r="L244" s="74" t="n">
        <f aca="false">SUM(L240:L243)</f>
        <v>306.539578090958</v>
      </c>
      <c r="M244" s="74" t="n">
        <f aca="false">SUM(M240:M243)</f>
        <v>291.150324435074</v>
      </c>
    </row>
    <row r="245" customFormat="false" ht="12.75" hidden="false" customHeight="true" outlineLevel="0" collapsed="false">
      <c r="B245" s="6" t="s">
        <v>470</v>
      </c>
      <c r="I245" s="27" t="n">
        <f aca="false">-I172</f>
        <v>0</v>
      </c>
      <c r="J245" s="27" t="n">
        <f aca="false">-J172</f>
        <v>0.454703371659619</v>
      </c>
      <c r="K245" s="27" t="n">
        <f aca="false">-K172</f>
        <v>39.1876783920155</v>
      </c>
      <c r="L245" s="27" t="n">
        <f aca="false">-L172</f>
        <v>36.0053106865155</v>
      </c>
      <c r="M245" s="27" t="n">
        <f aca="false">-M172</f>
        <v>33.6715515416554</v>
      </c>
    </row>
    <row r="246" customFormat="false" ht="12.75" hidden="false" customHeight="true" outlineLevel="0" collapsed="false">
      <c r="B246" s="6" t="s">
        <v>471</v>
      </c>
      <c r="I246" s="27" t="n">
        <f aca="false">SUM($I245:I245)</f>
        <v>0</v>
      </c>
      <c r="J246" s="27" t="n">
        <f aca="false">SUM($I245:J245)</f>
        <v>0.454703371659619</v>
      </c>
      <c r="K246" s="27" t="n">
        <f aca="false">SUM($I245:K245)</f>
        <v>39.6423817636752</v>
      </c>
      <c r="L246" s="27" t="n">
        <f aca="false">SUM($I245:L245)</f>
        <v>75.6476924501907</v>
      </c>
      <c r="M246" s="27" t="n">
        <f aca="false">SUM($I245:M245)</f>
        <v>109.319243991846</v>
      </c>
    </row>
    <row r="247" customFormat="false" ht="12.75" hidden="false" customHeight="true" outlineLevel="0" collapsed="false">
      <c r="B247" s="6" t="s">
        <v>472</v>
      </c>
      <c r="H247" s="27" t="n">
        <f aca="false">D80</f>
        <v>251.398238330972</v>
      </c>
    </row>
    <row r="248" customFormat="false" ht="12.75" hidden="false" customHeight="true" outlineLevel="0" collapsed="false">
      <c r="B248" s="4" t="s">
        <v>473</v>
      </c>
      <c r="I248" s="84" t="n">
        <f aca="false">(I244+I246)/$H$247</f>
        <v>1.23954247594773</v>
      </c>
      <c r="J248" s="84" t="n">
        <f aca="false">(J244+J246)/$H$247</f>
        <v>1.39721417762708</v>
      </c>
      <c r="K248" s="84" t="n">
        <f aca="false">(K244+K246)/$H$247</f>
        <v>1.47378605254665</v>
      </c>
      <c r="L248" s="84" t="n">
        <f aca="false">(L244+L246)/$H$247</f>
        <v>1.52024641492511</v>
      </c>
      <c r="M248" s="84" t="n">
        <f aca="false">(M244+M246)/$H$247</f>
        <v>1.59296887315372</v>
      </c>
    </row>
    <row r="249" customFormat="false" ht="12.75" hidden="false" customHeight="true" outlineLevel="0" collapsed="false">
      <c r="B249" s="3" t="s">
        <v>474</v>
      </c>
      <c r="H249" s="86" t="n">
        <f aca="false">-$H$247</f>
        <v>-251.398238330972</v>
      </c>
      <c r="I249" s="86" t="n">
        <f aca="false">I245+I244</f>
        <v>311.618794789672</v>
      </c>
    </row>
    <row r="250" customFormat="false" ht="12.75" hidden="false" customHeight="true" outlineLevel="0" collapsed="false">
      <c r="B250" s="3" t="s">
        <v>475</v>
      </c>
      <c r="H250" s="86" t="n">
        <f aca="false">-$H$247</f>
        <v>-251.398238330972</v>
      </c>
      <c r="I250" s="86" t="n">
        <f aca="false">I245</f>
        <v>0</v>
      </c>
      <c r="J250" s="86" t="n">
        <f aca="false">J245+J244</f>
        <v>351.257182826506</v>
      </c>
    </row>
    <row r="251" customFormat="false" ht="12.75" hidden="false" customHeight="true" outlineLevel="0" collapsed="false">
      <c r="B251" s="3" t="s">
        <v>476</v>
      </c>
      <c r="H251" s="86" t="n">
        <f aca="false">-$H$247</f>
        <v>-251.398238330972</v>
      </c>
      <c r="I251" s="86" t="n">
        <f aca="false">I245</f>
        <v>0</v>
      </c>
      <c r="J251" s="86" t="n">
        <f aca="false">J245</f>
        <v>0.454703371659619</v>
      </c>
      <c r="K251" s="86" t="n">
        <f aca="false">K245+K244</f>
        <v>370.052513915325</v>
      </c>
    </row>
    <row r="252" customFormat="false" ht="12.75" hidden="false" customHeight="true" outlineLevel="0" collapsed="false">
      <c r="B252" s="3" t="s">
        <v>477</v>
      </c>
      <c r="H252" s="86" t="n">
        <f aca="false">-$H$247</f>
        <v>-251.398238330972</v>
      </c>
      <c r="I252" s="86" t="n">
        <f aca="false">I245</f>
        <v>0</v>
      </c>
      <c r="J252" s="86" t="n">
        <f aca="false">J245</f>
        <v>0.454703371659619</v>
      </c>
      <c r="K252" s="86" t="n">
        <f aca="false">K245</f>
        <v>39.1876783920155</v>
      </c>
      <c r="L252" s="86" t="n">
        <f aca="false">L245+L244</f>
        <v>342.544888777474</v>
      </c>
    </row>
    <row r="253" customFormat="false" ht="12.75" hidden="false" customHeight="true" outlineLevel="0" collapsed="false">
      <c r="B253" s="3" t="s">
        <v>478</v>
      </c>
      <c r="H253" s="86" t="n">
        <f aca="false">-$H$247</f>
        <v>-251.398238330972</v>
      </c>
      <c r="I253" s="86" t="n">
        <f aca="false">I245</f>
        <v>0</v>
      </c>
      <c r="J253" s="86" t="n">
        <f aca="false">J245</f>
        <v>0.454703371659619</v>
      </c>
      <c r="K253" s="86" t="n">
        <f aca="false">K245</f>
        <v>39.1876783920155</v>
      </c>
      <c r="L253" s="86" t="n">
        <f aca="false">L245</f>
        <v>36.0053106865155</v>
      </c>
      <c r="M253" s="86" t="n">
        <f aca="false">M245+M244</f>
        <v>324.82187597673</v>
      </c>
    </row>
    <row r="254" customFormat="false" ht="12.75" hidden="false" customHeight="true" outlineLevel="0" collapsed="false">
      <c r="B254" s="4" t="s">
        <v>479</v>
      </c>
      <c r="I254" s="87" t="n">
        <f aca="false">IFERROR(IRR($H249:I249,0.15),IFERROR(IRR($H249:I249,-0.2),IFERROR(IRR($H249:I249,-0.6),-1)))</f>
        <v>0.239542475947733</v>
      </c>
      <c r="J254" s="87" t="n">
        <f aca="false">IFERROR(IRR($H250:J250,0.15),IFERROR(IRR($H250:J250,-0.2),IFERROR(IRR($H250:J250,-0.6),-1)))</f>
        <v>0.18203814558883</v>
      </c>
      <c r="K254" s="87" t="n">
        <f aca="false">IFERROR(IRR($H251:K251,0.15),IFERROR(IRR($H251:K251,-0.2),IFERROR(IRR($H251:K251,-0.6),-1)))</f>
        <v>0.138070960770563</v>
      </c>
      <c r="L254" s="87" t="n">
        <f aca="false">IFERROR(IRR($H252:L252,0.15),IFERROR(IRR($H252:L252,-0.2),IFERROR(IRR($H252:L252,-0.6),-1)))</f>
        <v>0.113698461699471</v>
      </c>
      <c r="M254" s="87" t="n">
        <f aca="false">IFERROR(IRR($H253:M253,0.15),IFERROR(IRR($H253:M253,-0.2),IFERROR(IRR($H253:M253,-0.6),-1)))</f>
        <v>0.104373548503802</v>
      </c>
    </row>
    <row r="255" customFormat="false" ht="12.75" hidden="false" customHeight="true" outlineLevel="0" collapsed="false">
      <c r="B255" s="77" t="s">
        <v>480</v>
      </c>
      <c r="D255" s="88" t="n">
        <f aca="false">M248</f>
        <v>1.59296887315372</v>
      </c>
    </row>
    <row r="256" customFormat="false" ht="12.75" hidden="false" customHeight="true" outlineLevel="0" collapsed="false">
      <c r="B256" s="77" t="s">
        <v>481</v>
      </c>
      <c r="D256" s="89" t="n">
        <f aca="false">M254</f>
        <v>0.104373548503802</v>
      </c>
    </row>
    <row r="257" customFormat="false" ht="12.75" hidden="false" customHeight="true" outlineLevel="0" collapsed="false">
      <c r="B257" s="6" t="s">
        <v>482</v>
      </c>
      <c r="D257" s="27" t="n">
        <f aca="false">M244+M246</f>
        <v>400.469568426921</v>
      </c>
    </row>
    <row r="258" customFormat="false" ht="12.75" hidden="false" customHeight="true" outlineLevel="0" collapsed="false"/>
    <row r="259" customFormat="false" ht="12.75" hidden="false" customHeight="true" outlineLevel="0" collapsed="false">
      <c r="B259" s="4" t="s">
        <v>483</v>
      </c>
      <c r="C259" s="3" t="s">
        <v>484</v>
      </c>
      <c r="K259" s="20" t="s">
        <v>461</v>
      </c>
      <c r="L259" s="20" t="s">
        <v>462</v>
      </c>
      <c r="M259" s="20" t="s">
        <v>463</v>
      </c>
    </row>
    <row r="260" customFormat="false" ht="12.75" hidden="false" customHeight="true" outlineLevel="0" collapsed="false">
      <c r="B260" s="6" t="s">
        <v>485</v>
      </c>
      <c r="J260" s="42" t="n">
        <v>3</v>
      </c>
      <c r="K260" s="83" t="n">
        <f aca="false">(K238*$J260*(1-$D$44)-K155+K146+K246)/$H$247</f>
        <v>0.94788225245648</v>
      </c>
      <c r="L260" s="83" t="n">
        <f aca="false">(L238*$J260*(1-$D$44)-L155+L146+L246)/$H$247</f>
        <v>1.03832436772999</v>
      </c>
      <c r="M260" s="83" t="n">
        <f aca="false">(M238*$J260*(1-$D$44)-M155+M146+M246)/$H$247</f>
        <v>1.13887166412998</v>
      </c>
    </row>
    <row r="261" customFormat="false" ht="12.75" hidden="false" customHeight="true" outlineLevel="0" collapsed="false">
      <c r="B261" s="6"/>
      <c r="J261" s="42" t="n">
        <v>4</v>
      </c>
      <c r="K261" s="83" t="n">
        <f aca="false">(K238*$J261*(1-$D$44)-K155+K146+K246)/$H$247</f>
        <v>1.15824377249255</v>
      </c>
      <c r="L261" s="83" t="n">
        <f aca="false">(L238*$J261*(1-$D$44)-L155+L146+L246)/$H$247</f>
        <v>1.23109318660804</v>
      </c>
      <c r="M261" s="83" t="n">
        <f aca="false">(M238*$J261*(1-$D$44)-M155+M146+M246)/$H$247</f>
        <v>1.32051054773948</v>
      </c>
    </row>
    <row r="262" customFormat="false" ht="12.75" hidden="false" customHeight="true" outlineLevel="0" collapsed="false">
      <c r="B262" s="6"/>
      <c r="J262" s="42" t="n">
        <v>5</v>
      </c>
      <c r="K262" s="83" t="n">
        <f aca="false">(K238*$J262*(1-$D$44)-K155+K146+K246)/$H$247</f>
        <v>1.36860529252861</v>
      </c>
      <c r="L262" s="83" t="n">
        <f aca="false">(L238*$J262*(1-$D$44)-L155+L146+L246)/$H$247</f>
        <v>1.42386200548609</v>
      </c>
      <c r="M262" s="83" t="n">
        <f aca="false">(M238*$J262*(1-$D$44)-M155+M146+M246)/$H$247</f>
        <v>1.50214943134898</v>
      </c>
    </row>
    <row r="263" customFormat="false" ht="12.75" hidden="false" customHeight="true" outlineLevel="0" collapsed="false">
      <c r="B263" s="6"/>
      <c r="J263" s="42" t="n">
        <v>6</v>
      </c>
      <c r="K263" s="83" t="n">
        <f aca="false">(K238*$J263*(1-$D$44)-K155+K146+K246)/$H$247</f>
        <v>1.57896681256468</v>
      </c>
      <c r="L263" s="83" t="n">
        <f aca="false">(L238*$J263*(1-$D$44)-L155+L146+L246)/$H$247</f>
        <v>1.61663082436413</v>
      </c>
      <c r="M263" s="83" t="n">
        <f aca="false">(M238*$J263*(1-$D$44)-M155+M146+M246)/$H$247</f>
        <v>1.68378831495847</v>
      </c>
    </row>
    <row r="264" customFormat="false" ht="12.75" hidden="false" customHeight="true" outlineLevel="0" collapsed="false">
      <c r="B264" s="6"/>
      <c r="J264" s="42" t="n">
        <v>7</v>
      </c>
      <c r="K264" s="83" t="n">
        <f aca="false">(K238*$J264*(1-$D$44)-K155+K146+K246)/$H$247</f>
        <v>1.78932833260075</v>
      </c>
      <c r="L264" s="83" t="n">
        <f aca="false">(L238*$J264*(1-$D$44)-L155+L146+L246)/$H$247</f>
        <v>1.80939964324218</v>
      </c>
      <c r="M264" s="83" t="n">
        <f aca="false">(M238*$J264*(1-$D$44)-M155+M146+M246)/$H$247</f>
        <v>1.86542719856797</v>
      </c>
    </row>
    <row r="265" customFormat="false" ht="12.75" hidden="false" customHeight="true" outlineLevel="0" collapsed="false">
      <c r="B265" s="6"/>
      <c r="J265" s="42" t="n">
        <v>8</v>
      </c>
      <c r="K265" s="83" t="n">
        <f aca="false">(K238*$J265*(1-$D$44)-K155+K146+K246)/$H$247</f>
        <v>1.99968985263681</v>
      </c>
      <c r="L265" s="83" t="n">
        <f aca="false">(L238*$J265*(1-$D$44)-L155+L146+L246)/$H$247</f>
        <v>2.00216846212023</v>
      </c>
      <c r="M265" s="83" t="n">
        <f aca="false">(M238*$J265*(1-$D$44)-M155+M146+M246)/$H$247</f>
        <v>2.04706608217747</v>
      </c>
    </row>
    <row r="266" customFormat="false" ht="12.75" hidden="false" customHeight="true" outlineLevel="0" collapsed="false">
      <c r="B266" s="6"/>
      <c r="J266" s="42" t="n">
        <v>9</v>
      </c>
      <c r="K266" s="83" t="n">
        <f aca="false">(K238*$J266*(1-$D$44)-K155+K146+K246)/$H$247</f>
        <v>2.21005137267288</v>
      </c>
      <c r="L266" s="83" t="n">
        <f aca="false">(L238*$J266*(1-$D$44)-L155+L146+L246)/$H$247</f>
        <v>2.19493728099827</v>
      </c>
      <c r="M266" s="83" t="n">
        <f aca="false">(M238*$J266*(1-$D$44)-M155+M146+M246)/$H$247</f>
        <v>2.22870496578696</v>
      </c>
    </row>
    <row r="267" customFormat="false" ht="12.75" hidden="false" customHeight="true" outlineLevel="0" collapsed="false"/>
    <row r="268" customFormat="false" ht="12.75" hidden="false" customHeight="true" outlineLevel="0" collapsed="false">
      <c r="B268" s="6" t="s">
        <v>486</v>
      </c>
      <c r="J268" s="42" t="n">
        <v>3</v>
      </c>
      <c r="K268" s="63" t="n">
        <f aca="false">IFERROR(IRR($H277:K277,0.15),IFERROR(IRR($H277:K277,-0.2),IFERROR(IRR($H277:K277,-0.6),-1)))</f>
        <v>-0.0176944991245399</v>
      </c>
      <c r="L268" s="63" t="n">
        <f aca="false">IFERROR(IRR($H278:L278,0.15),IFERROR(IRR($H278:L278,-0.2),IFERROR(IRR($H278:L278,-0.6),-1)))</f>
        <v>0.00982717363576971</v>
      </c>
      <c r="M268" s="63" t="n">
        <f aca="false">IFERROR(IRR($H279:M279,0.15),IFERROR(IRR($H279:M279,-0.2),IFERROR(IRR($H279:M279,-0.6),-1)))</f>
        <v>0.0287470677687333</v>
      </c>
    </row>
    <row r="269" customFormat="false" ht="12.75" hidden="false" customHeight="true" outlineLevel="0" collapsed="false">
      <c r="J269" s="42" t="n">
        <v>4</v>
      </c>
      <c r="K269" s="63" t="n">
        <f aca="false">IFERROR(IRR($H280:K280,0.15),IFERROR(IRR($H280:K280,-0.2),IFERROR(IRR($H280:K280,-0.6),-1)))</f>
        <v>0.050214497472757</v>
      </c>
      <c r="L269" s="63" t="n">
        <f aca="false">IFERROR(IRR($H281:L281,0.15),IFERROR(IRR($H281:L281,-0.2),IFERROR(IRR($H281:L281,-0.6),-1)))</f>
        <v>0.0552305236591195</v>
      </c>
      <c r="M269" s="63" t="n">
        <f aca="false">IFERROR(IRR($H282:M282,0.15),IFERROR(IRR($H282:M282,-0.2),IFERROR(IRR($H282:M282,-0.6),-1)))</f>
        <v>0.0617920824753091</v>
      </c>
    </row>
    <row r="270" customFormat="false" ht="12.75" hidden="false" customHeight="true" outlineLevel="0" collapsed="false">
      <c r="J270" s="42" t="n">
        <v>5</v>
      </c>
      <c r="K270" s="63" t="n">
        <f aca="false">IFERROR(IRR($H283:K283,0.15),IFERROR(IRR($H283:K283,-0.2),IFERROR(IRR($H283:K283,-0.6),-1)))</f>
        <v>0.110317476343462</v>
      </c>
      <c r="L270" s="63" t="n">
        <f aca="false">IFERROR(IRR($H284:L284,0.15),IFERROR(IRR($H284:L284,-0.2),IFERROR(IRR($H284:L284,-0.6),-1)))</f>
        <v>0.0952688600078381</v>
      </c>
      <c r="M270" s="63" t="n">
        <f aca="false">IFERROR(IRR($H285:M285,0.15),IFERROR(IRR($H285:M285,-0.2),IFERROR(IRR($H285:M285,-0.6),-1)))</f>
        <v>0.0909527572458684</v>
      </c>
    </row>
    <row r="271" customFormat="false" ht="12.75" hidden="false" customHeight="true" outlineLevel="0" collapsed="false">
      <c r="J271" s="42" t="n">
        <v>6</v>
      </c>
      <c r="K271" s="63" t="n">
        <f aca="false">IFERROR(IRR($H286:K286,0.15),IFERROR(IRR($H286:K286,-0.2),IFERROR(IRR($H286:K286,-0.6),-1)))</f>
        <v>0.16453250526261</v>
      </c>
      <c r="L271" s="63" t="n">
        <f aca="false">IFERROR(IRR($H287:L287,0.15),IFERROR(IRR($H287:L287,-0.2),IFERROR(IRR($H287:L287,-0.6),-1)))</f>
        <v>0.131231493196985</v>
      </c>
      <c r="M271" s="63" t="n">
        <f aca="false">IFERROR(IRR($H288:M288,0.15),IFERROR(IRR($H288:M288,-0.2),IFERROR(IRR($H288:M288,-0.6),-1)))</f>
        <v>0.117137443925596</v>
      </c>
    </row>
    <row r="272" customFormat="false" ht="12.75" hidden="false" customHeight="true" outlineLevel="0" collapsed="false">
      <c r="J272" s="42" t="n">
        <v>7</v>
      </c>
      <c r="K272" s="63" t="n">
        <f aca="false">IFERROR(IRR($H289:K289,0.15),IFERROR(IRR($H289:K289,-0.2),IFERROR(IRR($H289:K289,-0.6),-1)))</f>
        <v>0.214119241685562</v>
      </c>
      <c r="L272" s="63" t="n">
        <f aca="false">IFERROR(IRR($H290:L290,0.15),IFERROR(IRR($H290:L290,-0.2),IFERROR(IRR($H290:L290,-0.6),-1)))</f>
        <v>0.163977637072498</v>
      </c>
      <c r="M272" s="63" t="n">
        <f aca="false">IFERROR(IRR($H291:M291,0.15),IFERROR(IRR($H291:M291,-0.2),IFERROR(IRR($H291:M291,-0.6),-1)))</f>
        <v>0.140960082051168</v>
      </c>
    </row>
    <row r="273" customFormat="false" ht="12.75" hidden="false" customHeight="true" outlineLevel="0" collapsed="false">
      <c r="J273" s="42" t="n">
        <v>8</v>
      </c>
      <c r="K273" s="63" t="n">
        <f aca="false">IFERROR(IRR($H292:K292,0.15),IFERROR(IRR($H292:K292,-0.2),IFERROR(IRR($H292:K292,-0.6),-1)))</f>
        <v>0.259954653607733</v>
      </c>
      <c r="L273" s="63" t="n">
        <f aca="false">IFERROR(IRR($H293:L293,0.15),IFERROR(IRR($H293:L293,-0.2),IFERROR(IRR($H293:L293,-0.6),-1)))</f>
        <v>0.194111406695832</v>
      </c>
      <c r="M273" s="63" t="n">
        <f aca="false">IFERROR(IRR($H294:M294,0.15),IFERROR(IRR($H294:M294,-0.2),IFERROR(IRR($H294:M294,-0.6),-1)))</f>
        <v>0.162856740087402</v>
      </c>
    </row>
    <row r="274" customFormat="false" ht="12.75" hidden="false" customHeight="true" outlineLevel="0" collapsed="false">
      <c r="J274" s="42" t="n">
        <v>9</v>
      </c>
      <c r="K274" s="63" t="n">
        <f aca="false">IFERROR(IRR($H295:K295,0.15),IFERROR(IRR($H295:K295,-0.2),IFERROR(IRR($H295:K295,-0.6),-1)))</f>
        <v>0.30267669856049</v>
      </c>
      <c r="L274" s="63" t="n">
        <f aca="false">IFERROR(IRR($H296:L296,0.15),IFERROR(IRR($H296:L296,-0.2),IFERROR(IRR($H296:L296,-0.6),-1)))</f>
        <v>0.222075283697977</v>
      </c>
      <c r="M274" s="63" t="n">
        <f aca="false">IFERROR(IRR($H297:M297,0.15),IFERROR(IRR($H297:M297,-0.2),IFERROR(IRR($H297:M297,-0.6),-1)))</f>
        <v>0.183149236563057</v>
      </c>
    </row>
    <row r="275" customFormat="false" ht="12.75" hidden="false" customHeight="true" outlineLevel="0" collapsed="false"/>
    <row r="276" customFormat="false" ht="12.75" hidden="false" customHeight="true" outlineLevel="0" collapsed="false">
      <c r="B276" s="3" t="s">
        <v>487</v>
      </c>
    </row>
    <row r="277" customFormat="false" ht="12.75" hidden="false" customHeight="true" outlineLevel="0" collapsed="false">
      <c r="B277" s="90" t="s">
        <v>488</v>
      </c>
      <c r="G277" s="91" t="n">
        <f aca="false">J268</f>
        <v>3</v>
      </c>
      <c r="H277" s="92" t="n">
        <f aca="false">-$H$247</f>
        <v>-251.398238330972</v>
      </c>
      <c r="I277" s="92" t="n">
        <f aca="false">I245</f>
        <v>0</v>
      </c>
      <c r="J277" s="92" t="n">
        <f aca="false">J245</f>
        <v>0.454703371659619</v>
      </c>
      <c r="K277" s="92" t="n">
        <f aca="false">K245+K238*$G277*(1-$D$44)-K155+K146</f>
        <v>237.841225041093</v>
      </c>
    </row>
    <row r="278" customFormat="false" ht="12.75" hidden="false" customHeight="true" outlineLevel="0" collapsed="false">
      <c r="B278" s="90" t="s">
        <v>489</v>
      </c>
      <c r="G278" s="91" t="n">
        <f aca="false">J268</f>
        <v>3</v>
      </c>
      <c r="H278" s="92" t="n">
        <f aca="false">-$H$247</f>
        <v>-251.398238330972</v>
      </c>
      <c r="I278" s="92" t="n">
        <f aca="false">I245</f>
        <v>0</v>
      </c>
      <c r="J278" s="92" t="n">
        <f aca="false">J245</f>
        <v>0.454703371659619</v>
      </c>
      <c r="K278" s="92" t="n">
        <f aca="false">K245</f>
        <v>39.1876783920155</v>
      </c>
      <c r="L278" s="92" t="n">
        <f aca="false">L245+L238*$G278*(1-$D$44)-L155+L146</f>
        <v>221.390535099765</v>
      </c>
    </row>
    <row r="279" customFormat="false" ht="12.75" hidden="false" customHeight="true" outlineLevel="0" collapsed="false">
      <c r="B279" s="90" t="s">
        <v>490</v>
      </c>
      <c r="G279" s="91" t="n">
        <f aca="false">J268</f>
        <v>3</v>
      </c>
      <c r="H279" s="92" t="n">
        <f aca="false">-$H$247</f>
        <v>-251.398238330972</v>
      </c>
      <c r="I279" s="92" t="n">
        <f aca="false">I245</f>
        <v>0</v>
      </c>
      <c r="J279" s="92" t="n">
        <f aca="false">J245</f>
        <v>0.454703371659619</v>
      </c>
      <c r="K279" s="92" t="n">
        <f aca="false">K245</f>
        <v>39.1876783920155</v>
      </c>
      <c r="L279" s="92" t="n">
        <f aca="false">L245</f>
        <v>36.0053106865155</v>
      </c>
      <c r="M279" s="92" t="n">
        <f aca="false">M245+M238*$G279*(1-$D$44)-M155+M146</f>
        <v>210.66263759715</v>
      </c>
    </row>
    <row r="280" customFormat="false" ht="12.75" hidden="false" customHeight="true" outlineLevel="0" collapsed="false">
      <c r="B280" s="90" t="s">
        <v>491</v>
      </c>
      <c r="G280" s="91" t="n">
        <f aca="false">J269</f>
        <v>4</v>
      </c>
      <c r="H280" s="92" t="n">
        <f aca="false">-$H$247</f>
        <v>-251.398238330972</v>
      </c>
      <c r="I280" s="92" t="n">
        <f aca="false">I245</f>
        <v>0</v>
      </c>
      <c r="J280" s="92" t="n">
        <f aca="false">J245</f>
        <v>0.454703371659619</v>
      </c>
      <c r="K280" s="92" t="n">
        <f aca="false">K245+K238*$G280*(1-$D$44)-K155+K146</f>
        <v>290.725740590786</v>
      </c>
    </row>
    <row r="281" customFormat="false" ht="12.75" hidden="false" customHeight="true" outlineLevel="0" collapsed="false">
      <c r="B281" s="90" t="s">
        <v>492</v>
      </c>
      <c r="G281" s="91" t="n">
        <f aca="false">J269</f>
        <v>4</v>
      </c>
      <c r="H281" s="92" t="n">
        <f aca="false">-$H$247</f>
        <v>-251.398238330972</v>
      </c>
      <c r="I281" s="92" t="n">
        <f aca="false">I245</f>
        <v>0</v>
      </c>
      <c r="J281" s="92" t="n">
        <f aca="false">J245</f>
        <v>0.454703371659619</v>
      </c>
      <c r="K281" s="92" t="n">
        <f aca="false">K245</f>
        <v>39.1876783920155</v>
      </c>
      <c r="L281" s="92" t="n">
        <f aca="false">L245+L238*$G281*(1-$D$44)-L155+L146</f>
        <v>269.852276570849</v>
      </c>
    </row>
    <row r="282" customFormat="false" ht="12.75" hidden="false" customHeight="true" outlineLevel="0" collapsed="false">
      <c r="B282" s="90" t="s">
        <v>493</v>
      </c>
      <c r="G282" s="91" t="n">
        <f aca="false">J269</f>
        <v>4</v>
      </c>
      <c r="H282" s="92" t="n">
        <f aca="false">-$H$247</f>
        <v>-251.398238330972</v>
      </c>
      <c r="I282" s="92" t="n">
        <f aca="false">I245</f>
        <v>0</v>
      </c>
      <c r="J282" s="92" t="n">
        <f aca="false">J245</f>
        <v>0.454703371659619</v>
      </c>
      <c r="K282" s="92" t="n">
        <f aca="false">K245</f>
        <v>39.1876783920155</v>
      </c>
      <c r="L282" s="92" t="n">
        <f aca="false">L245</f>
        <v>36.0053106865155</v>
      </c>
      <c r="M282" s="92" t="n">
        <f aca="false">M245+M238*$G282*(1-$D$44)-M155+M146</f>
        <v>256.326332948982</v>
      </c>
    </row>
    <row r="283" customFormat="false" ht="12.75" hidden="false" customHeight="true" outlineLevel="0" collapsed="false">
      <c r="B283" s="90" t="s">
        <v>494</v>
      </c>
      <c r="G283" s="91" t="n">
        <f aca="false">J270</f>
        <v>5</v>
      </c>
      <c r="H283" s="92" t="n">
        <f aca="false">-$H$247</f>
        <v>-251.398238330972</v>
      </c>
      <c r="I283" s="92" t="n">
        <f aca="false">I245</f>
        <v>0</v>
      </c>
      <c r="J283" s="92" t="n">
        <f aca="false">J245</f>
        <v>0.454703371659619</v>
      </c>
      <c r="K283" s="92" t="n">
        <f aca="false">K245+K238*$G283*(1-$D$44)-K155+K146</f>
        <v>343.610256140479</v>
      </c>
    </row>
    <row r="284" customFormat="false" ht="12.75" hidden="false" customHeight="true" outlineLevel="0" collapsed="false">
      <c r="B284" s="90" t="s">
        <v>495</v>
      </c>
      <c r="G284" s="91" t="n">
        <f aca="false">J270</f>
        <v>5</v>
      </c>
      <c r="H284" s="92" t="n">
        <f aca="false">-$H$247</f>
        <v>-251.398238330972</v>
      </c>
      <c r="I284" s="92" t="n">
        <f aca="false">I245</f>
        <v>0</v>
      </c>
      <c r="J284" s="92" t="n">
        <f aca="false">J245</f>
        <v>0.454703371659619</v>
      </c>
      <c r="K284" s="92" t="n">
        <f aca="false">K245</f>
        <v>39.1876783920155</v>
      </c>
      <c r="L284" s="92" t="n">
        <f aca="false">L245+L238*$G284*(1-$D$44)-L155+L146</f>
        <v>318.314018041932</v>
      </c>
    </row>
    <row r="285" customFormat="false" ht="12.75" hidden="false" customHeight="true" outlineLevel="0" collapsed="false">
      <c r="B285" s="90" t="s">
        <v>496</v>
      </c>
      <c r="G285" s="91" t="n">
        <f aca="false">J270</f>
        <v>5</v>
      </c>
      <c r="H285" s="92" t="n">
        <f aca="false">-$H$247</f>
        <v>-251.398238330972</v>
      </c>
      <c r="I285" s="92" t="n">
        <f aca="false">I245</f>
        <v>0</v>
      </c>
      <c r="J285" s="92" t="n">
        <f aca="false">J245</f>
        <v>0.454703371659619</v>
      </c>
      <c r="K285" s="92" t="n">
        <f aca="false">K245</f>
        <v>39.1876783920155</v>
      </c>
      <c r="L285" s="92" t="n">
        <f aca="false">L245</f>
        <v>36.0053106865155</v>
      </c>
      <c r="M285" s="92" t="n">
        <f aca="false">M245+M238*$G285*(1-$D$44)-M155+M146</f>
        <v>301.990028300814</v>
      </c>
    </row>
    <row r="286" customFormat="false" ht="12.75" hidden="false" customHeight="true" outlineLevel="0" collapsed="false">
      <c r="B286" s="90" t="s">
        <v>497</v>
      </c>
      <c r="G286" s="91" t="n">
        <f aca="false">J271</f>
        <v>6</v>
      </c>
      <c r="H286" s="92" t="n">
        <f aca="false">-$H$247</f>
        <v>-251.398238330972</v>
      </c>
      <c r="I286" s="92" t="n">
        <f aca="false">I245</f>
        <v>0</v>
      </c>
      <c r="J286" s="92" t="n">
        <f aca="false">J245</f>
        <v>0.454703371659619</v>
      </c>
      <c r="K286" s="92" t="n">
        <f aca="false">K245+K238*$G286*(1-$D$44)-K155+K146</f>
        <v>396.494771690171</v>
      </c>
    </row>
    <row r="287" customFormat="false" ht="12.75" hidden="false" customHeight="true" outlineLevel="0" collapsed="false">
      <c r="B287" s="90" t="s">
        <v>498</v>
      </c>
      <c r="G287" s="91" t="n">
        <f aca="false">J271</f>
        <v>6</v>
      </c>
      <c r="H287" s="92" t="n">
        <f aca="false">-$H$247</f>
        <v>-251.398238330972</v>
      </c>
      <c r="I287" s="92" t="n">
        <f aca="false">I245</f>
        <v>0</v>
      </c>
      <c r="J287" s="92" t="n">
        <f aca="false">J245</f>
        <v>0.454703371659619</v>
      </c>
      <c r="K287" s="92" t="n">
        <f aca="false">K245</f>
        <v>39.1876783920155</v>
      </c>
      <c r="L287" s="92" t="n">
        <f aca="false">L245+L238*$G287*(1-$D$44)-L155+L146</f>
        <v>366.775759513015</v>
      </c>
    </row>
    <row r="288" customFormat="false" ht="12.75" hidden="false" customHeight="true" outlineLevel="0" collapsed="false">
      <c r="B288" s="90" t="s">
        <v>499</v>
      </c>
      <c r="G288" s="91" t="n">
        <f aca="false">J271</f>
        <v>6</v>
      </c>
      <c r="H288" s="92" t="n">
        <f aca="false">-$H$247</f>
        <v>-251.398238330972</v>
      </c>
      <c r="I288" s="92" t="n">
        <f aca="false">I245</f>
        <v>0</v>
      </c>
      <c r="J288" s="92" t="n">
        <f aca="false">J245</f>
        <v>0.454703371659619</v>
      </c>
      <c r="K288" s="92" t="n">
        <f aca="false">K245</f>
        <v>39.1876783920155</v>
      </c>
      <c r="L288" s="92" t="n">
        <f aca="false">L245</f>
        <v>36.0053106865155</v>
      </c>
      <c r="M288" s="92" t="n">
        <f aca="false">M245+M238*$G288*(1-$D$44)-M155+M146</f>
        <v>347.653723652646</v>
      </c>
    </row>
    <row r="289" customFormat="false" ht="12.75" hidden="false" customHeight="true" outlineLevel="0" collapsed="false">
      <c r="B289" s="90" t="s">
        <v>500</v>
      </c>
      <c r="G289" s="91" t="n">
        <f aca="false">J272</f>
        <v>7</v>
      </c>
      <c r="H289" s="92" t="n">
        <f aca="false">-$H$247</f>
        <v>-251.398238330972</v>
      </c>
      <c r="I289" s="92" t="n">
        <f aca="false">I245</f>
        <v>0</v>
      </c>
      <c r="J289" s="92" t="n">
        <f aca="false">J245</f>
        <v>0.454703371659619</v>
      </c>
      <c r="K289" s="92" t="n">
        <f aca="false">K245+K238*$G289*(1-$D$44)-K155+K146</f>
        <v>449.379287239864</v>
      </c>
    </row>
    <row r="290" customFormat="false" ht="12.75" hidden="false" customHeight="true" outlineLevel="0" collapsed="false">
      <c r="B290" s="90" t="s">
        <v>501</v>
      </c>
      <c r="G290" s="91" t="n">
        <f aca="false">J272</f>
        <v>7</v>
      </c>
      <c r="H290" s="92" t="n">
        <f aca="false">-$H$247</f>
        <v>-251.398238330972</v>
      </c>
      <c r="I290" s="92" t="n">
        <f aca="false">I245</f>
        <v>0</v>
      </c>
      <c r="J290" s="92" t="n">
        <f aca="false">J245</f>
        <v>0.454703371659619</v>
      </c>
      <c r="K290" s="92" t="n">
        <f aca="false">K245</f>
        <v>39.1876783920155</v>
      </c>
      <c r="L290" s="92" t="n">
        <f aca="false">L245+L238*$G290*(1-$D$44)-L155+L146</f>
        <v>415.237500984099</v>
      </c>
    </row>
    <row r="291" customFormat="false" ht="12.75" hidden="false" customHeight="true" outlineLevel="0" collapsed="false">
      <c r="B291" s="90" t="s">
        <v>502</v>
      </c>
      <c r="G291" s="91" t="n">
        <f aca="false">J272</f>
        <v>7</v>
      </c>
      <c r="H291" s="92" t="n">
        <f aca="false">-$H$247</f>
        <v>-251.398238330972</v>
      </c>
      <c r="I291" s="92" t="n">
        <f aca="false">I245</f>
        <v>0</v>
      </c>
      <c r="J291" s="92" t="n">
        <f aca="false">J245</f>
        <v>0.454703371659619</v>
      </c>
      <c r="K291" s="92" t="n">
        <f aca="false">K245</f>
        <v>39.1876783920155</v>
      </c>
      <c r="L291" s="92" t="n">
        <f aca="false">L245</f>
        <v>36.0053106865155</v>
      </c>
      <c r="M291" s="92" t="n">
        <f aca="false">M245+M238*$G291*(1-$D$44)-M155+M146</f>
        <v>393.317419004478</v>
      </c>
    </row>
    <row r="292" customFormat="false" ht="12.75" hidden="false" customHeight="true" outlineLevel="0" collapsed="false">
      <c r="B292" s="90" t="s">
        <v>503</v>
      </c>
      <c r="G292" s="91" t="n">
        <f aca="false">J273</f>
        <v>8</v>
      </c>
      <c r="H292" s="92" t="n">
        <f aca="false">-$H$247</f>
        <v>-251.398238330972</v>
      </c>
      <c r="I292" s="92" t="n">
        <f aca="false">I245</f>
        <v>0</v>
      </c>
      <c r="J292" s="92" t="n">
        <f aca="false">J245</f>
        <v>0.454703371659619</v>
      </c>
      <c r="K292" s="92" t="n">
        <f aca="false">K245+K238*$G292*(1-$D$44)-K155+K146</f>
        <v>502.263802789557</v>
      </c>
    </row>
    <row r="293" customFormat="false" ht="12.75" hidden="false" customHeight="true" outlineLevel="0" collapsed="false">
      <c r="B293" s="90" t="s">
        <v>504</v>
      </c>
      <c r="G293" s="91" t="n">
        <f aca="false">J273</f>
        <v>8</v>
      </c>
      <c r="H293" s="92" t="n">
        <f aca="false">-$H$247</f>
        <v>-251.398238330972</v>
      </c>
      <c r="I293" s="92" t="n">
        <f aca="false">I245</f>
        <v>0</v>
      </c>
      <c r="J293" s="92" t="n">
        <f aca="false">J245</f>
        <v>0.454703371659619</v>
      </c>
      <c r="K293" s="92" t="n">
        <f aca="false">K245</f>
        <v>39.1876783920155</v>
      </c>
      <c r="L293" s="92" t="n">
        <f aca="false">L245+L238*$G293*(1-$D$44)-L155+L146</f>
        <v>463.699242455182</v>
      </c>
    </row>
    <row r="294" customFormat="false" ht="12.75" hidden="false" customHeight="true" outlineLevel="0" collapsed="false">
      <c r="B294" s="90" t="s">
        <v>505</v>
      </c>
      <c r="G294" s="91" t="n">
        <f aca="false">J273</f>
        <v>8</v>
      </c>
      <c r="H294" s="92" t="n">
        <f aca="false">-$H$247</f>
        <v>-251.398238330972</v>
      </c>
      <c r="I294" s="92" t="n">
        <f aca="false">I245</f>
        <v>0</v>
      </c>
      <c r="J294" s="92" t="n">
        <f aca="false">J245</f>
        <v>0.454703371659619</v>
      </c>
      <c r="K294" s="92" t="n">
        <f aca="false">K245</f>
        <v>39.1876783920155</v>
      </c>
      <c r="L294" s="92" t="n">
        <f aca="false">L245</f>
        <v>36.0053106865155</v>
      </c>
      <c r="M294" s="92" t="n">
        <f aca="false">M245+M238*$G294*(1-$D$44)-M155+M146</f>
        <v>438.98111435631</v>
      </c>
    </row>
    <row r="295" customFormat="false" ht="12.75" hidden="false" customHeight="true" outlineLevel="0" collapsed="false">
      <c r="B295" s="90" t="s">
        <v>506</v>
      </c>
      <c r="G295" s="91" t="n">
        <f aca="false">J274</f>
        <v>9</v>
      </c>
      <c r="H295" s="92" t="n">
        <f aca="false">-$H$247</f>
        <v>-251.398238330972</v>
      </c>
      <c r="I295" s="92" t="n">
        <f aca="false">I245</f>
        <v>0</v>
      </c>
      <c r="J295" s="92" t="n">
        <f aca="false">J245</f>
        <v>0.454703371659619</v>
      </c>
      <c r="K295" s="92" t="n">
        <f aca="false">K245+K238*$G295*(1-$D$44)-K155+K146</f>
        <v>555.148318339249</v>
      </c>
    </row>
    <row r="296" customFormat="false" ht="12.75" hidden="false" customHeight="true" outlineLevel="0" collapsed="false">
      <c r="B296" s="90" t="s">
        <v>507</v>
      </c>
      <c r="G296" s="91" t="n">
        <f aca="false">J274</f>
        <v>9</v>
      </c>
      <c r="H296" s="92" t="n">
        <f aca="false">-$H$247</f>
        <v>-251.398238330972</v>
      </c>
      <c r="I296" s="92" t="n">
        <f aca="false">I245</f>
        <v>0</v>
      </c>
      <c r="J296" s="92" t="n">
        <f aca="false">J245</f>
        <v>0.454703371659619</v>
      </c>
      <c r="K296" s="92" t="n">
        <f aca="false">K245</f>
        <v>39.1876783920155</v>
      </c>
      <c r="L296" s="92" t="n">
        <f aca="false">L245+L238*$G296*(1-$D$44)-L155+L146</f>
        <v>512.160983926265</v>
      </c>
    </row>
    <row r="297" customFormat="false" ht="12.75" hidden="false" customHeight="true" outlineLevel="0" collapsed="false">
      <c r="B297" s="90" t="s">
        <v>508</v>
      </c>
      <c r="G297" s="91" t="n">
        <f aca="false">J274</f>
        <v>9</v>
      </c>
      <c r="H297" s="92" t="n">
        <f aca="false">-$H$247</f>
        <v>-251.398238330972</v>
      </c>
      <c r="I297" s="92" t="n">
        <f aca="false">I245</f>
        <v>0</v>
      </c>
      <c r="J297" s="92" t="n">
        <f aca="false">J245</f>
        <v>0.454703371659619</v>
      </c>
      <c r="K297" s="92" t="n">
        <f aca="false">K245</f>
        <v>39.1876783920155</v>
      </c>
      <c r="L297" s="92" t="n">
        <f aca="false">L245</f>
        <v>36.0053106865155</v>
      </c>
      <c r="M297" s="92" t="n">
        <f aca="false">M245+M238*$G297*(1-$D$44)-M155+M146</f>
        <v>484.644809708142</v>
      </c>
    </row>
    <row r="298" customFormat="false" ht="12.75" hidden="false" customHeight="true" outlineLevel="0" collapsed="false"/>
    <row r="299" customFormat="false" ht="12.75" hidden="false" customHeight="true" outlineLevel="0" collapsed="false"/>
  </sheetData>
  <conditionalFormatting sqref="D79:M79">
    <cfRule type="expression" priority="2" aboveAverage="0" equalAverage="0" bottom="0" percent="0" rank="0" text="" dxfId="0">
      <formula>AND(ISNUMBER(D79),ABS(D79)&gt;0.001)</formula>
    </cfRule>
  </conditionalFormatting>
  <conditionalFormatting sqref="D105:M105">
    <cfRule type="expression" priority="3" aboveAverage="0" equalAverage="0" bottom="0" percent="0" rank="0" text="" dxfId="0">
      <formula>AND(ISNUMBER(D105),ABS(D105)&gt;0.001)</formula>
    </cfRule>
  </conditionalFormatting>
  <conditionalFormatting sqref="D158:M158">
    <cfRule type="expression" priority="4" aboveAverage="0" equalAverage="0" bottom="0" percent="0" rank="0" text="" dxfId="0">
      <formula>AND(ISNUMBER(D158),ABS(D158)&gt;0.001)</formula>
    </cfRule>
  </conditionalFormatting>
  <conditionalFormatting sqref="D142:M142">
    <cfRule type="expression" priority="5" aboveAverage="0" equalAverage="0" bottom="0" percent="0" rank="0" text="" dxfId="0">
      <formula>AND(ISNUMBER(D142),ABS(D142)&gt;0.001)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B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5" min="3" style="0" width="12"/>
    <col collapsed="false" customWidth="true" hidden="false" outlineLevel="0" max="6" min="6" style="0" width="2"/>
    <col collapsed="false" customWidth="true" hidden="false" outlineLevel="0" max="9" min="7" style="0" width="12"/>
    <col collapsed="false" customWidth="true" hidden="false" outlineLevel="0" max="10" min="10" style="0" width="2"/>
    <col collapsed="false" customWidth="true" hidden="false" outlineLevel="0" max="11" min="11" style="0" width="5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509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true" outlineLevel="0" collapsed="false">
      <c r="B3" s="3" t="s">
        <v>510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6" t="s">
        <v>511</v>
      </c>
      <c r="C5" s="67" t="n">
        <f aca="false">LBO!M129</f>
        <v>46.3590815754639</v>
      </c>
      <c r="K5" s="54" t="s">
        <v>512</v>
      </c>
    </row>
    <row r="6" customFormat="false" ht="12.75" hidden="false" customHeight="true" outlineLevel="0" collapsed="false">
      <c r="B6" s="6" t="s">
        <v>513</v>
      </c>
      <c r="C6" s="67" t="n">
        <f aca="false">LBO!M155</f>
        <v>0</v>
      </c>
    </row>
    <row r="7" customFormat="false" ht="12.75" hidden="false" customHeight="true" outlineLevel="0" collapsed="false">
      <c r="B7" s="6" t="s">
        <v>514</v>
      </c>
      <c r="C7" s="67" t="n">
        <f aca="false">LBO!M146</f>
        <v>39.9999999999987</v>
      </c>
    </row>
    <row r="8" customFormat="false" ht="12.75" hidden="false" customHeight="true" outlineLevel="0" collapsed="false">
      <c r="B8" s="6" t="s">
        <v>515</v>
      </c>
      <c r="C8" s="71" t="n">
        <f aca="false">LBO!D44</f>
        <v>0.015</v>
      </c>
    </row>
    <row r="9" customFormat="false" ht="12.75" hidden="false" customHeight="true" outlineLevel="0" collapsed="false">
      <c r="B9" s="93" t="s">
        <v>516</v>
      </c>
    </row>
    <row r="10" customFormat="false" ht="12.75" hidden="false" customHeight="true" outlineLevel="0" collapsed="false">
      <c r="B10" s="6" t="s">
        <v>517</v>
      </c>
      <c r="C10" s="67" t="n">
        <f aca="false">LBO!D28</f>
        <v>235.469036669028</v>
      </c>
    </row>
    <row r="11" customFormat="false" ht="12.75" hidden="false" customHeight="true" outlineLevel="0" collapsed="false">
      <c r="B11" s="6" t="s">
        <v>518</v>
      </c>
      <c r="C11" s="67" t="n">
        <f aca="false">LBO!D73+LBO!D74+LBO!D75</f>
        <v>75</v>
      </c>
    </row>
    <row r="12" customFormat="false" ht="12.75" hidden="false" customHeight="true" outlineLevel="0" collapsed="false">
      <c r="B12" s="6" t="s">
        <v>331</v>
      </c>
      <c r="C12" s="67" t="n">
        <f aca="false">LBO!D69</f>
        <v>2.075</v>
      </c>
    </row>
    <row r="13" customFormat="false" ht="12.75" hidden="false" customHeight="true" outlineLevel="0" collapsed="false">
      <c r="B13" s="6" t="s">
        <v>519</v>
      </c>
      <c r="C13" s="70" t="n">
        <f aca="false">LBO!D39</f>
        <v>0.0275</v>
      </c>
    </row>
    <row r="14" customFormat="false" ht="12.75" hidden="false" customHeight="true" outlineLevel="0" collapsed="false">
      <c r="B14" s="6" t="s">
        <v>272</v>
      </c>
      <c r="C14" s="94" t="n">
        <f aca="false">LBO!D23</f>
        <v>50.68</v>
      </c>
    </row>
    <row r="15" customFormat="false" ht="12.75" hidden="false" customHeight="true" outlineLevel="0" collapsed="false">
      <c r="B15" s="6" t="s">
        <v>520</v>
      </c>
      <c r="C15" s="95" t="n">
        <f aca="false">LBO!D18</f>
        <v>8.24</v>
      </c>
    </row>
    <row r="16" customFormat="false" ht="12.75" hidden="false" customHeight="true" outlineLevel="0" collapsed="false">
      <c r="B16" s="6" t="s">
        <v>521</v>
      </c>
      <c r="C16" s="67" t="n">
        <f aca="false">LBO!D25</f>
        <v>275.469036669028</v>
      </c>
    </row>
    <row r="17" customFormat="false" ht="12.75" hidden="false" customHeight="true" outlineLevel="0" collapsed="false">
      <c r="B17" s="6" t="s">
        <v>522</v>
      </c>
      <c r="C17" s="67" t="n">
        <f aca="false">LBO!D30</f>
        <v>36.496922</v>
      </c>
    </row>
    <row r="18" customFormat="false" ht="12.75" hidden="false" customHeight="true" outlineLevel="0" collapsed="false"/>
    <row r="19" customFormat="false" ht="12.75" hidden="false" customHeight="true" outlineLevel="0" collapsed="false">
      <c r="B19" s="44" t="s">
        <v>523</v>
      </c>
      <c r="C19" s="96" t="n">
        <v>0.15</v>
      </c>
      <c r="D19" s="96" t="n">
        <v>0.2</v>
      </c>
      <c r="E19" s="96" t="n">
        <v>0.25</v>
      </c>
      <c r="F19" s="45"/>
      <c r="G19" s="45"/>
      <c r="H19" s="45"/>
      <c r="I19" s="45"/>
    </row>
    <row r="20" customFormat="false" ht="12.75" hidden="false" customHeight="true" outlineLevel="0" collapsed="false">
      <c r="B20" s="6" t="s">
        <v>524</v>
      </c>
      <c r="C20" s="67" t="n">
        <f aca="false">(NPV(C$19,LBO!I245:L245)+(LBO!M245+($G20*$C$5*(1-$C$8)-$C$6+$C$7))/(1+C$19)^5)</f>
        <v>151.433071382532</v>
      </c>
      <c r="D20" s="67" t="n">
        <f aca="false">(NPV(D$19,LBO!I245:L245)+(LBO!M245+($G20*$C$5*(1-$C$8)-$C$6+$C$7))/(1+D$19)^5)</f>
        <v>125.018082373529</v>
      </c>
      <c r="E20" s="67" t="n">
        <f aca="false">(NPV(E$19,LBO!I245:L245)+(LBO!M245+($G20*$C$5*(1-$C$8)-$C$6+$C$7))/(1+E$19)^5)</f>
        <v>104.132809839605</v>
      </c>
      <c r="G20" s="42" t="n">
        <v>3</v>
      </c>
    </row>
    <row r="21" customFormat="false" ht="12.75" hidden="false" customHeight="true" outlineLevel="0" collapsed="false">
      <c r="B21" s="6" t="s">
        <v>525</v>
      </c>
      <c r="C21" s="67" t="n">
        <f aca="false">(NPV(C$19,LBO!I245:L245)+(LBO!M245+($G21*$C$5*(1-$C$8)-$C$6+$C$7))/(1+C$19)^5)</f>
        <v>174.135998359211</v>
      </c>
      <c r="D21" s="67" t="n">
        <f aca="false">(NPV(D$19,LBO!I245:L245)+(LBO!M245+($G21*$C$5*(1-$C$8)-$C$6+$C$7))/(1+D$19)^5)</f>
        <v>143.369297390822</v>
      </c>
      <c r="E21" s="67" t="n">
        <f aca="false">(NPV(E$19,LBO!I245:L245)+(LBO!M245+($G21*$C$5*(1-$C$8)-$C$6+$C$7))/(1+E$19)^5)</f>
        <v>119.095889532493</v>
      </c>
      <c r="G21" s="42" t="n">
        <v>4</v>
      </c>
    </row>
    <row r="22" customFormat="false" ht="12.75" hidden="false" customHeight="true" outlineLevel="0" collapsed="false">
      <c r="B22" s="6" t="s">
        <v>526</v>
      </c>
      <c r="C22" s="67" t="n">
        <f aca="false">(NPV(C$19,LBO!I245:L245)+(LBO!M245+($G22*$C$5*(1-$C$8)-$C$6+$C$7))/(1+C$19)^5)</f>
        <v>196.838925335891</v>
      </c>
      <c r="D22" s="67" t="n">
        <f aca="false">(NPV(D$19,LBO!I245:L245)+(LBO!M245+($G22*$C$5*(1-$C$8)-$C$6+$C$7))/(1+D$19)^5)</f>
        <v>161.720512408116</v>
      </c>
      <c r="E22" s="67" t="n">
        <f aca="false">(NPV(E$19,LBO!I245:L245)+(LBO!M245+($G22*$C$5*(1-$C$8)-$C$6+$C$7))/(1+E$19)^5)</f>
        <v>134.058969225382</v>
      </c>
      <c r="G22" s="42" t="n">
        <v>5</v>
      </c>
    </row>
    <row r="23" customFormat="false" ht="12.75" hidden="false" customHeight="true" outlineLevel="0" collapsed="false">
      <c r="B23" s="6" t="s">
        <v>527</v>
      </c>
      <c r="C23" s="67" t="n">
        <f aca="false">(NPV(C$19,LBO!I245:L245)+(LBO!M245+($G23*$C$5*(1-$C$8)-$C$6+$C$7))/(1+C$19)^5)</f>
        <v>219.54185231257</v>
      </c>
      <c r="D23" s="67" t="n">
        <f aca="false">(NPV(D$19,LBO!I245:L245)+(LBO!M245+($G23*$C$5*(1-$C$8)-$C$6+$C$7))/(1+D$19)^5)</f>
        <v>180.071727425409</v>
      </c>
      <c r="E23" s="67" t="n">
        <f aca="false">(NPV(E$19,LBO!I245:L245)+(LBO!M245+($G23*$C$5*(1-$C$8)-$C$6+$C$7))/(1+E$19)^5)</f>
        <v>149.02204891827</v>
      </c>
      <c r="G23" s="42" t="n">
        <v>6</v>
      </c>
    </row>
    <row r="24" customFormat="false" ht="12.75" hidden="false" customHeight="true" outlineLevel="0" collapsed="false">
      <c r="B24" s="6" t="s">
        <v>528</v>
      </c>
      <c r="C24" s="67" t="n">
        <f aca="false">(NPV(C$19,LBO!I245:L245)+(LBO!M245+($G24*$C$5*(1-$C$8)-$C$6+$C$7))/(1+C$19)^5)</f>
        <v>242.24477928925</v>
      </c>
      <c r="D24" s="67" t="n">
        <f aca="false">(NPV(D$19,LBO!I245:L245)+(LBO!M245+($G24*$C$5*(1-$C$8)-$C$6+$C$7))/(1+D$19)^5)</f>
        <v>198.422942442703</v>
      </c>
      <c r="E24" s="67" t="n">
        <f aca="false">(NPV(E$19,LBO!I245:L245)+(LBO!M245+($G24*$C$5*(1-$C$8)-$C$6+$C$7))/(1+E$19)^5)</f>
        <v>163.985128611158</v>
      </c>
      <c r="G24" s="42" t="n">
        <v>7</v>
      </c>
    </row>
    <row r="25" customFormat="false" ht="12.75" hidden="false" customHeight="true" outlineLevel="0" collapsed="false">
      <c r="B25" s="6" t="s">
        <v>529</v>
      </c>
      <c r="C25" s="67" t="n">
        <f aca="false">(NPV(C$19,LBO!I245:L245)+(LBO!M245+($G25*$C$5*(1-$C$8)-$C$6+$C$7))/(1+C$19)^5)</f>
        <v>264.94770626593</v>
      </c>
      <c r="D25" s="67" t="n">
        <f aca="false">(NPV(D$19,LBO!I245:L245)+(LBO!M245+($G25*$C$5*(1-$C$8)-$C$6+$C$7))/(1+D$19)^5)</f>
        <v>216.774157459997</v>
      </c>
      <c r="E25" s="67" t="n">
        <f aca="false">(NPV(E$19,LBO!I245:L245)+(LBO!M245+($G25*$C$5*(1-$C$8)-$C$6+$C$7))/(1+E$19)^5)</f>
        <v>178.948208304046</v>
      </c>
      <c r="G25" s="42" t="n">
        <v>8</v>
      </c>
    </row>
    <row r="26" customFormat="false" ht="12.75" hidden="false" customHeight="true" outlineLevel="0" collapsed="false">
      <c r="B26" s="6" t="s">
        <v>530</v>
      </c>
      <c r="C26" s="67" t="n">
        <f aca="false">(NPV(C$19,LBO!I245:L245)+(LBO!M245+($G26*$C$5*(1-$C$8)-$C$6+$C$7))/(1+C$19)^5)</f>
        <v>287.650633242609</v>
      </c>
      <c r="D26" s="67" t="n">
        <f aca="false">(NPV(D$19,LBO!I245:L245)+(LBO!M245+($G26*$C$5*(1-$C$8)-$C$6+$C$7))/(1+D$19)^5)</f>
        <v>235.12537247729</v>
      </c>
      <c r="E26" s="67" t="n">
        <f aca="false">(NPV(E$19,LBO!I245:L245)+(LBO!M245+($G26*$C$5*(1-$C$8)-$C$6+$C$7))/(1+E$19)^5)</f>
        <v>193.911287996935</v>
      </c>
      <c r="G26" s="42" t="n">
        <v>9</v>
      </c>
    </row>
    <row r="27" customFormat="false" ht="12.75" hidden="false" customHeight="true" outlineLevel="0" collapsed="false"/>
    <row r="28" customFormat="false" ht="12.75" hidden="false" customHeight="true" outlineLevel="0" collapsed="false">
      <c r="B28" s="44" t="s">
        <v>531</v>
      </c>
      <c r="C28" s="96" t="n">
        <v>0.15</v>
      </c>
      <c r="D28" s="96" t="n">
        <v>0.2</v>
      </c>
      <c r="E28" s="96" t="n">
        <v>0.25</v>
      </c>
      <c r="F28" s="45"/>
      <c r="G28" s="45"/>
      <c r="H28" s="45"/>
      <c r="I28" s="45"/>
    </row>
    <row r="29" customFormat="false" ht="12.75" hidden="false" customHeight="true" outlineLevel="0" collapsed="false">
      <c r="B29" s="6" t="s">
        <v>524</v>
      </c>
      <c r="C29" s="69" t="n">
        <f aca="false">(C20+$C$10+$C$11-$C$12)/(1+$C$13)/$C$14</f>
        <v>8.83031372941734</v>
      </c>
      <c r="D29" s="69" t="n">
        <f aca="false">(D20+$C$10+$C$11-$C$12)/(1+$C$13)/$C$14</f>
        <v>8.3230521173367</v>
      </c>
      <c r="E29" s="69" t="n">
        <f aca="false">(E20+$C$10+$C$11-$C$12)/(1+$C$13)/$C$14</f>
        <v>7.92198070251648</v>
      </c>
      <c r="G29" s="42" t="n">
        <v>3</v>
      </c>
    </row>
    <row r="30" customFormat="false" ht="12.75" hidden="false" customHeight="true" outlineLevel="0" collapsed="false">
      <c r="B30" s="6" t="s">
        <v>525</v>
      </c>
      <c r="C30" s="69" t="n">
        <f aca="false">(C21+$C$10+$C$11-$C$12)/(1+$C$13)/$C$14</f>
        <v>9.26629056564521</v>
      </c>
      <c r="D30" s="69" t="n">
        <f aca="false">(D21+$C$10+$C$11-$C$12)/(1+$C$13)/$C$14</f>
        <v>8.67546062714671</v>
      </c>
      <c r="E30" s="69" t="n">
        <f aca="false">(E21+$C$10+$C$11-$C$12)/(1+$C$13)/$C$14</f>
        <v>8.20932497981747</v>
      </c>
      <c r="G30" s="42" t="n">
        <v>4</v>
      </c>
    </row>
    <row r="31" customFormat="false" ht="12.75" hidden="false" customHeight="true" outlineLevel="0" collapsed="false">
      <c r="B31" s="6" t="s">
        <v>526</v>
      </c>
      <c r="C31" s="69" t="n">
        <f aca="false">(C22+$C$10+$C$11-$C$12)/(1+$C$13)/$C$14</f>
        <v>9.70226740187309</v>
      </c>
      <c r="D31" s="69" t="n">
        <f aca="false">(D22+$C$10+$C$11-$C$12)/(1+$C$13)/$C$14</f>
        <v>9.02786913695672</v>
      </c>
      <c r="E31" s="69" t="n">
        <f aca="false">(E22+$C$10+$C$11-$C$12)/(1+$C$13)/$C$14</f>
        <v>8.49666925711845</v>
      </c>
      <c r="G31" s="42" t="n">
        <v>5</v>
      </c>
    </row>
    <row r="32" customFormat="false" ht="12.75" hidden="false" customHeight="true" outlineLevel="0" collapsed="false">
      <c r="B32" s="6" t="s">
        <v>527</v>
      </c>
      <c r="C32" s="69" t="n">
        <f aca="false">(C23+$C$10+$C$11-$C$12)/(1+$C$13)/$C$14</f>
        <v>10.138244238101</v>
      </c>
      <c r="D32" s="69" t="n">
        <f aca="false">(D23+$C$10+$C$11-$C$12)/(1+$C$13)/$C$14</f>
        <v>9.38027764676674</v>
      </c>
      <c r="E32" s="69" t="n">
        <f aca="false">(E23+$C$10+$C$11-$C$12)/(1+$C$13)/$C$14</f>
        <v>8.78401353441944</v>
      </c>
      <c r="G32" s="42" t="n">
        <v>6</v>
      </c>
    </row>
    <row r="33" customFormat="false" ht="12.75" hidden="false" customHeight="true" outlineLevel="0" collapsed="false">
      <c r="B33" s="6" t="s">
        <v>528</v>
      </c>
      <c r="C33" s="69" t="n">
        <f aca="false">(C24+$C$10+$C$11-$C$12)/(1+$C$13)/$C$14</f>
        <v>10.5742210743288</v>
      </c>
      <c r="D33" s="69" t="n">
        <f aca="false">(D24+$C$10+$C$11-$C$12)/(1+$C$13)/$C$14</f>
        <v>9.73268615657675</v>
      </c>
      <c r="E33" s="69" t="n">
        <f aca="false">(E24+$C$10+$C$11-$C$12)/(1+$C$13)/$C$14</f>
        <v>9.07135781172042</v>
      </c>
      <c r="G33" s="42" t="n">
        <v>7</v>
      </c>
    </row>
    <row r="34" customFormat="false" ht="12.75" hidden="false" customHeight="true" outlineLevel="0" collapsed="false">
      <c r="B34" s="6" t="s">
        <v>529</v>
      </c>
      <c r="C34" s="69" t="n">
        <f aca="false">(C25+$C$10+$C$11-$C$12)/(1+$C$13)/$C$14</f>
        <v>11.0101979105567</v>
      </c>
      <c r="D34" s="69" t="n">
        <f aca="false">(D25+$C$10+$C$11-$C$12)/(1+$C$13)/$C$14</f>
        <v>10.0850946663868</v>
      </c>
      <c r="E34" s="69" t="n">
        <f aca="false">(E25+$C$10+$C$11-$C$12)/(1+$C$13)/$C$14</f>
        <v>9.35870208902141</v>
      </c>
      <c r="G34" s="42" t="n">
        <v>8</v>
      </c>
    </row>
    <row r="35" customFormat="false" ht="12.75" hidden="false" customHeight="true" outlineLevel="0" collapsed="false">
      <c r="B35" s="6" t="s">
        <v>530</v>
      </c>
      <c r="C35" s="69" t="n">
        <f aca="false">(C26+$C$10+$C$11-$C$12)/(1+$C$13)/$C$14</f>
        <v>11.4461747467846</v>
      </c>
      <c r="D35" s="69" t="n">
        <f aca="false">(D26+$C$10+$C$11-$C$12)/(1+$C$13)/$C$14</f>
        <v>10.4375031761968</v>
      </c>
      <c r="E35" s="69" t="n">
        <f aca="false">(E26+$C$10+$C$11-$C$12)/(1+$C$13)/$C$14</f>
        <v>9.64604636632239</v>
      </c>
      <c r="G35" s="42" t="n">
        <v>9</v>
      </c>
    </row>
    <row r="36" customFormat="false" ht="12.75" hidden="false" customHeight="true" outlineLevel="0" collapsed="false"/>
    <row r="37" customFormat="false" ht="12.75" hidden="false" customHeight="true" outlineLevel="0" collapsed="false">
      <c r="B37" s="44" t="s">
        <v>532</v>
      </c>
      <c r="C37" s="96" t="n">
        <v>0.15</v>
      </c>
      <c r="D37" s="96" t="n">
        <v>0.2</v>
      </c>
      <c r="E37" s="96" t="n">
        <v>0.25</v>
      </c>
      <c r="F37" s="45"/>
      <c r="G37" s="45"/>
      <c r="H37" s="45"/>
      <c r="I37" s="45"/>
    </row>
    <row r="38" customFormat="false" ht="12.75" hidden="false" customHeight="true" outlineLevel="0" collapsed="false">
      <c r="B38" s="6" t="s">
        <v>524</v>
      </c>
      <c r="C38" s="63" t="n">
        <f aca="false">C29/$C$15-1</f>
        <v>0.0716400157059876</v>
      </c>
      <c r="D38" s="63" t="n">
        <f aca="false">D29/$C$15-1</f>
        <v>0.0100791404534832</v>
      </c>
      <c r="E38" s="63" t="n">
        <f aca="false">E29/$C$15-1</f>
        <v>-0.0385945749373202</v>
      </c>
      <c r="G38" s="42" t="n">
        <v>3</v>
      </c>
    </row>
    <row r="39" customFormat="false" ht="12.75" hidden="false" customHeight="true" outlineLevel="0" collapsed="false">
      <c r="B39" s="6" t="s">
        <v>525</v>
      </c>
      <c r="C39" s="63" t="n">
        <f aca="false">C30/$C$15-1</f>
        <v>0.124549825927817</v>
      </c>
      <c r="D39" s="63" t="n">
        <f aca="false">D30/$C$15-1</f>
        <v>0.0528471634886789</v>
      </c>
      <c r="E39" s="63" t="n">
        <f aca="false">E30/$C$15-1</f>
        <v>-0.00372269662409386</v>
      </c>
      <c r="G39" s="42" t="n">
        <v>4</v>
      </c>
    </row>
    <row r="40" customFormat="false" ht="12.75" hidden="false" customHeight="true" outlineLevel="0" collapsed="false">
      <c r="B40" s="6" t="s">
        <v>526</v>
      </c>
      <c r="C40" s="63" t="n">
        <f aca="false">C31/$C$15-1</f>
        <v>0.177459636149646</v>
      </c>
      <c r="D40" s="63" t="n">
        <f aca="false">D31/$C$15-1</f>
        <v>0.0956151865238744</v>
      </c>
      <c r="E40" s="63" t="n">
        <f aca="false">E31/$C$15-1</f>
        <v>0.0311491816891325</v>
      </c>
      <c r="G40" s="42" t="n">
        <v>5</v>
      </c>
    </row>
    <row r="41" customFormat="false" ht="12.75" hidden="false" customHeight="true" outlineLevel="0" collapsed="false">
      <c r="B41" s="6" t="s">
        <v>527</v>
      </c>
      <c r="C41" s="63" t="n">
        <f aca="false">C32/$C$15-1</f>
        <v>0.230369446371476</v>
      </c>
      <c r="D41" s="63" t="n">
        <f aca="false">D32/$C$15-1</f>
        <v>0.13838320955907</v>
      </c>
      <c r="E41" s="63" t="n">
        <f aca="false">E32/$C$15-1</f>
        <v>0.0660210600023587</v>
      </c>
      <c r="G41" s="42" t="n">
        <v>6</v>
      </c>
    </row>
    <row r="42" customFormat="false" ht="12.75" hidden="false" customHeight="true" outlineLevel="0" collapsed="false">
      <c r="B42" s="6" t="s">
        <v>528</v>
      </c>
      <c r="C42" s="63" t="n">
        <f aca="false">C33/$C$15-1</f>
        <v>0.283279256593305</v>
      </c>
      <c r="D42" s="63" t="n">
        <f aca="false">D33/$C$15-1</f>
        <v>0.181151232594265</v>
      </c>
      <c r="E42" s="63" t="n">
        <f aca="false">E33/$C$15-1</f>
        <v>0.100892938315585</v>
      </c>
      <c r="G42" s="42" t="n">
        <v>7</v>
      </c>
    </row>
    <row r="43" customFormat="false" ht="12.75" hidden="false" customHeight="true" outlineLevel="0" collapsed="false">
      <c r="B43" s="6" t="s">
        <v>529</v>
      </c>
      <c r="C43" s="63" t="n">
        <f aca="false">C34/$C$15-1</f>
        <v>0.336189066815135</v>
      </c>
      <c r="D43" s="63" t="n">
        <f aca="false">D34/$C$15-1</f>
        <v>0.223919255629461</v>
      </c>
      <c r="E43" s="63" t="n">
        <f aca="false">E34/$C$15-1</f>
        <v>0.135764816628811</v>
      </c>
      <c r="G43" s="42" t="n">
        <v>8</v>
      </c>
    </row>
    <row r="44" customFormat="false" ht="12.75" hidden="false" customHeight="true" outlineLevel="0" collapsed="false">
      <c r="B44" s="6" t="s">
        <v>530</v>
      </c>
      <c r="C44" s="63" t="n">
        <f aca="false">C35/$C$15-1</f>
        <v>0.389098877036964</v>
      </c>
      <c r="D44" s="63" t="n">
        <f aca="false">D35/$C$15-1</f>
        <v>0.266687278664656</v>
      </c>
      <c r="E44" s="63" t="n">
        <f aca="false">E35/$C$15-1</f>
        <v>0.170636694942038</v>
      </c>
      <c r="G44" s="42" t="n">
        <v>9</v>
      </c>
    </row>
    <row r="45" customFormat="false" ht="12.75" hidden="false" customHeight="true" outlineLevel="0" collapsed="false"/>
    <row r="46" customFormat="false" ht="12.75" hidden="false" customHeight="true" outlineLevel="0" collapsed="false">
      <c r="B46" s="44" t="s">
        <v>533</v>
      </c>
      <c r="C46" s="96" t="n">
        <v>0.15</v>
      </c>
      <c r="D46" s="96" t="n">
        <v>0.2</v>
      </c>
      <c r="E46" s="96" t="n">
        <v>0.25</v>
      </c>
      <c r="F46" s="45"/>
      <c r="G46" s="45"/>
      <c r="H46" s="45"/>
      <c r="I46" s="45"/>
    </row>
    <row r="47" customFormat="false" ht="12.75" hidden="false" customHeight="true" outlineLevel="0" collapsed="false">
      <c r="B47" s="6" t="s">
        <v>524</v>
      </c>
      <c r="C47" s="68" t="n">
        <f aca="false">(C29*$C$14-$C$16)/$C$17</f>
        <v>4.71413077348942</v>
      </c>
      <c r="D47" s="68" t="n">
        <f aca="false">(D29*$C$14-$C$16)/$C$17</f>
        <v>4.00974209928159</v>
      </c>
      <c r="E47" s="68" t="n">
        <f aca="false">(E29*$C$14-$C$16)/$C$17</f>
        <v>3.45281022148957</v>
      </c>
      <c r="G47" s="42" t="n">
        <v>3</v>
      </c>
    </row>
    <row r="48" customFormat="false" ht="12.75" hidden="false" customHeight="true" outlineLevel="0" collapsed="false">
      <c r="B48" s="6" t="s">
        <v>525</v>
      </c>
      <c r="C48" s="68" t="n">
        <f aca="false">(C30*$C$14-$C$16)/$C$17</f>
        <v>5.31953267724527</v>
      </c>
      <c r="D48" s="68" t="n">
        <f aca="false">(D30*$C$14-$C$16)/$C$17</f>
        <v>4.49910016835852</v>
      </c>
      <c r="E48" s="68" t="n">
        <f aca="false">(E30*$C$14-$C$16)/$C$17</f>
        <v>3.85181943036516</v>
      </c>
      <c r="G48" s="42" t="n">
        <v>4</v>
      </c>
    </row>
    <row r="49" customFormat="false" ht="12.75" hidden="false" customHeight="true" outlineLevel="0" collapsed="false">
      <c r="B49" s="6" t="s">
        <v>526</v>
      </c>
      <c r="C49" s="68" t="n">
        <f aca="false">(C31*$C$14-$C$16)/$C$17</f>
        <v>5.92493458100111</v>
      </c>
      <c r="D49" s="68" t="n">
        <f aca="false">(D31*$C$14-$C$16)/$C$17</f>
        <v>4.98845823743545</v>
      </c>
      <c r="E49" s="68" t="n">
        <f aca="false">(E31*$C$14-$C$16)/$C$17</f>
        <v>4.25082863924074</v>
      </c>
      <c r="G49" s="42" t="n">
        <v>5</v>
      </c>
    </row>
    <row r="50" customFormat="false" ht="12.75" hidden="false" customHeight="true" outlineLevel="0" collapsed="false">
      <c r="B50" s="6" t="s">
        <v>527</v>
      </c>
      <c r="C50" s="68" t="n">
        <f aca="false">(C32*$C$14-$C$16)/$C$17</f>
        <v>6.53033648475696</v>
      </c>
      <c r="D50" s="68" t="n">
        <f aca="false">(D32*$C$14-$C$16)/$C$17</f>
        <v>5.47781630651238</v>
      </c>
      <c r="E50" s="68" t="n">
        <f aca="false">(E32*$C$14-$C$16)/$C$17</f>
        <v>4.64983784811633</v>
      </c>
      <c r="G50" s="42" t="n">
        <v>6</v>
      </c>
    </row>
    <row r="51" customFormat="false" ht="12.75" hidden="false" customHeight="true" outlineLevel="0" collapsed="false">
      <c r="B51" s="6" t="s">
        <v>528</v>
      </c>
      <c r="C51" s="68" t="n">
        <f aca="false">(C33*$C$14-$C$16)/$C$17</f>
        <v>7.13573838851281</v>
      </c>
      <c r="D51" s="68" t="n">
        <f aca="false">(D33*$C$14-$C$16)/$C$17</f>
        <v>5.96717437558931</v>
      </c>
      <c r="E51" s="68" t="n">
        <f aca="false">(E33*$C$14-$C$16)/$C$17</f>
        <v>5.04884705699191</v>
      </c>
      <c r="G51" s="42" t="n">
        <v>7</v>
      </c>
    </row>
    <row r="52" customFormat="false" ht="12.75" hidden="false" customHeight="true" outlineLevel="0" collapsed="false">
      <c r="B52" s="6" t="s">
        <v>529</v>
      </c>
      <c r="C52" s="68" t="n">
        <f aca="false">(C34*$C$14-$C$16)/$C$17</f>
        <v>7.74114029226866</v>
      </c>
      <c r="D52" s="68" t="n">
        <f aca="false">(D34*$C$14-$C$16)/$C$17</f>
        <v>6.45653244466625</v>
      </c>
      <c r="E52" s="68" t="n">
        <f aca="false">(E34*$C$14-$C$16)/$C$17</f>
        <v>5.44785626586749</v>
      </c>
      <c r="G52" s="42" t="n">
        <v>8</v>
      </c>
    </row>
    <row r="53" customFormat="false" ht="12.75" hidden="false" customHeight="true" outlineLevel="0" collapsed="false">
      <c r="B53" s="6" t="s">
        <v>530</v>
      </c>
      <c r="C53" s="68" t="n">
        <f aca="false">(C35*$C$14-$C$16)/$C$17</f>
        <v>8.34654219602451</v>
      </c>
      <c r="D53" s="68" t="n">
        <f aca="false">(D35*$C$14-$C$16)/$C$17</f>
        <v>6.94589051374317</v>
      </c>
      <c r="E53" s="68" t="n">
        <f aca="false">(E35*$C$14-$C$16)/$C$17</f>
        <v>5.84686547474308</v>
      </c>
      <c r="G53" s="42" t="n">
        <v>9</v>
      </c>
    </row>
    <row r="54" customFormat="false" ht="12.75" hidden="false" customHeight="true" outlineLevel="0" collapsed="false"/>
    <row r="55" customFormat="false" ht="12.75" hidden="false" customHeight="true" outlineLevel="0" collapsed="false">
      <c r="B55" s="9" t="s">
        <v>534</v>
      </c>
      <c r="C55" s="10"/>
      <c r="D55" s="10"/>
      <c r="E55" s="10"/>
      <c r="F55" s="10"/>
      <c r="G55" s="10"/>
      <c r="H55" s="10"/>
      <c r="I55" s="10"/>
    </row>
    <row r="56" customFormat="false" ht="12.75" hidden="false" customHeight="true" outlineLevel="0" collapsed="false">
      <c r="B56" s="6" t="s">
        <v>535</v>
      </c>
      <c r="C56" s="72" t="n">
        <f aca="false">LBO!D43</f>
        <v>5.5</v>
      </c>
    </row>
    <row r="57" customFormat="false" ht="12.75" hidden="false" customHeight="true" outlineLevel="0" collapsed="false">
      <c r="B57" s="6" t="s">
        <v>536</v>
      </c>
      <c r="C57" s="11" t="n">
        <f aca="false">((NPV(0.15,LBO!I245:L245)+(LBO!M245+($C$56*$C$5*(1-$C$8)-$C$6+$C$7))/(1+0.15)^5)+$C$10+$C$11-$C$12)/(1+$C$13)/$C$14</f>
        <v>9.92025581998703</v>
      </c>
    </row>
    <row r="58" customFormat="false" ht="12.75" hidden="false" customHeight="true" outlineLevel="0" collapsed="false">
      <c r="B58" s="6" t="s">
        <v>537</v>
      </c>
      <c r="C58" s="11" t="n">
        <f aca="false">((NPV(0.2,LBO!I245:L245)+(LBO!M245+($C$56*$C$5*(1-$C$8)-$C$6+$C$7))/(1+0.2)^5)+$C$10+$C$11-$C$12)/(1+$C$13)/$C$14</f>
        <v>9.20407339186173</v>
      </c>
    </row>
    <row r="59" customFormat="false" ht="12.75" hidden="false" customHeight="true" outlineLevel="0" collapsed="false">
      <c r="B59" s="6" t="s">
        <v>538</v>
      </c>
      <c r="C59" s="11" t="n">
        <f aca="false">((NPV(0.25,LBO!I245:L245)+(LBO!M245+($C$56*$C$5*(1-$C$8)-$C$6+$C$7))/(1+0.25)^5)+$C$10+$C$11-$C$12)/(1+$C$13)/$C$14</f>
        <v>8.64034139576894</v>
      </c>
    </row>
    <row r="60" customFormat="false" ht="12.75" hidden="false" customHeight="true" outlineLevel="0" collapsed="false">
      <c r="B60" s="24" t="s">
        <v>539</v>
      </c>
      <c r="C60" s="97" t="n">
        <f aca="false">((NPV(LBO!D256,LBO!I245:L245)+(LBO!M245+($C$56*$C$5*(1-$C$8)-$C$6+$C$7))/(1+LBO!D256)^5)+$C$10+$C$11-$C$12)/(1+$C$13)/$C$14-LBO!D19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B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2"/>
    <col collapsed="false" customWidth="true" hidden="false" outlineLevel="0" max="6" min="6" style="0" width="6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540</v>
      </c>
      <c r="C2" s="2"/>
      <c r="D2" s="2"/>
      <c r="E2" s="2"/>
      <c r="F2" s="2"/>
    </row>
    <row r="3" customFormat="false" ht="12.75" hidden="false" customHeight="true" outlineLevel="0" collapsed="false">
      <c r="B3" s="3" t="s">
        <v>541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6" t="s">
        <v>542</v>
      </c>
      <c r="C5" s="67" t="n">
        <f aca="false">LBO!D29</f>
        <v>269.340963330972</v>
      </c>
      <c r="F5" s="54" t="s">
        <v>543</v>
      </c>
    </row>
    <row r="6" customFormat="false" ht="12.75" hidden="false" customHeight="true" outlineLevel="0" collapsed="false">
      <c r="B6" s="6" t="s">
        <v>544</v>
      </c>
      <c r="C6" s="67" t="n">
        <f aca="false">LBO!H129</f>
        <v>36.496922</v>
      </c>
    </row>
    <row r="7" customFormat="false" ht="12.75" hidden="false" customHeight="true" outlineLevel="0" collapsed="false">
      <c r="B7" s="6" t="s">
        <v>545</v>
      </c>
      <c r="C7" s="83" t="n">
        <f aca="false">C5/C6</f>
        <v>7.37982680651733</v>
      </c>
    </row>
    <row r="8" customFormat="false" ht="12.75" hidden="false" customHeight="true" outlineLevel="0" collapsed="false">
      <c r="B8" s="6" t="s">
        <v>546</v>
      </c>
      <c r="C8" s="67" t="n">
        <f aca="false">LBO!H113</f>
        <v>94.96424</v>
      </c>
    </row>
    <row r="9" customFormat="false" ht="12.75" hidden="false" customHeight="true" outlineLevel="0" collapsed="false">
      <c r="B9" s="6" t="s">
        <v>547</v>
      </c>
      <c r="C9" s="63" t="n">
        <f aca="false">C6/C8</f>
        <v>0.384322793506272</v>
      </c>
    </row>
    <row r="10" customFormat="false" ht="12.75" hidden="false" customHeight="true" outlineLevel="0" collapsed="false">
      <c r="B10" s="6" t="s">
        <v>548</v>
      </c>
      <c r="C10" s="67" t="n">
        <f aca="false">LBO!M129</f>
        <v>46.3590815754639</v>
      </c>
    </row>
    <row r="11" customFormat="false" ht="12.75" hidden="false" customHeight="true" outlineLevel="0" collapsed="false">
      <c r="B11" s="6" t="s">
        <v>464</v>
      </c>
      <c r="C11" s="98" t="n">
        <f aca="false">LBO!D43</f>
        <v>5.5</v>
      </c>
    </row>
    <row r="12" customFormat="false" ht="12.75" hidden="false" customHeight="true" outlineLevel="0" collapsed="false">
      <c r="B12" s="6" t="s">
        <v>465</v>
      </c>
      <c r="C12" s="67" t="n">
        <f aca="false">LBO!M240</f>
        <v>254.974948665051</v>
      </c>
    </row>
    <row r="13" customFormat="false" ht="12.75" hidden="false" customHeight="true" outlineLevel="0" collapsed="false">
      <c r="B13" s="6" t="s">
        <v>549</v>
      </c>
      <c r="C13" s="67" t="n">
        <f aca="false">LBO!M113</f>
        <v>77.2792548128653</v>
      </c>
    </row>
    <row r="14" customFormat="false" ht="12.75" hidden="false" customHeight="true" outlineLevel="0" collapsed="false">
      <c r="B14" s="6" t="s">
        <v>550</v>
      </c>
      <c r="C14" s="63" t="n">
        <f aca="false">C10/C13</f>
        <v>0.599890380513169</v>
      </c>
    </row>
    <row r="15" customFormat="false" ht="12.75" hidden="false" customHeight="true" outlineLevel="0" collapsed="false">
      <c r="B15" s="6" t="s">
        <v>551</v>
      </c>
      <c r="C15" s="67" t="n">
        <f aca="false">LBO!I102-LBO!I93</f>
        <v>35</v>
      </c>
    </row>
    <row r="16" customFormat="false" ht="12.75" hidden="false" customHeight="true" outlineLevel="0" collapsed="false">
      <c r="B16" s="6" t="s">
        <v>552</v>
      </c>
      <c r="C16" s="67" t="n">
        <f aca="false">LBO!M155-LBO!M146</f>
        <v>-39.9999999999987</v>
      </c>
    </row>
    <row r="17" customFormat="false" ht="12.75" hidden="false" customHeight="true" outlineLevel="0" collapsed="false">
      <c r="B17" s="6" t="s">
        <v>471</v>
      </c>
      <c r="C17" s="67" t="n">
        <f aca="false">LBO!M246</f>
        <v>109.319243991846</v>
      </c>
    </row>
    <row r="18" customFormat="false" ht="12.75" hidden="false" customHeight="true" outlineLevel="0" collapsed="false">
      <c r="B18" s="6" t="s">
        <v>553</v>
      </c>
      <c r="C18" s="67" t="n">
        <f aca="false">-(LBO!D68+LBO!D69)</f>
        <v>-17.057275</v>
      </c>
    </row>
    <row r="19" customFormat="false" ht="12.75" hidden="false" customHeight="true" outlineLevel="0" collapsed="false">
      <c r="B19" s="6" t="s">
        <v>554</v>
      </c>
      <c r="C19" s="67" t="n">
        <f aca="false">LBO!M243</f>
        <v>-3.82462422997577</v>
      </c>
    </row>
    <row r="20" customFormat="false" ht="12.75" hidden="false" customHeight="true" outlineLevel="0" collapsed="false">
      <c r="B20" s="6" t="s">
        <v>555</v>
      </c>
      <c r="C20" s="67" t="n">
        <f aca="false">LBO!D80</f>
        <v>251.398238330972</v>
      </c>
    </row>
    <row r="21" customFormat="false" ht="12.75" hidden="false" customHeight="true" outlineLevel="0" collapsed="false">
      <c r="B21" s="6" t="s">
        <v>556</v>
      </c>
      <c r="C21" s="67" t="n">
        <f aca="false">LBO!M244</f>
        <v>291.150324435074</v>
      </c>
    </row>
    <row r="22" customFormat="false" ht="12.75" hidden="false" customHeight="true" outlineLevel="0" collapsed="false"/>
    <row r="23" customFormat="false" ht="12.75" hidden="false" customHeight="true" outlineLevel="0" collapsed="false">
      <c r="B23" s="44" t="s">
        <v>557</v>
      </c>
      <c r="C23" s="99" t="s">
        <v>81</v>
      </c>
      <c r="D23" s="99" t="s">
        <v>558</v>
      </c>
    </row>
    <row r="24" customFormat="false" ht="12.75" hidden="false" customHeight="true" outlineLevel="0" collapsed="false">
      <c r="B24" s="6" t="s">
        <v>559</v>
      </c>
      <c r="C24" s="27" t="n">
        <f aca="false">(C13-C8)*C9*C7</f>
        <v>-50.1587855259711</v>
      </c>
      <c r="D24" s="63" t="n">
        <f aca="false">C24/$C$30</f>
        <v>-0.33647506528376</v>
      </c>
    </row>
    <row r="25" customFormat="false" ht="12.75" hidden="false" customHeight="true" outlineLevel="0" collapsed="false">
      <c r="B25" s="6" t="s">
        <v>560</v>
      </c>
      <c r="C25" s="27" t="n">
        <f aca="false">(C14-C9)*C13*C7</f>
        <v>122.939815131131</v>
      </c>
      <c r="D25" s="63" t="n">
        <f aca="false">C25/$C$30</f>
        <v>0.824704623296795</v>
      </c>
    </row>
    <row r="26" customFormat="false" ht="12.75" hidden="false" customHeight="true" outlineLevel="0" collapsed="false">
      <c r="B26" s="6" t="s">
        <v>561</v>
      </c>
      <c r="C26" s="27" t="n">
        <f aca="false">(C11-C7)*C10</f>
        <v>-87.1470442710809</v>
      </c>
      <c r="D26" s="63" t="n">
        <f aca="false">C26/$C$30</f>
        <v>-0.584599629016456</v>
      </c>
    </row>
    <row r="27" customFormat="false" ht="12.75" hidden="false" customHeight="true" outlineLevel="0" collapsed="false">
      <c r="B27" s="6" t="s">
        <v>562</v>
      </c>
      <c r="C27" s="27" t="n">
        <f aca="false">C15-C16+C17</f>
        <v>184.319243991845</v>
      </c>
      <c r="D27" s="63" t="n">
        <f aca="false">C27/$C$30</f>
        <v>1.2364499858773</v>
      </c>
    </row>
    <row r="28" customFormat="false" ht="12.75" hidden="false" customHeight="true" outlineLevel="0" collapsed="false">
      <c r="B28" s="6" t="s">
        <v>563</v>
      </c>
      <c r="C28" s="27" t="n">
        <f aca="false">C18</f>
        <v>-17.057275</v>
      </c>
      <c r="D28" s="63" t="n">
        <f aca="false">C28/$C$30</f>
        <v>-0.114423578222729</v>
      </c>
    </row>
    <row r="29" customFormat="false" ht="12.75" hidden="false" customHeight="true" outlineLevel="0" collapsed="false">
      <c r="B29" s="6" t="s">
        <v>554</v>
      </c>
      <c r="C29" s="27" t="n">
        <f aca="false">C19</f>
        <v>-3.82462422997577</v>
      </c>
      <c r="D29" s="63" t="n">
        <f aca="false">C29/$C$30</f>
        <v>-0.0256563366511461</v>
      </c>
    </row>
    <row r="30" customFormat="false" ht="12.75" hidden="false" customHeight="true" outlineLevel="0" collapsed="false">
      <c r="B30" s="4" t="s">
        <v>564</v>
      </c>
      <c r="C30" s="74" t="n">
        <f aca="false">SUM(C24:C29)</f>
        <v>149.071330095948</v>
      </c>
      <c r="D30" s="87" t="n">
        <f aca="false">C30/$C$30</f>
        <v>1</v>
      </c>
    </row>
    <row r="31" customFormat="false" ht="12.75" hidden="false" customHeight="true" outlineLevel="0" collapsed="false">
      <c r="B31" s="24" t="s">
        <v>565</v>
      </c>
      <c r="C31" s="100" t="n">
        <f aca="false">C21+C17-C20-C30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B1:BE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28" min="4" style="0" width="10.5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566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2.75" hidden="false" customHeight="true" outlineLevel="0" collapsed="false">
      <c r="B3" s="3" t="s">
        <v>567</v>
      </c>
    </row>
    <row r="4" customFormat="false" ht="12.75" hidden="false" customHeight="true" outlineLevel="0" collapsed="false">
      <c r="AL4" s="3" t="s">
        <v>568</v>
      </c>
      <c r="AS4" s="3" t="s">
        <v>569</v>
      </c>
    </row>
    <row r="5" customFormat="false" ht="12.75" hidden="false" customHeight="true" outlineLevel="0" collapsed="false">
      <c r="B5" s="9" t="s">
        <v>570</v>
      </c>
      <c r="C5" s="10"/>
      <c r="D5" s="10"/>
      <c r="E5" s="10"/>
      <c r="F5" s="10"/>
      <c r="G5" s="10"/>
      <c r="H5" s="10"/>
      <c r="I5" s="10"/>
      <c r="J5" s="10"/>
      <c r="K5" s="10"/>
      <c r="L5" s="10"/>
      <c r="AL5" s="101" t="n">
        <f aca="false">-($C$7*LBO!$D$23*(1+LBO!$D$39)+LBO!$D$84)</f>
        <v>-160.269263330972</v>
      </c>
      <c r="AM5" s="101" t="n">
        <f aca="false">LBO!I$245</f>
        <v>0</v>
      </c>
      <c r="AN5" s="101" t="n">
        <f aca="false">LBO!J$245</f>
        <v>0.454703371659619</v>
      </c>
      <c r="AO5" s="101" t="n">
        <f aca="false">LBO!K$245</f>
        <v>39.1876783920155</v>
      </c>
      <c r="AP5" s="101" t="n">
        <f aca="false">LBO!L$245</f>
        <v>36.0053106865155</v>
      </c>
      <c r="AQ5" s="101" t="n">
        <f aca="false">LBO!M$245+(LBO!$M$238*E$6*(1-LBO!$D$44)-LBO!$M$155+LBO!$M$146)</f>
        <v>210.66263759715</v>
      </c>
      <c r="AS5" s="101" t="n">
        <f aca="false">-($C$91*LBO!$D$23*(1+LBO!$D$39)+$Y$31)</f>
        <v>-166.010772075281</v>
      </c>
      <c r="AT5" s="92" t="n">
        <f aca="false">$Z$31</f>
        <v>0</v>
      </c>
      <c r="AU5" s="92" t="n">
        <f aca="false">$AA$31</f>
        <v>0</v>
      </c>
      <c r="AV5" s="92" t="n">
        <f aca="false">$AB$31</f>
        <v>12.2843218795599</v>
      </c>
      <c r="AW5" s="92" t="n">
        <f aca="false">$AC$31</f>
        <v>15.0707686617381</v>
      </c>
      <c r="AX5" s="92" t="n">
        <f aca="false">$AD$31+$R$31</f>
        <v>87.5525956716077</v>
      </c>
    </row>
    <row r="6" customFormat="false" ht="12.75" hidden="false" customHeight="true" outlineLevel="0" collapsed="false">
      <c r="C6" s="4" t="s">
        <v>571</v>
      </c>
      <c r="E6" s="102" t="n">
        <v>3</v>
      </c>
      <c r="F6" s="102" t="n">
        <v>4</v>
      </c>
      <c r="G6" s="102" t="n">
        <v>5</v>
      </c>
      <c r="H6" s="102" t="n">
        <v>6</v>
      </c>
      <c r="I6" s="102" t="n">
        <v>7</v>
      </c>
      <c r="J6" s="102" t="n">
        <v>8</v>
      </c>
      <c r="K6" s="102" t="n">
        <v>9</v>
      </c>
      <c r="AL6" s="101" t="n">
        <f aca="false">-($C$7*LBO!$D$23*(1+LBO!$D$39)+LBO!$D$84)</f>
        <v>-160.269263330972</v>
      </c>
      <c r="AM6" s="101" t="n">
        <f aca="false">LBO!I$245</f>
        <v>0</v>
      </c>
      <c r="AN6" s="101" t="n">
        <f aca="false">LBO!J$245</f>
        <v>0.454703371659619</v>
      </c>
      <c r="AO6" s="101" t="n">
        <f aca="false">LBO!K$245</f>
        <v>39.1876783920155</v>
      </c>
      <c r="AP6" s="101" t="n">
        <f aca="false">LBO!L$245</f>
        <v>36.0053106865155</v>
      </c>
      <c r="AQ6" s="101" t="n">
        <f aca="false">LBO!M$245+(LBO!$M$238*F$6*(1-LBO!$D$44)-LBO!$M$155+LBO!$M$146)</f>
        <v>256.326332948982</v>
      </c>
      <c r="AS6" s="101" t="n">
        <f aca="false">-($C$91*LBO!$D$23*(1+LBO!$D$39)+$Y$32)</f>
        <v>-165.62565707781</v>
      </c>
      <c r="AT6" s="92" t="n">
        <f aca="false">$Z$32</f>
        <v>0</v>
      </c>
      <c r="AU6" s="92" t="n">
        <f aca="false">$AA$32</f>
        <v>0</v>
      </c>
      <c r="AV6" s="92" t="n">
        <f aca="false">$AB$32</f>
        <v>29.3097429840168</v>
      </c>
      <c r="AW6" s="92" t="n">
        <f aca="false">$AC$32</f>
        <v>26.4142009338664</v>
      </c>
      <c r="AX6" s="92" t="n">
        <f aca="false">$AD$32+$R$32</f>
        <v>194.29903992322</v>
      </c>
    </row>
    <row r="7" customFormat="false" ht="12.75" hidden="false" customHeight="true" outlineLevel="0" collapsed="false">
      <c r="C7" s="40" t="n">
        <v>9</v>
      </c>
      <c r="D7" s="103" t="n">
        <f aca="false">C7/LBO!$D$18-1</f>
        <v>0.0922330097087378</v>
      </c>
      <c r="E7" s="63" t="n">
        <f aca="false">IF(-AL5&lt;=0,"n.m.",IFERROR(IRR(AL5:AQ5,0.15),IFERROR(IRR(AL5:AQ5,-0.2),IFERROR(IRR(AL5:AQ5,-0.6),-1))))</f>
        <v>0.135663572651804</v>
      </c>
      <c r="F7" s="63" t="n">
        <f aca="false">IF(-AL6&lt;=0,"n.m.",IFERROR(IRR(AL6:AQ6,0.15),IFERROR(IRR(AL6:AQ6,-0.2),IFERROR(IRR(AL6:AQ6,-0.6),-1))))</f>
        <v>0.171049517370305</v>
      </c>
      <c r="G7" s="63" t="n">
        <f aca="false">IF(-AL7&lt;=0,"n.m.",IFERROR(IRR(AL7:AQ7,0.15),IFERROR(IRR(AL7:AQ7,-0.2),IFERROR(IRR(AL7:AQ7,-0.6),-1))))</f>
        <v>0.202350902334937</v>
      </c>
      <c r="H7" s="63" t="n">
        <f aca="false">IF(-AL8&lt;=0,"n.m.",IFERROR(IRR(AL8:AQ8,0.15),IFERROR(IRR(AL8:AQ8,-0.2),IFERROR(IRR(AL8:AQ8,-0.6),-1))))</f>
        <v>0.230509327220373</v>
      </c>
      <c r="I7" s="63" t="n">
        <f aca="false">IF(-AL9&lt;=0,"n.m.",IFERROR(IRR(AL9:AQ9,0.15),IFERROR(IRR(AL9:AQ9,-0.2),IFERROR(IRR(AL9:AQ9,-0.6),-1))))</f>
        <v>0.256164853766494</v>
      </c>
      <c r="J7" s="63" t="n">
        <f aca="false">IF(-AL10&lt;=0,"n.m.",IFERROR(IRR(AL10:AQ10,0.15),IFERROR(IRR(AL10:AQ10,-0.2),IFERROR(IRR(AL10:AQ10,-0.6),-1))))</f>
        <v>0.279774126572464</v>
      </c>
      <c r="K7" s="63" t="n">
        <f aca="false">IF(-AL11&lt;=0,"n.m.",IFERROR(IRR(AL11:AQ11,0.15),IFERROR(IRR(AL11:AQ11,-0.2),IFERROR(IRR(AL11:AQ11,-0.6),-1))))</f>
        <v>0.301675351216857</v>
      </c>
      <c r="AL7" s="101" t="n">
        <f aca="false">-($C$7*LBO!$D$23*(1+LBO!$D$39)+LBO!$D$84)</f>
        <v>-160.269263330972</v>
      </c>
      <c r="AM7" s="101" t="n">
        <f aca="false">LBO!I$245</f>
        <v>0</v>
      </c>
      <c r="AN7" s="101" t="n">
        <f aca="false">LBO!J$245</f>
        <v>0.454703371659619</v>
      </c>
      <c r="AO7" s="101" t="n">
        <f aca="false">LBO!K$245</f>
        <v>39.1876783920155</v>
      </c>
      <c r="AP7" s="101" t="n">
        <f aca="false">LBO!L$245</f>
        <v>36.0053106865155</v>
      </c>
      <c r="AQ7" s="101" t="n">
        <f aca="false">LBO!M$245+(LBO!$M$238*G$6*(1-LBO!$D$44)-LBO!$M$155+LBO!$M$146)</f>
        <v>301.990028300814</v>
      </c>
      <c r="AS7" s="101" t="n">
        <f aca="false">-($C$91*LBO!$D$23*(1+LBO!$D$39)+$Y$33)</f>
        <v>-160.269263330972</v>
      </c>
      <c r="AT7" s="92" t="n">
        <f aca="false">$Z$33</f>
        <v>0</v>
      </c>
      <c r="AU7" s="92" t="n">
        <f aca="false">$AA$33</f>
        <v>0.454703371659619</v>
      </c>
      <c r="AV7" s="92" t="n">
        <f aca="false">$AB$33</f>
        <v>39.1876783920155</v>
      </c>
      <c r="AW7" s="92" t="n">
        <f aca="false">$AC$33</f>
        <v>36.0053106865155</v>
      </c>
      <c r="AX7" s="92" t="n">
        <f aca="false">$AD$33+$R$33</f>
        <v>324.82187597673</v>
      </c>
    </row>
    <row r="8" customFormat="false" ht="12.75" hidden="false" customHeight="true" outlineLevel="0" collapsed="false">
      <c r="C8" s="40" t="n">
        <v>9.5</v>
      </c>
      <c r="D8" s="103" t="n">
        <f aca="false">C8/LBO!$D$18-1</f>
        <v>0.152912621359223</v>
      </c>
      <c r="E8" s="63" t="n">
        <f aca="false">IF(-AL12&lt;=0,"n.m.",IFERROR(IRR(AL12:AQ12,0.15),IFERROR(IRR(AL12:AQ12,-0.2),IFERROR(IRR(AL12:AQ12,-0.6),-1))))</f>
        <v>0.0985790179381391</v>
      </c>
      <c r="F8" s="63" t="n">
        <f aca="false">IF(-AL13&lt;=0,"n.m.",IFERROR(IRR(AL13:AQ13,0.15),IFERROR(IRR(AL13:AQ13,-0.2),IFERROR(IRR(AL13:AQ13,-0.6),-1))))</f>
        <v>0.133176563043948</v>
      </c>
      <c r="G8" s="63" t="n">
        <f aca="false">IF(-AL14&lt;=0,"n.m.",IFERROR(IRR(AL14:AQ14,0.15),IFERROR(IRR(AL14:AQ14,-0.2),IFERROR(IRR(AL14:AQ14,-0.6),-1))))</f>
        <v>0.163754917865549</v>
      </c>
      <c r="H8" s="63" t="n">
        <f aca="false">IF(-AL15&lt;=0,"n.m.",IFERROR(IRR(AL15:AQ15,0.15),IFERROR(IRR(AL15:AQ15,-0.2),IFERROR(IRR(AL15:AQ15,-0.6),-1))))</f>
        <v>0.191245300308898</v>
      </c>
      <c r="I8" s="63" t="n">
        <f aca="false">IF(-AL16&lt;=0,"n.m.",IFERROR(IRR(AL16:AQ16,0.15),IFERROR(IRR(AL16:AQ16,-0.2),IFERROR(IRR(AL16:AQ16,-0.6),-1))))</f>
        <v>0.216279445222222</v>
      </c>
      <c r="J8" s="63" t="n">
        <f aca="false">IF(-AL17&lt;=0,"n.m.",IFERROR(IRR(AL17:AQ17,0.15),IFERROR(IRR(AL17:AQ17,-0.2),IFERROR(IRR(AL17:AQ17,-0.6),-1))))</f>
        <v>0.239307354423759</v>
      </c>
      <c r="K8" s="63" t="n">
        <f aca="false">IF(-AL18&lt;=0,"n.m.",IFERROR(IRR(AL18:AQ18,0.15),IFERROR(IRR(AL18:AQ18,-0.2),IFERROR(IRR(AL18:AQ18,-0.6),-1))))</f>
        <v>0.260661896954999</v>
      </c>
      <c r="AL8" s="101" t="n">
        <f aca="false">-($C$7*LBO!$D$23*(1+LBO!$D$39)+LBO!$D$84)</f>
        <v>-160.269263330972</v>
      </c>
      <c r="AM8" s="101" t="n">
        <f aca="false">LBO!I$245</f>
        <v>0</v>
      </c>
      <c r="AN8" s="101" t="n">
        <f aca="false">LBO!J$245</f>
        <v>0.454703371659619</v>
      </c>
      <c r="AO8" s="101" t="n">
        <f aca="false">LBO!K$245</f>
        <v>39.1876783920155</v>
      </c>
      <c r="AP8" s="101" t="n">
        <f aca="false">LBO!L$245</f>
        <v>36.0053106865155</v>
      </c>
      <c r="AQ8" s="101" t="n">
        <f aca="false">LBO!M$245+(LBO!$M$238*H$6*(1-LBO!$D$44)-LBO!$M$155+LBO!$M$146)</f>
        <v>347.653723652646</v>
      </c>
      <c r="AS8" s="101" t="n">
        <f aca="false">-($C$91*LBO!$D$23*(1+LBO!$D$39)+$Y$34)</f>
        <v>-159.884148333502</v>
      </c>
      <c r="AT8" s="92" t="n">
        <f aca="false">$Z$34</f>
        <v>0</v>
      </c>
      <c r="AU8" s="92" t="n">
        <f aca="false">$AA$34</f>
        <v>9.36196165821613</v>
      </c>
      <c r="AV8" s="92" t="n">
        <f aca="false">$AB$34</f>
        <v>48.8061378955752</v>
      </c>
      <c r="AW8" s="92" t="n">
        <f aca="false">$AC$34</f>
        <v>49.6908112109533</v>
      </c>
      <c r="AX8" s="92" t="n">
        <f aca="false">$AD$34+$R$34</f>
        <v>579.079170164906</v>
      </c>
    </row>
    <row r="9" customFormat="false" ht="12.75" hidden="false" customHeight="true" outlineLevel="0" collapsed="false">
      <c r="C9" s="40" t="n">
        <v>10</v>
      </c>
      <c r="D9" s="103" t="n">
        <f aca="false">C9/LBO!$D$18-1</f>
        <v>0.213592233009709</v>
      </c>
      <c r="E9" s="63" t="n">
        <f aca="false">IF(-AL19&lt;=0,"n.m.",IFERROR(IRR(AL19:AQ19,0.15),IFERROR(IRR(AL19:AQ19,-0.2),IFERROR(IRR(AL19:AQ19,-0.6),-1))))</f>
        <v>0.067459459639659</v>
      </c>
      <c r="F9" s="63" t="n">
        <f aca="false">IF(-AL20&lt;=0,"n.m.",IFERROR(IRR(AL20:AQ20,0.15),IFERROR(IRR(AL20:AQ20,-0.2),IFERROR(IRR(AL20:AQ20,-0.6),-1))))</f>
        <v>0.101376166909823</v>
      </c>
      <c r="G9" s="63" t="n">
        <f aca="false">IF(-AL21&lt;=0,"n.m.",IFERROR(IRR(AL21:AQ21,0.15),IFERROR(IRR(AL21:AQ21,-0.2),IFERROR(IRR(AL21:AQ21,-0.6),-1))))</f>
        <v>0.131331860047319</v>
      </c>
      <c r="H9" s="63" t="n">
        <f aca="false">IF(-AL22&lt;=0,"n.m.",IFERROR(IRR(AL22:AQ22,0.15),IFERROR(IRR(AL22:AQ22,-0.2),IFERROR(IRR(AL22:AQ22,-0.6),-1))))</f>
        <v>0.158248110732753</v>
      </c>
      <c r="I9" s="63" t="n">
        <f aca="false">IF(-AL23&lt;=0,"n.m.",IFERROR(IRR(AL23:AQ23,0.15),IFERROR(IRR(AL23:AQ23,-0.2),IFERROR(IRR(AL23:AQ23,-0.6),-1))))</f>
        <v>0.182749069466384</v>
      </c>
      <c r="J9" s="63" t="n">
        <f aca="false">IF(-AL24&lt;=0,"n.m.",IFERROR(IRR(AL24:AQ24,0.15),IFERROR(IRR(AL24:AQ24,-0.2),IFERROR(IRR(AL24:AQ24,-0.6),-1))))</f>
        <v>0.205278761368786</v>
      </c>
      <c r="K9" s="63" t="n">
        <f aca="false">IF(-AL25&lt;=0,"n.m.",IFERROR(IRR(AL25:AQ25,0.15),IFERROR(IRR(AL25:AQ25,-0.2),IFERROR(IRR(AL25:AQ25,-0.6),-1))))</f>
        <v>0.226165294191006</v>
      </c>
      <c r="AL9" s="101" t="n">
        <f aca="false">-($C$7*LBO!$D$23*(1+LBO!$D$39)+LBO!$D$84)</f>
        <v>-160.269263330972</v>
      </c>
      <c r="AM9" s="101" t="n">
        <f aca="false">LBO!I$245</f>
        <v>0</v>
      </c>
      <c r="AN9" s="101" t="n">
        <f aca="false">LBO!J$245</f>
        <v>0.454703371659619</v>
      </c>
      <c r="AO9" s="101" t="n">
        <f aca="false">LBO!K$245</f>
        <v>39.1876783920155</v>
      </c>
      <c r="AP9" s="101" t="n">
        <f aca="false">LBO!L$245</f>
        <v>36.0053106865155</v>
      </c>
      <c r="AQ9" s="101" t="n">
        <f aca="false">LBO!M$245+(LBO!$M$238*I$6*(1-LBO!$D$44)-LBO!$M$155+LBO!$M$146)</f>
        <v>393.317419004478</v>
      </c>
      <c r="AS9" s="101" t="n">
        <f aca="false">-($C$91*LBO!$D$23*(1+LBO!$D$39)+$Y$35)</f>
        <v>-159.884148333502</v>
      </c>
      <c r="AT9" s="92" t="n">
        <f aca="false">$Z$35</f>
        <v>0</v>
      </c>
      <c r="AU9" s="92" t="n">
        <f aca="false">$AA$35</f>
        <v>0</v>
      </c>
      <c r="AV9" s="92" t="n">
        <f aca="false">$AB$35</f>
        <v>25.3706125049548</v>
      </c>
      <c r="AW9" s="92" t="n">
        <f aca="false">$AC$35</f>
        <v>47.6508112109533</v>
      </c>
      <c r="AX9" s="92" t="n">
        <f aca="false">$AD$35+$R$35</f>
        <v>887.976688561937</v>
      </c>
    </row>
    <row r="10" customFormat="false" ht="12.75" hidden="false" customHeight="true" outlineLevel="0" collapsed="false">
      <c r="C10" s="40" t="n">
        <v>10.5</v>
      </c>
      <c r="D10" s="103" t="n">
        <f aca="false">C10/LBO!$D$18-1</f>
        <v>0.274271844660194</v>
      </c>
      <c r="E10" s="63" t="n">
        <f aca="false">IF(-AL26&lt;=0,"n.m.",IFERROR(IRR(AL26:AQ26,0.15),IFERROR(IRR(AL26:AQ26,-0.2),IFERROR(IRR(AL26:AQ26,-0.6),-1))))</f>
        <v>0.0407668310042431</v>
      </c>
      <c r="F10" s="63" t="n">
        <f aca="false">IF(-AL27&lt;=0,"n.m.",IFERROR(IRR(AL27:AQ27,0.15),IFERROR(IRR(AL27:AQ27,-0.2),IFERROR(IRR(AL27:AQ27,-0.6),-1))))</f>
        <v>0.0740854453806719</v>
      </c>
      <c r="G10" s="63" t="n">
        <f aca="false">IF(-AL28&lt;=0,"n.m.",IFERROR(IRR(AL28:AQ28,0.15),IFERROR(IRR(AL28:AQ28,-0.2),IFERROR(IRR(AL28:AQ28,-0.6),-1))))</f>
        <v>0.10349539803506</v>
      </c>
      <c r="H10" s="63" t="n">
        <f aca="false">IF(-AL29&lt;=0,"n.m.",IFERROR(IRR(AL29:AQ29,0.15),IFERROR(IRR(AL29:AQ29,-0.2),IFERROR(IRR(AL29:AQ29,-0.6),-1))))</f>
        <v>0.129909292093767</v>
      </c>
      <c r="I10" s="63" t="n">
        <f aca="false">IF(-AL30&lt;=0,"n.m.",IFERROR(IRR(AL30:AQ30,0.15),IFERROR(IRR(AL30:AQ30,-0.2),IFERROR(IRR(AL30:AQ30,-0.6),-1))))</f>
        <v>0.153944330585351</v>
      </c>
      <c r="J10" s="63" t="n">
        <f aca="false">IF(-AL31&lt;=0,"n.m.",IFERROR(IRR(AL31:AQ31,0.15),IFERROR(IRR(AL31:AQ31,-0.2),IFERROR(IRR(AL31:AQ31,-0.6),-1))))</f>
        <v>0.176039114911487</v>
      </c>
      <c r="K10" s="63" t="n">
        <f aca="false">IF(-AL32&lt;=0,"n.m.",IFERROR(IRR(AL32:AQ32,0.15),IFERROR(IRR(AL32:AQ32,-0.2),IFERROR(IRR(AL32:AQ32,-0.6),-1))))</f>
        <v>0.196517460143355</v>
      </c>
      <c r="AL10" s="101" t="n">
        <f aca="false">-($C$7*LBO!$D$23*(1+LBO!$D$39)+LBO!$D$84)</f>
        <v>-160.269263330972</v>
      </c>
      <c r="AM10" s="101" t="n">
        <f aca="false">LBO!I$245</f>
        <v>0</v>
      </c>
      <c r="AN10" s="101" t="n">
        <f aca="false">LBO!J$245</f>
        <v>0.454703371659619</v>
      </c>
      <c r="AO10" s="101" t="n">
        <f aca="false">LBO!K$245</f>
        <v>39.1876783920155</v>
      </c>
      <c r="AP10" s="101" t="n">
        <f aca="false">LBO!L$245</f>
        <v>36.0053106865155</v>
      </c>
      <c r="AQ10" s="101" t="n">
        <f aca="false">LBO!M$245+(LBO!$M$238*J$6*(1-LBO!$D$44)-LBO!$M$155+LBO!$M$146)</f>
        <v>438.98111435631</v>
      </c>
      <c r="AS10" s="101" t="n">
        <f aca="false">-($C$92*LBO!$D$23*(1+LBO!$D$39)+$Y$31)</f>
        <v>-192.047622075281</v>
      </c>
      <c r="AT10" s="92" t="n">
        <f aca="false">$Z$31</f>
        <v>0</v>
      </c>
      <c r="AU10" s="92" t="n">
        <f aca="false">$AA$31</f>
        <v>0</v>
      </c>
      <c r="AV10" s="92" t="n">
        <f aca="false">$AB$31</f>
        <v>12.2843218795599</v>
      </c>
      <c r="AW10" s="92" t="n">
        <f aca="false">$AC$31</f>
        <v>15.0707686617381</v>
      </c>
      <c r="AX10" s="92" t="n">
        <f aca="false">$AD$31+$R$31</f>
        <v>87.5525956716077</v>
      </c>
    </row>
    <row r="11" customFormat="false" ht="12.75" hidden="false" customHeight="true" outlineLevel="0" collapsed="false">
      <c r="C11" s="40" t="n">
        <v>11</v>
      </c>
      <c r="D11" s="103" t="n">
        <f aca="false">C11/LBO!$D$18-1</f>
        <v>0.33495145631068</v>
      </c>
      <c r="E11" s="63" t="n">
        <f aca="false">IF(-AL33&lt;=0,"n.m.",IFERROR(IRR(AL33:AQ33,0.15),IFERROR(IRR(AL33:AQ33,-0.2),IFERROR(IRR(AL33:AQ33,-0.6),-1))))</f>
        <v>0.0174777608302812</v>
      </c>
      <c r="F11" s="63" t="n">
        <f aca="false">IF(-AL34&lt;=0,"n.m.",IFERROR(IRR(AL34:AQ34,0.15),IFERROR(IRR(AL34:AQ34,-0.2),IFERROR(IRR(AL34:AQ34,-0.6),-1))))</f>
        <v>0.0502638372838404</v>
      </c>
      <c r="G11" s="63" t="n">
        <f aca="false">IF(-AL35&lt;=0,"n.m.",IFERROR(IRR(AL35:AQ35,0.15),IFERROR(IRR(AL35:AQ35,-0.2),IFERROR(IRR(AL35:AQ35,-0.6),-1))))</f>
        <v>0.0791888016802389</v>
      </c>
      <c r="H11" s="63" t="n">
        <f aca="false">IF(-AL36&lt;=0,"n.m.",IFERROR(IRR(AL36:AQ36,0.15),IFERROR(IRR(AL36:AQ36,-0.2),IFERROR(IRR(AL36:AQ36,-0.6),-1))))</f>
        <v>0.105156898739874</v>
      </c>
      <c r="I11" s="63" t="n">
        <f aca="false">IF(-AL37&lt;=0,"n.m.",IFERROR(IRR(AL37:AQ37,0.15),IFERROR(IRR(AL37:AQ37,-0.2),IFERROR(IRR(AL37:AQ37,-0.6),-1))))</f>
        <v>0.128778931424626</v>
      </c>
      <c r="J11" s="63" t="n">
        <f aca="false">IF(-AL38&lt;=0,"n.m.",IFERROR(IRR(AL38:AQ38,0.15),IFERROR(IRR(AL38:AQ38,-0.2),IFERROR(IRR(AL38:AQ38,-0.6),-1))))</f>
        <v>0.150488541906333</v>
      </c>
      <c r="K11" s="63" t="n">
        <f aca="false">IF(-AL39&lt;=0,"n.m.",IFERROR(IRR(AL39:AQ39,0.15),IFERROR(IRR(AL39:AQ39,-0.2),IFERROR(IRR(AL39:AQ39,-0.6),-1))))</f>
        <v>0.170605640754872</v>
      </c>
      <c r="AL11" s="101" t="n">
        <f aca="false">-($C$7*LBO!$D$23*(1+LBO!$D$39)+LBO!$D$84)</f>
        <v>-160.269263330972</v>
      </c>
      <c r="AM11" s="101" t="n">
        <f aca="false">LBO!I$245</f>
        <v>0</v>
      </c>
      <c r="AN11" s="101" t="n">
        <f aca="false">LBO!J$245</f>
        <v>0.454703371659619</v>
      </c>
      <c r="AO11" s="101" t="n">
        <f aca="false">LBO!K$245</f>
        <v>39.1876783920155</v>
      </c>
      <c r="AP11" s="101" t="n">
        <f aca="false">LBO!L$245</f>
        <v>36.0053106865155</v>
      </c>
      <c r="AQ11" s="101" t="n">
        <f aca="false">LBO!M$245+(LBO!$M$238*K$6*(1-LBO!$D$44)-LBO!$M$155+LBO!$M$146)</f>
        <v>484.644809708142</v>
      </c>
      <c r="AS11" s="101" t="n">
        <f aca="false">-($C$92*LBO!$D$23*(1+LBO!$D$39)+$Y$32)</f>
        <v>-191.66250707781</v>
      </c>
      <c r="AT11" s="92" t="n">
        <f aca="false">$Z$32</f>
        <v>0</v>
      </c>
      <c r="AU11" s="92" t="n">
        <f aca="false">$AA$32</f>
        <v>0</v>
      </c>
      <c r="AV11" s="92" t="n">
        <f aca="false">$AB$32</f>
        <v>29.3097429840168</v>
      </c>
      <c r="AW11" s="92" t="n">
        <f aca="false">$AC$32</f>
        <v>26.4142009338664</v>
      </c>
      <c r="AX11" s="92" t="n">
        <f aca="false">$AD$32+$R$32</f>
        <v>194.29903992322</v>
      </c>
    </row>
    <row r="12" customFormat="false" ht="12.75" hidden="false" customHeight="true" outlineLevel="0" collapsed="false">
      <c r="C12" s="40" t="n">
        <v>11.5</v>
      </c>
      <c r="D12" s="103" t="n">
        <f aca="false">C12/LBO!$D$18-1</f>
        <v>0.395631067961165</v>
      </c>
      <c r="E12" s="63" t="n">
        <f aca="false">IF(-AL40&lt;=0,"n.m.",IFERROR(IRR(AL40:AQ40,0.15),IFERROR(IRR(AL40:AQ40,-0.2),IFERROR(IRR(AL40:AQ40,-0.6),-1))))</f>
        <v>-0.0031207759548058</v>
      </c>
      <c r="F12" s="63" t="n">
        <f aca="false">IF(-AL41&lt;=0,"n.m.",IFERROR(IRR(AL41:AQ41,0.15),IFERROR(IRR(AL41:AQ41,-0.2),IFERROR(IRR(AL41:AQ41,-0.6),-1))))</f>
        <v>0.0291859292656694</v>
      </c>
      <c r="G12" s="63" t="n">
        <f aca="false">IF(-AL42&lt;=0,"n.m.",IFERROR(IRR(AL42:AQ42,0.15),IFERROR(IRR(AL42:AQ42,-0.2),IFERROR(IRR(AL42:AQ42,-0.6),-1))))</f>
        <v>0.0576750480074906</v>
      </c>
      <c r="H12" s="63" t="n">
        <f aca="false">IF(-AL43&lt;=0,"n.m.",IFERROR(IRR(AL43:AQ43,0.15),IFERROR(IRR(AL43:AQ43,-0.2),IFERROR(IRR(AL43:AQ43,-0.6),-1))))</f>
        <v>0.0832430117068476</v>
      </c>
      <c r="I12" s="63" t="n">
        <f aca="false">IF(-AL44&lt;=0,"n.m.",IFERROR(IRR(AL44:AQ44,0.15),IFERROR(IRR(AL44:AQ44,-0.2),IFERROR(IRR(AL44:AQ44,-0.6),-1))))</f>
        <v>0.106494696515641</v>
      </c>
      <c r="J12" s="63" t="n">
        <f aca="false">IF(-AL45&lt;=0,"n.m.",IFERROR(IRR(AL45:AQ45,0.15),IFERROR(IRR(AL45:AQ45,-0.2),IFERROR(IRR(AL45:AQ45,-0.6),-1))))</f>
        <v>0.127859180087575</v>
      </c>
      <c r="K12" s="63" t="n">
        <f aca="false">IF(-AL46&lt;=0,"n.m.",IFERROR(IRR(AL46:AQ46,0.15),IFERROR(IRR(AL46:AQ46,-0.2),IFERROR(IRR(AL46:AQ46,-0.6),-1))))</f>
        <v>0.147652794827573</v>
      </c>
      <c r="AL12" s="101" t="n">
        <f aca="false">-($C$8*LBO!$D$23*(1+LBO!$D$39)+LBO!$D$84)</f>
        <v>-186.306113330972</v>
      </c>
      <c r="AM12" s="101" t="n">
        <f aca="false">LBO!I$245</f>
        <v>0</v>
      </c>
      <c r="AN12" s="101" t="n">
        <f aca="false">LBO!J$245</f>
        <v>0.454703371659619</v>
      </c>
      <c r="AO12" s="101" t="n">
        <f aca="false">LBO!K$245</f>
        <v>39.1876783920155</v>
      </c>
      <c r="AP12" s="101" t="n">
        <f aca="false">LBO!L$245</f>
        <v>36.0053106865155</v>
      </c>
      <c r="AQ12" s="101" t="n">
        <f aca="false">LBO!M$245+(LBO!$M$238*E$6*(1-LBO!$D$44)-LBO!$M$155+LBO!$M$146)</f>
        <v>210.66263759715</v>
      </c>
      <c r="AS12" s="101" t="n">
        <f aca="false">-($C$92*LBO!$D$23*(1+LBO!$D$39)+$Y$33)</f>
        <v>-186.306113330972</v>
      </c>
      <c r="AT12" s="92" t="n">
        <f aca="false">$Z$33</f>
        <v>0</v>
      </c>
      <c r="AU12" s="92" t="n">
        <f aca="false">$AA$33</f>
        <v>0.454703371659619</v>
      </c>
      <c r="AV12" s="92" t="n">
        <f aca="false">$AB$33</f>
        <v>39.1876783920155</v>
      </c>
      <c r="AW12" s="92" t="n">
        <f aca="false">$AC$33</f>
        <v>36.0053106865155</v>
      </c>
      <c r="AX12" s="92" t="n">
        <f aca="false">$AD$33+$R$33</f>
        <v>324.82187597673</v>
      </c>
    </row>
    <row r="13" customFormat="false" ht="12.75" hidden="false" customHeight="true" outlineLevel="0" collapsed="false">
      <c r="C13" s="40" t="n">
        <v>12</v>
      </c>
      <c r="D13" s="103" t="n">
        <f aca="false">C13/LBO!$D$18-1</f>
        <v>0.456310679611651</v>
      </c>
      <c r="E13" s="63" t="n">
        <f aca="false">IF(-AL47&lt;=0,"n.m.",IFERROR(IRR(AL47:AQ47,0.15),IFERROR(IRR(AL47:AQ47,-0.2),IFERROR(IRR(AL47:AQ47,-0.6),-1))))</f>
        <v>-0.0215441064583622</v>
      </c>
      <c r="F13" s="63" t="n">
        <f aca="false">IF(-AL48&lt;=0,"n.m.",IFERROR(IRR(AL48:AQ48,0.15),IFERROR(IRR(AL48:AQ48,-0.2),IFERROR(IRR(AL48:AQ48,-0.6),-1))))</f>
        <v>0.010327178017031</v>
      </c>
      <c r="G13" s="63" t="n">
        <f aca="false">IF(-AL49&lt;=0,"n.m.",IFERROR(IRR(AL49:AQ49,0.15),IFERROR(IRR(AL49:AQ49,-0.2),IFERROR(IRR(AL49:AQ49,-0.6),-1))))</f>
        <v>0.0384209836358021</v>
      </c>
      <c r="H13" s="63" t="n">
        <f aca="false">IF(-AL50&lt;=0,"n.m.",IFERROR(IRR(AL50:AQ50,0.15),IFERROR(IRR(AL50:AQ50,-0.2),IFERROR(IRR(AL50:AQ50,-0.6),-1))))</f>
        <v>0.0636264149862257</v>
      </c>
      <c r="I13" s="63" t="n">
        <f aca="false">IF(-AL51&lt;=0,"n.m.",IFERROR(IRR(AL51:AQ51,0.15),IFERROR(IRR(AL51:AQ51,-0.2),IFERROR(IRR(AL51:AQ51,-0.6),-1))))</f>
        <v>0.0865428334355523</v>
      </c>
      <c r="J13" s="63" t="n">
        <f aca="false">IF(-AL52&lt;=0,"n.m.",IFERROR(IRR(AL52:AQ52,0.15),IFERROR(IRR(AL52:AQ52,-0.2),IFERROR(IRR(AL52:AQ52,-0.6),-1))))</f>
        <v>0.107595091161584</v>
      </c>
      <c r="K13" s="63" t="n">
        <f aca="false">IF(-AL53&lt;=0,"n.m.",IFERROR(IRR(AL53:AQ53,0.15),IFERROR(IRR(AL53:AQ53,-0.2),IFERROR(IRR(AL53:AQ53,-0.6),-1))))</f>
        <v>0.127096220312596</v>
      </c>
      <c r="AL13" s="101" t="n">
        <f aca="false">-($C$8*LBO!$D$23*(1+LBO!$D$39)+LBO!$D$84)</f>
        <v>-186.306113330972</v>
      </c>
      <c r="AM13" s="101" t="n">
        <f aca="false">LBO!I$245</f>
        <v>0</v>
      </c>
      <c r="AN13" s="101" t="n">
        <f aca="false">LBO!J$245</f>
        <v>0.454703371659619</v>
      </c>
      <c r="AO13" s="101" t="n">
        <f aca="false">LBO!K$245</f>
        <v>39.1876783920155</v>
      </c>
      <c r="AP13" s="101" t="n">
        <f aca="false">LBO!L$245</f>
        <v>36.0053106865155</v>
      </c>
      <c r="AQ13" s="101" t="n">
        <f aca="false">LBO!M$245+(LBO!$M$238*F$6*(1-LBO!$D$44)-LBO!$M$155+LBO!$M$146)</f>
        <v>256.326332948982</v>
      </c>
      <c r="AS13" s="101" t="n">
        <f aca="false">-($C$92*LBO!$D$23*(1+LBO!$D$39)+$Y$34)</f>
        <v>-185.920998333502</v>
      </c>
      <c r="AT13" s="92" t="n">
        <f aca="false">$Z$34</f>
        <v>0</v>
      </c>
      <c r="AU13" s="92" t="n">
        <f aca="false">$AA$34</f>
        <v>9.36196165821613</v>
      </c>
      <c r="AV13" s="92" t="n">
        <f aca="false">$AB$34</f>
        <v>48.8061378955752</v>
      </c>
      <c r="AW13" s="92" t="n">
        <f aca="false">$AC$34</f>
        <v>49.6908112109533</v>
      </c>
      <c r="AX13" s="92" t="n">
        <f aca="false">$AD$34+$R$34</f>
        <v>579.079170164906</v>
      </c>
    </row>
    <row r="14" customFormat="false" ht="12.75" hidden="false" customHeight="true" outlineLevel="0" collapsed="false">
      <c r="C14" s="40" t="n">
        <v>12.5</v>
      </c>
      <c r="D14" s="103" t="n">
        <f aca="false">C14/LBO!$D$18-1</f>
        <v>0.516990291262136</v>
      </c>
      <c r="E14" s="63" t="n">
        <f aca="false">IF(-AL54&lt;=0,"n.m.",IFERROR(IRR(AL54:AQ54,0.15),IFERROR(IRR(AL54:AQ54,-0.2),IFERROR(IRR(AL54:AQ54,-0.6),-1))))</f>
        <v>-0.0381759530795895</v>
      </c>
      <c r="F14" s="63" t="n">
        <f aca="false">IF(-AL55&lt;=0,"n.m.",IFERROR(IRR(AL55:AQ55,0.15),IFERROR(IRR(AL55:AQ55,-0.2),IFERROR(IRR(AL55:AQ55,-0.6),-1))))</f>
        <v>-0.00670317643568741</v>
      </c>
      <c r="G14" s="63" t="n">
        <f aca="false">IF(-AL56&lt;=0,"n.m.",IFERROR(IRR(AL56:AQ56,0.15),IFERROR(IRR(AL56:AQ56,-0.2),IFERROR(IRR(AL56:AQ56,-0.6),-1))))</f>
        <v>0.0210292914526403</v>
      </c>
      <c r="H14" s="63" t="n">
        <f aca="false">IF(-AL57&lt;=0,"n.m.",IFERROR(IRR(AL57:AQ57,0.15),IFERROR(IRR(AL57:AQ57,-0.2),IFERROR(IRR(AL57:AQ57,-0.6),-1))))</f>
        <v>0.0459036631631254</v>
      </c>
      <c r="I14" s="63" t="n">
        <f aca="false">IF(-AL58&lt;=0,"n.m.",IFERROR(IRR(AL58:AQ58,0.15),IFERROR(IRR(AL58:AQ58,-0.2),IFERROR(IRR(AL58:AQ58,-0.6),-1))))</f>
        <v>0.0685141465642659</v>
      </c>
      <c r="J14" s="63" t="n">
        <f aca="false">IF(-AL59&lt;=0,"n.m.",IFERROR(IRR(AL59:AQ59,0.15),IFERROR(IRR(AL59:AQ59,-0.2),IFERROR(IRR(AL59:AQ59,-0.6),-1))))</f>
        <v>0.0892816624301402</v>
      </c>
      <c r="K14" s="63" t="n">
        <f aca="false">IF(-AL60&lt;=0,"n.m.",IFERROR(IRR(AL60:AQ60,0.15),IFERROR(IRR(AL60:AQ60,-0.2),IFERROR(IRR(AL60:AQ60,-0.6),-1))))</f>
        <v>0.10851618199938</v>
      </c>
      <c r="AL14" s="101" t="n">
        <f aca="false">-($C$8*LBO!$D$23*(1+LBO!$D$39)+LBO!$D$84)</f>
        <v>-186.306113330972</v>
      </c>
      <c r="AM14" s="101" t="n">
        <f aca="false">LBO!I$245</f>
        <v>0</v>
      </c>
      <c r="AN14" s="101" t="n">
        <f aca="false">LBO!J$245</f>
        <v>0.454703371659619</v>
      </c>
      <c r="AO14" s="101" t="n">
        <f aca="false">LBO!K$245</f>
        <v>39.1876783920155</v>
      </c>
      <c r="AP14" s="101" t="n">
        <f aca="false">LBO!L$245</f>
        <v>36.0053106865155</v>
      </c>
      <c r="AQ14" s="101" t="n">
        <f aca="false">LBO!M$245+(LBO!$M$238*G$6*(1-LBO!$D$44)-LBO!$M$155+LBO!$M$146)</f>
        <v>301.990028300814</v>
      </c>
      <c r="AS14" s="101" t="n">
        <f aca="false">-($C$92*LBO!$D$23*(1+LBO!$D$39)+$Y$35)</f>
        <v>-185.920998333502</v>
      </c>
      <c r="AT14" s="92" t="n">
        <f aca="false">$Z$35</f>
        <v>0</v>
      </c>
      <c r="AU14" s="92" t="n">
        <f aca="false">$AA$35</f>
        <v>0</v>
      </c>
      <c r="AV14" s="92" t="n">
        <f aca="false">$AB$35</f>
        <v>25.3706125049548</v>
      </c>
      <c r="AW14" s="92" t="n">
        <f aca="false">$AC$35</f>
        <v>47.6508112109533</v>
      </c>
      <c r="AX14" s="92" t="n">
        <f aca="false">$AD$35+$R$35</f>
        <v>887.976688561937</v>
      </c>
    </row>
    <row r="15" customFormat="false" ht="12.75" hidden="false" customHeight="true" outlineLevel="0" collapsed="false">
      <c r="C15" s="40" t="n">
        <v>13</v>
      </c>
      <c r="D15" s="103" t="n">
        <f aca="false">C15/LBO!$D$18-1</f>
        <v>0.577669902912621</v>
      </c>
      <c r="E15" s="63" t="n">
        <f aca="false">IF(-AL61&lt;=0,"n.m.",IFERROR(IRR(AL61:AQ61,0.15),IFERROR(IRR(AL61:AQ61,-0.2),IFERROR(IRR(AL61:AQ61,-0.6),-1))))</f>
        <v>-0.0533092117664286</v>
      </c>
      <c r="F15" s="63" t="n">
        <f aca="false">IF(-AL62&lt;=0,"n.m.",IFERROR(IRR(AL62:AQ62,0.15),IFERROR(IRR(AL62:AQ62,-0.2),IFERROR(IRR(AL62:AQ62,-0.6),-1))))</f>
        <v>-0.022203522480157</v>
      </c>
      <c r="G15" s="63" t="n">
        <f aca="false">IF(-AL63&lt;=0,"n.m.",IFERROR(IRR(AL63:AQ63,0.15),IFERROR(IRR(AL63:AQ63,-0.2),IFERROR(IRR(AL63:AQ63,-0.6),-1))))</f>
        <v>0.00519647753828893</v>
      </c>
      <c r="H15" s="63" t="n">
        <f aca="false">IF(-AL64&lt;=0,"n.m.",IFERROR(IRR(AL64:AQ64,0.15),IFERROR(IRR(AL64:AQ64,-0.2),IFERROR(IRR(AL64:AQ64,-0.6),-1))))</f>
        <v>0.0297664987913666</v>
      </c>
      <c r="I15" s="63" t="n">
        <f aca="false">IF(-AL65&lt;=0,"n.m.",IFERROR(IRR(AL65:AQ65,0.15),IFERROR(IRR(AL65:AQ65,-0.2),IFERROR(IRR(AL65:AQ65,-0.6),-1))))</f>
        <v>0.0520959146250365</v>
      </c>
      <c r="J15" s="63" t="n">
        <f aca="false">IF(-AL66&lt;=0,"n.m.",IFERROR(IRR(AL66:AQ66,0.15),IFERROR(IRR(AL66:AQ66,-0.2),IFERROR(IRR(AL66:AQ66,-0.6),-1))))</f>
        <v>0.0726019717142094</v>
      </c>
      <c r="K15" s="63" t="n">
        <f aca="false">IF(-AL67&lt;=0,"n.m.",IFERROR(IRR(AL67:AQ67,0.15),IFERROR(IRR(AL67:AQ67,-0.2),IFERROR(IRR(AL67:AQ67,-0.6),-1))))</f>
        <v>0.0915917885680991</v>
      </c>
      <c r="AL15" s="101" t="n">
        <f aca="false">-($C$8*LBO!$D$23*(1+LBO!$D$39)+LBO!$D$84)</f>
        <v>-186.306113330972</v>
      </c>
      <c r="AM15" s="101" t="n">
        <f aca="false">LBO!I$245</f>
        <v>0</v>
      </c>
      <c r="AN15" s="101" t="n">
        <f aca="false">LBO!J$245</f>
        <v>0.454703371659619</v>
      </c>
      <c r="AO15" s="101" t="n">
        <f aca="false">LBO!K$245</f>
        <v>39.1876783920155</v>
      </c>
      <c r="AP15" s="101" t="n">
        <f aca="false">LBO!L$245</f>
        <v>36.0053106865155</v>
      </c>
      <c r="AQ15" s="101" t="n">
        <f aca="false">LBO!M$245+(LBO!$M$238*H$6*(1-LBO!$D$44)-LBO!$M$155+LBO!$M$146)</f>
        <v>347.653723652646</v>
      </c>
      <c r="AS15" s="101" t="n">
        <f aca="false">-($C$93*LBO!$D$23*(1+LBO!$D$39)+$Y$31)</f>
        <v>-218.084472075281</v>
      </c>
      <c r="AT15" s="92" t="n">
        <f aca="false">$Z$31</f>
        <v>0</v>
      </c>
      <c r="AU15" s="92" t="n">
        <f aca="false">$AA$31</f>
        <v>0</v>
      </c>
      <c r="AV15" s="92" t="n">
        <f aca="false">$AB$31</f>
        <v>12.2843218795599</v>
      </c>
      <c r="AW15" s="92" t="n">
        <f aca="false">$AC$31</f>
        <v>15.0707686617381</v>
      </c>
      <c r="AX15" s="92" t="n">
        <f aca="false">$AD$31+$R$31</f>
        <v>87.5525956716077</v>
      </c>
    </row>
    <row r="16" customFormat="false" ht="12.75" hidden="false" customHeight="true" outlineLevel="0" collapsed="false">
      <c r="AL16" s="101" t="n">
        <f aca="false">-($C$8*LBO!$D$23*(1+LBO!$D$39)+LBO!$D$84)</f>
        <v>-186.306113330972</v>
      </c>
      <c r="AM16" s="101" t="n">
        <f aca="false">LBO!I$245</f>
        <v>0</v>
      </c>
      <c r="AN16" s="101" t="n">
        <f aca="false">LBO!J$245</f>
        <v>0.454703371659619</v>
      </c>
      <c r="AO16" s="101" t="n">
        <f aca="false">LBO!K$245</f>
        <v>39.1876783920155</v>
      </c>
      <c r="AP16" s="101" t="n">
        <f aca="false">LBO!L$245</f>
        <v>36.0053106865155</v>
      </c>
      <c r="AQ16" s="101" t="n">
        <f aca="false">LBO!M$245+(LBO!$M$238*I$6*(1-LBO!$D$44)-LBO!$M$155+LBO!$M$146)</f>
        <v>393.317419004478</v>
      </c>
      <c r="AS16" s="101" t="n">
        <f aca="false">-($C$93*LBO!$D$23*(1+LBO!$D$39)+$Y$32)</f>
        <v>-217.69935707781</v>
      </c>
      <c r="AT16" s="92" t="n">
        <f aca="false">$Z$32</f>
        <v>0</v>
      </c>
      <c r="AU16" s="92" t="n">
        <f aca="false">$AA$32</f>
        <v>0</v>
      </c>
      <c r="AV16" s="92" t="n">
        <f aca="false">$AB$32</f>
        <v>29.3097429840168</v>
      </c>
      <c r="AW16" s="92" t="n">
        <f aca="false">$AC$32</f>
        <v>26.4142009338664</v>
      </c>
      <c r="AX16" s="92" t="n">
        <f aca="false">$AD$32+$R$32</f>
        <v>194.29903992322</v>
      </c>
    </row>
    <row r="17" customFormat="false" ht="12.75" hidden="false" customHeight="true" outlineLevel="0" collapsed="false">
      <c r="B17" s="9" t="s">
        <v>572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AL17" s="101" t="n">
        <f aca="false">-($C$8*LBO!$D$23*(1+LBO!$D$39)+LBO!$D$84)</f>
        <v>-186.306113330972</v>
      </c>
      <c r="AM17" s="101" t="n">
        <f aca="false">LBO!I$245</f>
        <v>0</v>
      </c>
      <c r="AN17" s="101" t="n">
        <f aca="false">LBO!J$245</f>
        <v>0.454703371659619</v>
      </c>
      <c r="AO17" s="101" t="n">
        <f aca="false">LBO!K$245</f>
        <v>39.1876783920155</v>
      </c>
      <c r="AP17" s="101" t="n">
        <f aca="false">LBO!L$245</f>
        <v>36.0053106865155</v>
      </c>
      <c r="AQ17" s="101" t="n">
        <f aca="false">LBO!M$245+(LBO!$M$238*J$6*(1-LBO!$D$44)-LBO!$M$155+LBO!$M$146)</f>
        <v>438.98111435631</v>
      </c>
      <c r="AS17" s="101" t="n">
        <f aca="false">-($C$93*LBO!$D$23*(1+LBO!$D$39)+$Y$33)</f>
        <v>-212.342963330972</v>
      </c>
      <c r="AT17" s="92" t="n">
        <f aca="false">$Z$33</f>
        <v>0</v>
      </c>
      <c r="AU17" s="92" t="n">
        <f aca="false">$AA$33</f>
        <v>0.454703371659619</v>
      </c>
      <c r="AV17" s="92" t="n">
        <f aca="false">$AB$33</f>
        <v>39.1876783920155</v>
      </c>
      <c r="AW17" s="92" t="n">
        <f aca="false">$AC$33</f>
        <v>36.0053106865155</v>
      </c>
      <c r="AX17" s="92" t="n">
        <f aca="false">$AD$33+$R$33</f>
        <v>324.82187597673</v>
      </c>
    </row>
    <row r="18" customFormat="false" ht="12.75" hidden="false" customHeight="true" outlineLevel="0" collapsed="false">
      <c r="E18" s="102" t="n">
        <v>3</v>
      </c>
      <c r="F18" s="102" t="n">
        <v>4</v>
      </c>
      <c r="G18" s="102" t="n">
        <v>5</v>
      </c>
      <c r="H18" s="102" t="n">
        <v>6</v>
      </c>
      <c r="I18" s="102" t="n">
        <v>7</v>
      </c>
      <c r="J18" s="102" t="n">
        <v>8</v>
      </c>
      <c r="K18" s="102" t="n">
        <v>9</v>
      </c>
      <c r="AL18" s="101" t="n">
        <f aca="false">-($C$8*LBO!$D$23*(1+LBO!$D$39)+LBO!$D$84)</f>
        <v>-186.306113330972</v>
      </c>
      <c r="AM18" s="101" t="n">
        <f aca="false">LBO!I$245</f>
        <v>0</v>
      </c>
      <c r="AN18" s="101" t="n">
        <f aca="false">LBO!J$245</f>
        <v>0.454703371659619</v>
      </c>
      <c r="AO18" s="101" t="n">
        <f aca="false">LBO!K$245</f>
        <v>39.1876783920155</v>
      </c>
      <c r="AP18" s="101" t="n">
        <f aca="false">LBO!L$245</f>
        <v>36.0053106865155</v>
      </c>
      <c r="AQ18" s="101" t="n">
        <f aca="false">LBO!M$245+(LBO!$M$238*K$6*(1-LBO!$D$44)-LBO!$M$155+LBO!$M$146)</f>
        <v>484.644809708142</v>
      </c>
      <c r="AS18" s="101" t="n">
        <f aca="false">-($C$93*LBO!$D$23*(1+LBO!$D$39)+$Y$34)</f>
        <v>-211.957848333502</v>
      </c>
      <c r="AT18" s="92" t="n">
        <f aca="false">$Z$34</f>
        <v>0</v>
      </c>
      <c r="AU18" s="92" t="n">
        <f aca="false">$AA$34</f>
        <v>9.36196165821613</v>
      </c>
      <c r="AV18" s="92" t="n">
        <f aca="false">$AB$34</f>
        <v>48.8061378955752</v>
      </c>
      <c r="AW18" s="92" t="n">
        <f aca="false">$AC$34</f>
        <v>49.6908112109533</v>
      </c>
      <c r="AX18" s="92" t="n">
        <f aca="false">$AD$34+$R$34</f>
        <v>579.079170164906</v>
      </c>
    </row>
    <row r="19" customFormat="false" ht="12.75" hidden="false" customHeight="true" outlineLevel="0" collapsed="false">
      <c r="C19" s="40" t="n">
        <v>9</v>
      </c>
      <c r="D19" s="103" t="n">
        <f aca="false">C19/LBO!$D$18-1</f>
        <v>0.0922330097087378</v>
      </c>
      <c r="E19" s="83" t="n">
        <f aca="false">IF(-AL5&lt;=0,"n.m.",(SUM(AM5:AQ5))/(-AL5))</f>
        <v>1.78643318186395</v>
      </c>
      <c r="F19" s="83" t="n">
        <f aca="false">IF(-AL6&lt;=0,"n.m.",(SUM(AM6:AQ6))/(-AL6))</f>
        <v>2.07135178947951</v>
      </c>
      <c r="G19" s="83" t="n">
        <f aca="false">IF(-AL7&lt;=0,"n.m.",(SUM(AM7:AQ7))/(-AL7))</f>
        <v>2.35627039709507</v>
      </c>
      <c r="H19" s="83" t="n">
        <f aca="false">IF(-AL8&lt;=0,"n.m.",(SUM(AM8:AQ8))/(-AL8))</f>
        <v>2.64118900471063</v>
      </c>
      <c r="I19" s="83" t="n">
        <f aca="false">IF(-AL9&lt;=0,"n.m.",(SUM(AM9:AQ9))/(-AL9))</f>
        <v>2.92610761232619</v>
      </c>
      <c r="J19" s="83" t="n">
        <f aca="false">IF(-AL10&lt;=0,"n.m.",(SUM(AM10:AQ10))/(-AL10))</f>
        <v>3.21102621994174</v>
      </c>
      <c r="K19" s="83" t="n">
        <f aca="false">IF(-AL11&lt;=0,"n.m.",(SUM(AM11:AQ11))/(-AL11))</f>
        <v>3.4959448275573</v>
      </c>
      <c r="AL19" s="101" t="n">
        <f aca="false">-($C$9*LBO!$D$23*(1+LBO!$D$39)+LBO!$D$84)</f>
        <v>-212.342963330972</v>
      </c>
      <c r="AM19" s="101" t="n">
        <f aca="false">LBO!I$245</f>
        <v>0</v>
      </c>
      <c r="AN19" s="101" t="n">
        <f aca="false">LBO!J$245</f>
        <v>0.454703371659619</v>
      </c>
      <c r="AO19" s="101" t="n">
        <f aca="false">LBO!K$245</f>
        <v>39.1876783920155</v>
      </c>
      <c r="AP19" s="101" t="n">
        <f aca="false">LBO!L$245</f>
        <v>36.0053106865155</v>
      </c>
      <c r="AQ19" s="101" t="n">
        <f aca="false">LBO!M$245+(LBO!$M$238*E$6*(1-LBO!$D$44)-LBO!$M$155+LBO!$M$146)</f>
        <v>210.66263759715</v>
      </c>
      <c r="AS19" s="101" t="n">
        <f aca="false">-($C$93*LBO!$D$23*(1+LBO!$D$39)+$Y$35)</f>
        <v>-211.957848333502</v>
      </c>
      <c r="AT19" s="92" t="n">
        <f aca="false">$Z$35</f>
        <v>0</v>
      </c>
      <c r="AU19" s="92" t="n">
        <f aca="false">$AA$35</f>
        <v>0</v>
      </c>
      <c r="AV19" s="92" t="n">
        <f aca="false">$AB$35</f>
        <v>25.3706125049548</v>
      </c>
      <c r="AW19" s="92" t="n">
        <f aca="false">$AC$35</f>
        <v>47.6508112109533</v>
      </c>
      <c r="AX19" s="92" t="n">
        <f aca="false">$AD$35+$R$35</f>
        <v>887.976688561937</v>
      </c>
    </row>
    <row r="20" customFormat="false" ht="12.75" hidden="false" customHeight="true" outlineLevel="0" collapsed="false">
      <c r="C20" s="40" t="n">
        <v>9.5</v>
      </c>
      <c r="D20" s="103" t="n">
        <f aca="false">C20/LBO!$D$18-1</f>
        <v>0.152912621359223</v>
      </c>
      <c r="E20" s="83" t="n">
        <f aca="false">IF(-AL12&lt;=0,"n.m.",(SUM(AM12:AQ12))/(-AL12))</f>
        <v>1.53677367279253</v>
      </c>
      <c r="F20" s="83" t="n">
        <f aca="false">IF(-AL13&lt;=0,"n.m.",(SUM(AM13:AQ13))/(-AL13))</f>
        <v>1.78187403227838</v>
      </c>
      <c r="G20" s="83" t="n">
        <f aca="false">IF(-AL14&lt;=0,"n.m.",(SUM(AM14:AQ14))/(-AL14))</f>
        <v>2.02697439176423</v>
      </c>
      <c r="H20" s="83" t="n">
        <f aca="false">IF(-AL15&lt;=0,"n.m.",(SUM(AM15:AQ15))/(-AL15))</f>
        <v>2.27207475125007</v>
      </c>
      <c r="I20" s="83" t="n">
        <f aca="false">IF(-AL16&lt;=0,"n.m.",(SUM(AM16:AQ16))/(-AL16))</f>
        <v>2.51717511073592</v>
      </c>
      <c r="J20" s="83" t="n">
        <f aca="false">IF(-AL17&lt;=0,"n.m.",(SUM(AM17:AQ17))/(-AL17))</f>
        <v>2.76227547022176</v>
      </c>
      <c r="K20" s="83" t="n">
        <f aca="false">IF(-AL18&lt;=0,"n.m.",(SUM(AM18:AQ18))/(-AL18))</f>
        <v>3.00737582970761</v>
      </c>
      <c r="AL20" s="101" t="n">
        <f aca="false">-($C$9*LBO!$D$23*(1+LBO!$D$39)+LBO!$D$84)</f>
        <v>-212.342963330972</v>
      </c>
      <c r="AM20" s="101" t="n">
        <f aca="false">LBO!I$245</f>
        <v>0</v>
      </c>
      <c r="AN20" s="101" t="n">
        <f aca="false">LBO!J$245</f>
        <v>0.454703371659619</v>
      </c>
      <c r="AO20" s="101" t="n">
        <f aca="false">LBO!K$245</f>
        <v>39.1876783920155</v>
      </c>
      <c r="AP20" s="101" t="n">
        <f aca="false">LBO!L$245</f>
        <v>36.0053106865155</v>
      </c>
      <c r="AQ20" s="101" t="n">
        <f aca="false">LBO!M$245+(LBO!$M$238*F$6*(1-LBO!$D$44)-LBO!$M$155+LBO!$M$146)</f>
        <v>256.326332948982</v>
      </c>
      <c r="AS20" s="101" t="n">
        <f aca="false">-($C$94*LBO!$D$23*(1+LBO!$D$39)+$Y$31)</f>
        <v>-244.121322075281</v>
      </c>
      <c r="AT20" s="92" t="n">
        <f aca="false">$Z$31</f>
        <v>0</v>
      </c>
      <c r="AU20" s="92" t="n">
        <f aca="false">$AA$31</f>
        <v>0</v>
      </c>
      <c r="AV20" s="92" t="n">
        <f aca="false">$AB$31</f>
        <v>12.2843218795599</v>
      </c>
      <c r="AW20" s="92" t="n">
        <f aca="false">$AC$31</f>
        <v>15.0707686617381</v>
      </c>
      <c r="AX20" s="92" t="n">
        <f aca="false">$AD$31+$R$31</f>
        <v>87.5525956716077</v>
      </c>
    </row>
    <row r="21" customFormat="false" ht="12.75" hidden="false" customHeight="true" outlineLevel="0" collapsed="false">
      <c r="C21" s="40" t="n">
        <v>10</v>
      </c>
      <c r="D21" s="103" t="n">
        <f aca="false">C21/LBO!$D$18-1</f>
        <v>0.213592233009709</v>
      </c>
      <c r="E21" s="83" t="n">
        <f aca="false">IF(-AL19&lt;=0,"n.m.",(SUM(AM19:AQ19))/(-AL19))</f>
        <v>1.34833914699155</v>
      </c>
      <c r="F21" s="83" t="n">
        <f aca="false">IF(-AL20&lt;=0,"n.m.",(SUM(AM20:AQ20))/(-AL20))</f>
        <v>1.56338604393372</v>
      </c>
      <c r="G21" s="83" t="n">
        <f aca="false">IF(-AL21&lt;=0,"n.m.",(SUM(AM21:AQ21))/(-AL21))</f>
        <v>1.7784329408759</v>
      </c>
      <c r="H21" s="83" t="n">
        <f aca="false">IF(-AL22&lt;=0,"n.m.",(SUM(AM22:AQ22))/(-AL22))</f>
        <v>1.99347983781808</v>
      </c>
      <c r="I21" s="83" t="n">
        <f aca="false">IF(-AL23&lt;=0,"n.m.",(SUM(AM23:AQ23))/(-AL23))</f>
        <v>2.20852673476025</v>
      </c>
      <c r="J21" s="83" t="n">
        <f aca="false">IF(-AL24&lt;=0,"n.m.",(SUM(AM24:AQ24))/(-AL24))</f>
        <v>2.42357363170243</v>
      </c>
      <c r="K21" s="83" t="n">
        <f aca="false">IF(-AL25&lt;=0,"n.m.",(SUM(AM25:AQ25))/(-AL25))</f>
        <v>2.6386205286446</v>
      </c>
      <c r="AL21" s="101" t="n">
        <f aca="false">-($C$9*LBO!$D$23*(1+LBO!$D$39)+LBO!$D$84)</f>
        <v>-212.342963330972</v>
      </c>
      <c r="AM21" s="101" t="n">
        <f aca="false">LBO!I$245</f>
        <v>0</v>
      </c>
      <c r="AN21" s="101" t="n">
        <f aca="false">LBO!J$245</f>
        <v>0.454703371659619</v>
      </c>
      <c r="AO21" s="101" t="n">
        <f aca="false">LBO!K$245</f>
        <v>39.1876783920155</v>
      </c>
      <c r="AP21" s="101" t="n">
        <f aca="false">LBO!L$245</f>
        <v>36.0053106865155</v>
      </c>
      <c r="AQ21" s="101" t="n">
        <f aca="false">LBO!M$245+(LBO!$M$238*G$6*(1-LBO!$D$44)-LBO!$M$155+LBO!$M$146)</f>
        <v>301.990028300814</v>
      </c>
      <c r="AS21" s="101" t="n">
        <f aca="false">-($C$94*LBO!$D$23*(1+LBO!$D$39)+$Y$32)</f>
        <v>-243.73620707781</v>
      </c>
      <c r="AT21" s="92" t="n">
        <f aca="false">$Z$32</f>
        <v>0</v>
      </c>
      <c r="AU21" s="92" t="n">
        <f aca="false">$AA$32</f>
        <v>0</v>
      </c>
      <c r="AV21" s="92" t="n">
        <f aca="false">$AB$32</f>
        <v>29.3097429840168</v>
      </c>
      <c r="AW21" s="92" t="n">
        <f aca="false">$AC$32</f>
        <v>26.4142009338664</v>
      </c>
      <c r="AX21" s="92" t="n">
        <f aca="false">$AD$32+$R$32</f>
        <v>194.29903992322</v>
      </c>
    </row>
    <row r="22" customFormat="false" ht="12.75" hidden="false" customHeight="true" outlineLevel="0" collapsed="false">
      <c r="C22" s="40" t="n">
        <v>10.5</v>
      </c>
      <c r="D22" s="103" t="n">
        <f aca="false">C22/LBO!$D$18-1</f>
        <v>0.274271844660194</v>
      </c>
      <c r="E22" s="83" t="n">
        <f aca="false">IF(-AL26&lt;=0,"n.m.",(SUM(AM26:AQ26))/(-AL26))</f>
        <v>1.2010678506985</v>
      </c>
      <c r="F22" s="83" t="n">
        <f aca="false">IF(-AL27&lt;=0,"n.m.",(SUM(AM27:AQ27))/(-AL27))</f>
        <v>1.39262641731434</v>
      </c>
      <c r="G22" s="83" t="n">
        <f aca="false">IF(-AL28&lt;=0,"n.m.",(SUM(AM28:AQ28))/(-AL28))</f>
        <v>1.58418498393017</v>
      </c>
      <c r="H22" s="83" t="n">
        <f aca="false">IF(-AL29&lt;=0,"n.m.",(SUM(AM29:AQ29))/(-AL29))</f>
        <v>1.77574355054601</v>
      </c>
      <c r="I22" s="83" t="n">
        <f aca="false">IF(-AL30&lt;=0,"n.m.",(SUM(AM30:AQ30))/(-AL30))</f>
        <v>1.96730211716185</v>
      </c>
      <c r="J22" s="83" t="n">
        <f aca="false">IF(-AL31&lt;=0,"n.m.",(SUM(AM31:AQ31))/(-AL31))</f>
        <v>2.15886068377769</v>
      </c>
      <c r="K22" s="83" t="n">
        <f aca="false">IF(-AL32&lt;=0,"n.m.",(SUM(AM32:AQ32))/(-AL32))</f>
        <v>2.35041925039352</v>
      </c>
      <c r="AL22" s="101" t="n">
        <f aca="false">-($C$9*LBO!$D$23*(1+LBO!$D$39)+LBO!$D$84)</f>
        <v>-212.342963330972</v>
      </c>
      <c r="AM22" s="101" t="n">
        <f aca="false">LBO!I$245</f>
        <v>0</v>
      </c>
      <c r="AN22" s="101" t="n">
        <f aca="false">LBO!J$245</f>
        <v>0.454703371659619</v>
      </c>
      <c r="AO22" s="101" t="n">
        <f aca="false">LBO!K$245</f>
        <v>39.1876783920155</v>
      </c>
      <c r="AP22" s="101" t="n">
        <f aca="false">LBO!L$245</f>
        <v>36.0053106865155</v>
      </c>
      <c r="AQ22" s="101" t="n">
        <f aca="false">LBO!M$245+(LBO!$M$238*H$6*(1-LBO!$D$44)-LBO!$M$155+LBO!$M$146)</f>
        <v>347.653723652646</v>
      </c>
      <c r="AS22" s="101" t="n">
        <f aca="false">-($C$94*LBO!$D$23*(1+LBO!$D$39)+$Y$33)</f>
        <v>-238.379813330972</v>
      </c>
      <c r="AT22" s="92" t="n">
        <f aca="false">$Z$33</f>
        <v>0</v>
      </c>
      <c r="AU22" s="92" t="n">
        <f aca="false">$AA$33</f>
        <v>0.454703371659619</v>
      </c>
      <c r="AV22" s="92" t="n">
        <f aca="false">$AB$33</f>
        <v>39.1876783920155</v>
      </c>
      <c r="AW22" s="92" t="n">
        <f aca="false">$AC$33</f>
        <v>36.0053106865155</v>
      </c>
      <c r="AX22" s="92" t="n">
        <f aca="false">$AD$33+$R$33</f>
        <v>324.82187597673</v>
      </c>
    </row>
    <row r="23" customFormat="false" ht="12.75" hidden="false" customHeight="true" outlineLevel="0" collapsed="false">
      <c r="C23" s="40" t="n">
        <v>11</v>
      </c>
      <c r="D23" s="103" t="n">
        <f aca="false">C23/LBO!$D$18-1</f>
        <v>0.33495145631068</v>
      </c>
      <c r="E23" s="83" t="n">
        <f aca="false">IF(-AL33&lt;=0,"n.m.",(SUM(AM33:AQ33))/(-AL33))</f>
        <v>1.08279987516885</v>
      </c>
      <c r="F23" s="83" t="n">
        <f aca="false">IF(-AL34&lt;=0,"n.m.",(SUM(AM34:AQ34))/(-AL34))</f>
        <v>1.25549585724723</v>
      </c>
      <c r="G23" s="83" t="n">
        <f aca="false">IF(-AL35&lt;=0,"n.m.",(SUM(AM35:AQ35))/(-AL35))</f>
        <v>1.42819183932562</v>
      </c>
      <c r="H23" s="83" t="n">
        <f aca="false">IF(-AL36&lt;=0,"n.m.",(SUM(AM36:AQ36))/(-AL36))</f>
        <v>1.600887821404</v>
      </c>
      <c r="I23" s="83" t="n">
        <f aca="false">IF(-AL37&lt;=0,"n.m.",(SUM(AM37:AQ37))/(-AL37))</f>
        <v>1.77358380348239</v>
      </c>
      <c r="J23" s="83" t="n">
        <f aca="false">IF(-AL38&lt;=0,"n.m.",(SUM(AM38:AQ38))/(-AL38))</f>
        <v>1.94627978556077</v>
      </c>
      <c r="K23" s="83" t="n">
        <f aca="false">IF(-AL39&lt;=0,"n.m.",(SUM(AM39:AQ39))/(-AL39))</f>
        <v>2.11897576763916</v>
      </c>
      <c r="AL23" s="101" t="n">
        <f aca="false">-($C$9*LBO!$D$23*(1+LBO!$D$39)+LBO!$D$84)</f>
        <v>-212.342963330972</v>
      </c>
      <c r="AM23" s="101" t="n">
        <f aca="false">LBO!I$245</f>
        <v>0</v>
      </c>
      <c r="AN23" s="101" t="n">
        <f aca="false">LBO!J$245</f>
        <v>0.454703371659619</v>
      </c>
      <c r="AO23" s="101" t="n">
        <f aca="false">LBO!K$245</f>
        <v>39.1876783920155</v>
      </c>
      <c r="AP23" s="101" t="n">
        <f aca="false">LBO!L$245</f>
        <v>36.0053106865155</v>
      </c>
      <c r="AQ23" s="101" t="n">
        <f aca="false">LBO!M$245+(LBO!$M$238*I$6*(1-LBO!$D$44)-LBO!$M$155+LBO!$M$146)</f>
        <v>393.317419004478</v>
      </c>
      <c r="AS23" s="101" t="n">
        <f aca="false">-($C$94*LBO!$D$23*(1+LBO!$D$39)+$Y$34)</f>
        <v>-237.994698333502</v>
      </c>
      <c r="AT23" s="92" t="n">
        <f aca="false">$Z$34</f>
        <v>0</v>
      </c>
      <c r="AU23" s="92" t="n">
        <f aca="false">$AA$34</f>
        <v>9.36196165821613</v>
      </c>
      <c r="AV23" s="92" t="n">
        <f aca="false">$AB$34</f>
        <v>48.8061378955752</v>
      </c>
      <c r="AW23" s="92" t="n">
        <f aca="false">$AC$34</f>
        <v>49.6908112109533</v>
      </c>
      <c r="AX23" s="92" t="n">
        <f aca="false">$AD$34+$R$34</f>
        <v>579.079170164906</v>
      </c>
    </row>
    <row r="24" customFormat="false" ht="12.75" hidden="false" customHeight="true" outlineLevel="0" collapsed="false">
      <c r="C24" s="40" t="n">
        <v>11.5</v>
      </c>
      <c r="D24" s="103" t="n">
        <f aca="false">C24/LBO!$D$18-1</f>
        <v>0.395631067961165</v>
      </c>
      <c r="E24" s="83" t="n">
        <f aca="false">IF(-AL40&lt;=0,"n.m.",(SUM(AM40:AQ40))/(-AL40))</f>
        <v>0.985735468522597</v>
      </c>
      <c r="F24" s="83" t="n">
        <f aca="false">IF(-AL41&lt;=0,"n.m.",(SUM(AM41:AQ41))/(-AL41))</f>
        <v>1.1429506277684</v>
      </c>
      <c r="G24" s="83" t="n">
        <f aca="false">IF(-AL42&lt;=0,"n.m.",(SUM(AM42:AQ42))/(-AL42))</f>
        <v>1.3001657870142</v>
      </c>
      <c r="H24" s="83" t="n">
        <f aca="false">IF(-AL43&lt;=0,"n.m.",(SUM(AM43:AQ43))/(-AL43))</f>
        <v>1.45738094626001</v>
      </c>
      <c r="I24" s="83" t="n">
        <f aca="false">IF(-AL44&lt;=0,"n.m.",(SUM(AM44:AQ44))/(-AL44))</f>
        <v>1.61459610550581</v>
      </c>
      <c r="J24" s="83" t="n">
        <f aca="false">IF(-AL45&lt;=0,"n.m.",(SUM(AM45:AQ45))/(-AL45))</f>
        <v>1.77181126475162</v>
      </c>
      <c r="K24" s="83" t="n">
        <f aca="false">IF(-AL46&lt;=0,"n.m.",(SUM(AM46:AQ46))/(-AL46))</f>
        <v>1.92902642399742</v>
      </c>
      <c r="AL24" s="101" t="n">
        <f aca="false">-($C$9*LBO!$D$23*(1+LBO!$D$39)+LBO!$D$84)</f>
        <v>-212.342963330972</v>
      </c>
      <c r="AM24" s="101" t="n">
        <f aca="false">LBO!I$245</f>
        <v>0</v>
      </c>
      <c r="AN24" s="101" t="n">
        <f aca="false">LBO!J$245</f>
        <v>0.454703371659619</v>
      </c>
      <c r="AO24" s="101" t="n">
        <f aca="false">LBO!K$245</f>
        <v>39.1876783920155</v>
      </c>
      <c r="AP24" s="101" t="n">
        <f aca="false">LBO!L$245</f>
        <v>36.0053106865155</v>
      </c>
      <c r="AQ24" s="101" t="n">
        <f aca="false">LBO!M$245+(LBO!$M$238*J$6*(1-LBO!$D$44)-LBO!$M$155+LBO!$M$146)</f>
        <v>438.98111435631</v>
      </c>
      <c r="AS24" s="101" t="n">
        <f aca="false">-($C$94*LBO!$D$23*(1+LBO!$D$39)+$Y$35)</f>
        <v>-237.994698333502</v>
      </c>
      <c r="AT24" s="92" t="n">
        <f aca="false">$Z$35</f>
        <v>0</v>
      </c>
      <c r="AU24" s="92" t="n">
        <f aca="false">$AA$35</f>
        <v>0</v>
      </c>
      <c r="AV24" s="92" t="n">
        <f aca="false">$AB$35</f>
        <v>25.3706125049548</v>
      </c>
      <c r="AW24" s="92" t="n">
        <f aca="false">$AC$35</f>
        <v>47.6508112109533</v>
      </c>
      <c r="AX24" s="92" t="n">
        <f aca="false">$AD$35+$R$35</f>
        <v>887.976688561937</v>
      </c>
    </row>
    <row r="25" customFormat="false" ht="12.75" hidden="false" customHeight="true" outlineLevel="0" collapsed="false">
      <c r="C25" s="40" t="n">
        <v>12</v>
      </c>
      <c r="D25" s="103" t="n">
        <f aca="false">C25/LBO!$D$18-1</f>
        <v>0.456310679611651</v>
      </c>
      <c r="E25" s="83" t="n">
        <f aca="false">IF(-AL47&lt;=0,"n.m.",(SUM(AM47:AQ47))/(-AL47))</f>
        <v>0.904641541164175</v>
      </c>
      <c r="F25" s="83" t="n">
        <f aca="false">IF(-AL48&lt;=0,"n.m.",(SUM(AM48:AQ48))/(-AL48))</f>
        <v>1.04892301271116</v>
      </c>
      <c r="G25" s="83" t="n">
        <f aca="false">IF(-AL49&lt;=0,"n.m.",(SUM(AM49:AQ49))/(-AL49))</f>
        <v>1.19320448425814</v>
      </c>
      <c r="H25" s="83" t="n">
        <f aca="false">IF(-AL50&lt;=0,"n.m.",(SUM(AM50:AQ50))/(-AL50))</f>
        <v>1.33748595580512</v>
      </c>
      <c r="I25" s="83" t="n">
        <f aca="false">IF(-AL51&lt;=0,"n.m.",(SUM(AM51:AQ51))/(-AL51))</f>
        <v>1.48176742735211</v>
      </c>
      <c r="J25" s="83" t="n">
        <f aca="false">IF(-AL52&lt;=0,"n.m.",(SUM(AM52:AQ52))/(-AL52))</f>
        <v>1.62604889889909</v>
      </c>
      <c r="K25" s="83" t="n">
        <f aca="false">IF(-AL53&lt;=0,"n.m.",(SUM(AM53:AQ53))/(-AL53))</f>
        <v>1.77033037044607</v>
      </c>
      <c r="AL25" s="101" t="n">
        <f aca="false">-($C$9*LBO!$D$23*(1+LBO!$D$39)+LBO!$D$84)</f>
        <v>-212.342963330972</v>
      </c>
      <c r="AM25" s="101" t="n">
        <f aca="false">LBO!I$245</f>
        <v>0</v>
      </c>
      <c r="AN25" s="101" t="n">
        <f aca="false">LBO!J$245</f>
        <v>0.454703371659619</v>
      </c>
      <c r="AO25" s="101" t="n">
        <f aca="false">LBO!K$245</f>
        <v>39.1876783920155</v>
      </c>
      <c r="AP25" s="101" t="n">
        <f aca="false">LBO!L$245</f>
        <v>36.0053106865155</v>
      </c>
      <c r="AQ25" s="101" t="n">
        <f aca="false">LBO!M$245+(LBO!$M$238*K$6*(1-LBO!$D$44)-LBO!$M$155+LBO!$M$146)</f>
        <v>484.644809708142</v>
      </c>
      <c r="AS25" s="101" t="n">
        <f aca="false">-($C$95*LBO!$D$23*(1+LBO!$D$39)+$Y$31)</f>
        <v>-270.158172075281</v>
      </c>
      <c r="AT25" s="92" t="n">
        <f aca="false">$Z$31</f>
        <v>0</v>
      </c>
      <c r="AU25" s="92" t="n">
        <f aca="false">$AA$31</f>
        <v>0</v>
      </c>
      <c r="AV25" s="92" t="n">
        <f aca="false">$AB$31</f>
        <v>12.2843218795599</v>
      </c>
      <c r="AW25" s="92" t="n">
        <f aca="false">$AC$31</f>
        <v>15.0707686617381</v>
      </c>
      <c r="AX25" s="92" t="n">
        <f aca="false">$AD$31+$R$31</f>
        <v>87.5525956716077</v>
      </c>
    </row>
    <row r="26" customFormat="false" ht="12.75" hidden="false" customHeight="true" outlineLevel="0" collapsed="false">
      <c r="C26" s="40" t="n">
        <v>12.5</v>
      </c>
      <c r="D26" s="103" t="n">
        <f aca="false">C26/LBO!$D$18-1</f>
        <v>0.516990291262136</v>
      </c>
      <c r="E26" s="83" t="n">
        <f aca="false">IF(-AL54&lt;=0,"n.m.",(SUM(AM54:AQ54))/(-AL54))</f>
        <v>0.835876154957325</v>
      </c>
      <c r="F26" s="83" t="n">
        <f aca="false">IF(-AL55&lt;=0,"n.m.",(SUM(AM55:AQ55))/(-AL55))</f>
        <v>0.969190220452345</v>
      </c>
      <c r="G26" s="83" t="n">
        <f aca="false">IF(-AL56&lt;=0,"n.m.",(SUM(AM56:AQ56))/(-AL56))</f>
        <v>1.10250428594736</v>
      </c>
      <c r="H26" s="83" t="n">
        <f aca="false">IF(-AL57&lt;=0,"n.m.",(SUM(AM57:AQ57))/(-AL57))</f>
        <v>1.23581835144238</v>
      </c>
      <c r="I26" s="83" t="n">
        <f aca="false">IF(-AL58&lt;=0,"n.m.",(SUM(AM58:AQ58))/(-AL58))</f>
        <v>1.3691324169374</v>
      </c>
      <c r="J26" s="83" t="n">
        <f aca="false">IF(-AL59&lt;=0,"n.m.",(SUM(AM59:AQ59))/(-AL59))</f>
        <v>1.50244648243242</v>
      </c>
      <c r="K26" s="83" t="n">
        <f aca="false">IF(-AL60&lt;=0,"n.m.",(SUM(AM60:AQ60))/(-AL60))</f>
        <v>1.63576054792744</v>
      </c>
      <c r="AL26" s="101" t="n">
        <f aca="false">-($C$10*LBO!$D$23*(1+LBO!$D$39)+LBO!$D$84)</f>
        <v>-238.379813330972</v>
      </c>
      <c r="AM26" s="101" t="n">
        <f aca="false">LBO!I$245</f>
        <v>0</v>
      </c>
      <c r="AN26" s="101" t="n">
        <f aca="false">LBO!J$245</f>
        <v>0.454703371659619</v>
      </c>
      <c r="AO26" s="101" t="n">
        <f aca="false">LBO!K$245</f>
        <v>39.1876783920155</v>
      </c>
      <c r="AP26" s="101" t="n">
        <f aca="false">LBO!L$245</f>
        <v>36.0053106865155</v>
      </c>
      <c r="AQ26" s="101" t="n">
        <f aca="false">LBO!M$245+(LBO!$M$238*E$6*(1-LBO!$D$44)-LBO!$M$155+LBO!$M$146)</f>
        <v>210.66263759715</v>
      </c>
      <c r="AS26" s="101" t="n">
        <f aca="false">-($C$95*LBO!$D$23*(1+LBO!$D$39)+$Y$32)</f>
        <v>-269.77305707781</v>
      </c>
      <c r="AT26" s="92" t="n">
        <f aca="false">$Z$32</f>
        <v>0</v>
      </c>
      <c r="AU26" s="92" t="n">
        <f aca="false">$AA$32</f>
        <v>0</v>
      </c>
      <c r="AV26" s="92" t="n">
        <f aca="false">$AB$32</f>
        <v>29.3097429840168</v>
      </c>
      <c r="AW26" s="92" t="n">
        <f aca="false">$AC$32</f>
        <v>26.4142009338664</v>
      </c>
      <c r="AX26" s="92" t="n">
        <f aca="false">$AD$32+$R$32</f>
        <v>194.29903992322</v>
      </c>
    </row>
    <row r="27" customFormat="false" ht="12.75" hidden="false" customHeight="true" outlineLevel="0" collapsed="false">
      <c r="C27" s="40" t="n">
        <v>13</v>
      </c>
      <c r="D27" s="103" t="n">
        <f aca="false">C27/LBO!$D$18-1</f>
        <v>0.577669902912621</v>
      </c>
      <c r="E27" s="83" t="n">
        <f aca="false">IF(-AL61&lt;=0,"n.m.",(SUM(AM61:AQ61))/(-AL61))</f>
        <v>0.776826496484093</v>
      </c>
      <c r="F27" s="83" t="n">
        <f aca="false">IF(-AL62&lt;=0,"n.m.",(SUM(AM62:AQ62))/(-AL62))</f>
        <v>0.900722719407014</v>
      </c>
      <c r="G27" s="83" t="n">
        <f aca="false">IF(-AL63&lt;=0,"n.m.",(SUM(AM63:AQ63))/(-AL63))</f>
        <v>1.02461894232994</v>
      </c>
      <c r="H27" s="83" t="n">
        <f aca="false">IF(-AL64&lt;=0,"n.m.",(SUM(AM64:AQ64))/(-AL64))</f>
        <v>1.14851516525286</v>
      </c>
      <c r="I27" s="83" t="n">
        <f aca="false">IF(-AL65&lt;=0,"n.m.",(SUM(AM65:AQ65))/(-AL65))</f>
        <v>1.27241138817578</v>
      </c>
      <c r="J27" s="83" t="n">
        <f aca="false">IF(-AL66&lt;=0,"n.m.",(SUM(AM66:AQ66))/(-AL66))</f>
        <v>1.3963076110987</v>
      </c>
      <c r="K27" s="83" t="n">
        <f aca="false">IF(-AL67&lt;=0,"n.m.",(SUM(AM67:AQ67))/(-AL67))</f>
        <v>1.52020383402162</v>
      </c>
      <c r="AL27" s="101" t="n">
        <f aca="false">-($C$10*LBO!$D$23*(1+LBO!$D$39)+LBO!$D$84)</f>
        <v>-238.379813330972</v>
      </c>
      <c r="AM27" s="101" t="n">
        <f aca="false">LBO!I$245</f>
        <v>0</v>
      </c>
      <c r="AN27" s="101" t="n">
        <f aca="false">LBO!J$245</f>
        <v>0.454703371659619</v>
      </c>
      <c r="AO27" s="101" t="n">
        <f aca="false">LBO!K$245</f>
        <v>39.1876783920155</v>
      </c>
      <c r="AP27" s="101" t="n">
        <f aca="false">LBO!L$245</f>
        <v>36.0053106865155</v>
      </c>
      <c r="AQ27" s="101" t="n">
        <f aca="false">LBO!M$245+(LBO!$M$238*F$6*(1-LBO!$D$44)-LBO!$M$155+LBO!$M$146)</f>
        <v>256.326332948982</v>
      </c>
      <c r="AS27" s="101" t="n">
        <f aca="false">-($C$95*LBO!$D$23*(1+LBO!$D$39)+$Y$33)</f>
        <v>-264.416663330973</v>
      </c>
      <c r="AT27" s="92" t="n">
        <f aca="false">$Z$33</f>
        <v>0</v>
      </c>
      <c r="AU27" s="92" t="n">
        <f aca="false">$AA$33</f>
        <v>0.454703371659619</v>
      </c>
      <c r="AV27" s="92" t="n">
        <f aca="false">$AB$33</f>
        <v>39.1876783920155</v>
      </c>
      <c r="AW27" s="92" t="n">
        <f aca="false">$AC$33</f>
        <v>36.0053106865155</v>
      </c>
      <c r="AX27" s="92" t="n">
        <f aca="false">$AD$33+$R$33</f>
        <v>324.82187597673</v>
      </c>
    </row>
    <row r="28" customFormat="false" ht="12.75" hidden="false" customHeight="true" outlineLevel="0" collapsed="false">
      <c r="AL28" s="101" t="n">
        <f aca="false">-($C$10*LBO!$D$23*(1+LBO!$D$39)+LBO!$D$84)</f>
        <v>-238.379813330972</v>
      </c>
      <c r="AM28" s="101" t="n">
        <f aca="false">LBO!I$245</f>
        <v>0</v>
      </c>
      <c r="AN28" s="101" t="n">
        <f aca="false">LBO!J$245</f>
        <v>0.454703371659619</v>
      </c>
      <c r="AO28" s="101" t="n">
        <f aca="false">LBO!K$245</f>
        <v>39.1876783920155</v>
      </c>
      <c r="AP28" s="101" t="n">
        <f aca="false">LBO!L$245</f>
        <v>36.0053106865155</v>
      </c>
      <c r="AQ28" s="101" t="n">
        <f aca="false">LBO!M$245+(LBO!$M$238*G$6*(1-LBO!$D$44)-LBO!$M$155+LBO!$M$146)</f>
        <v>301.990028300814</v>
      </c>
      <c r="AS28" s="101" t="n">
        <f aca="false">-($C$95*LBO!$D$23*(1+LBO!$D$39)+$Y$34)</f>
        <v>-264.031548333502</v>
      </c>
      <c r="AT28" s="92" t="n">
        <f aca="false">$Z$34</f>
        <v>0</v>
      </c>
      <c r="AU28" s="92" t="n">
        <f aca="false">$AA$34</f>
        <v>9.36196165821613</v>
      </c>
      <c r="AV28" s="92" t="n">
        <f aca="false">$AB$34</f>
        <v>48.8061378955752</v>
      </c>
      <c r="AW28" s="92" t="n">
        <f aca="false">$AC$34</f>
        <v>49.6908112109533</v>
      </c>
      <c r="AX28" s="92" t="n">
        <f aca="false">$AD$34+$R$34</f>
        <v>579.079170164906</v>
      </c>
    </row>
    <row r="29" customFormat="false" ht="12.75" hidden="false" customHeight="true" outlineLevel="0" collapsed="false">
      <c r="B29" s="9" t="s">
        <v>573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L29" s="101" t="n">
        <f aca="false">-($C$10*LBO!$D$23*(1+LBO!$D$39)+LBO!$D$84)</f>
        <v>-238.379813330972</v>
      </c>
      <c r="AM29" s="101" t="n">
        <f aca="false">LBO!I$245</f>
        <v>0</v>
      </c>
      <c r="AN29" s="101" t="n">
        <f aca="false">LBO!J$245</f>
        <v>0.454703371659619</v>
      </c>
      <c r="AO29" s="101" t="n">
        <f aca="false">LBO!K$245</f>
        <v>39.1876783920155</v>
      </c>
      <c r="AP29" s="101" t="n">
        <f aca="false">LBO!L$245</f>
        <v>36.0053106865155</v>
      </c>
      <c r="AQ29" s="101" t="n">
        <f aca="false">LBO!M$245+(LBO!$M$238*H$6*(1-LBO!$D$44)-LBO!$M$155+LBO!$M$146)</f>
        <v>347.653723652646</v>
      </c>
      <c r="AS29" s="101" t="n">
        <f aca="false">-($C$95*LBO!$D$23*(1+LBO!$D$39)+$Y$35)</f>
        <v>-264.031548333502</v>
      </c>
      <c r="AT29" s="92" t="n">
        <f aca="false">$Z$35</f>
        <v>0</v>
      </c>
      <c r="AU29" s="92" t="n">
        <f aca="false">$AA$35</f>
        <v>0</v>
      </c>
      <c r="AV29" s="92" t="n">
        <f aca="false">$AB$35</f>
        <v>25.3706125049548</v>
      </c>
      <c r="AW29" s="92" t="n">
        <f aca="false">$AC$35</f>
        <v>47.6508112109533</v>
      </c>
      <c r="AX29" s="92" t="n">
        <f aca="false">$AD$35+$R$35</f>
        <v>887.976688561937</v>
      </c>
    </row>
    <row r="30" customFormat="false" ht="36" hidden="false" customHeight="true" outlineLevel="0" collapsed="false">
      <c r="B30" s="44" t="s">
        <v>574</v>
      </c>
      <c r="C30" s="44" t="s">
        <v>575</v>
      </c>
      <c r="D30" s="30" t="s">
        <v>576</v>
      </c>
      <c r="E30" s="30" t="s">
        <v>577</v>
      </c>
      <c r="F30" s="30" t="s">
        <v>578</v>
      </c>
      <c r="G30" s="30" t="s">
        <v>579</v>
      </c>
      <c r="H30" s="30" t="s">
        <v>555</v>
      </c>
      <c r="I30" s="30" t="s">
        <v>580</v>
      </c>
      <c r="J30" s="30" t="s">
        <v>581</v>
      </c>
      <c r="K30" s="30" t="s">
        <v>582</v>
      </c>
      <c r="L30" s="30" t="s">
        <v>583</v>
      </c>
      <c r="M30" s="30" t="s">
        <v>584</v>
      </c>
      <c r="N30" s="30" t="s">
        <v>585</v>
      </c>
      <c r="O30" s="30" t="s">
        <v>586</v>
      </c>
      <c r="P30" s="30" t="s">
        <v>587</v>
      </c>
      <c r="Q30" s="30" t="s">
        <v>588</v>
      </c>
      <c r="R30" s="30" t="s">
        <v>589</v>
      </c>
      <c r="S30" s="30" t="s">
        <v>590</v>
      </c>
      <c r="T30" s="30" t="s">
        <v>591</v>
      </c>
      <c r="U30" s="30" t="s">
        <v>592</v>
      </c>
      <c r="V30" s="30" t="s">
        <v>593</v>
      </c>
      <c r="W30" s="30" t="s">
        <v>594</v>
      </c>
      <c r="X30" s="30" t="s">
        <v>595</v>
      </c>
      <c r="Y30" s="30" t="s">
        <v>596</v>
      </c>
      <c r="Z30" s="30" t="s">
        <v>597</v>
      </c>
      <c r="AA30" s="30" t="s">
        <v>598</v>
      </c>
      <c r="AB30" s="30" t="s">
        <v>599</v>
      </c>
      <c r="AC30" s="30" t="s">
        <v>600</v>
      </c>
      <c r="AD30" s="30" t="s">
        <v>601</v>
      </c>
      <c r="AL30" s="101" t="n">
        <f aca="false">-($C$10*LBO!$D$23*(1+LBO!$D$39)+LBO!$D$84)</f>
        <v>-238.379813330972</v>
      </c>
      <c r="AM30" s="101" t="n">
        <f aca="false">LBO!I$245</f>
        <v>0</v>
      </c>
      <c r="AN30" s="101" t="n">
        <f aca="false">LBO!J$245</f>
        <v>0.454703371659619</v>
      </c>
      <c r="AO30" s="101" t="n">
        <f aca="false">LBO!K$245</f>
        <v>39.1876783920155</v>
      </c>
      <c r="AP30" s="101" t="n">
        <f aca="false">LBO!L$245</f>
        <v>36.0053106865155</v>
      </c>
      <c r="AQ30" s="101" t="n">
        <f aca="false">LBO!M$245+(LBO!$M$238*I$6*(1-LBO!$D$44)-LBO!$M$155+LBO!$M$146)</f>
        <v>393.317419004478</v>
      </c>
      <c r="AS30" s="101" t="n">
        <f aca="false">-($C$96*LBO!$D$23*(1+LBO!$D$39)+$Y$31)</f>
        <v>-296.195022075281</v>
      </c>
      <c r="AT30" s="92" t="n">
        <f aca="false">$Z$31</f>
        <v>0</v>
      </c>
      <c r="AU30" s="92" t="n">
        <f aca="false">$AA$31</f>
        <v>0</v>
      </c>
      <c r="AV30" s="92" t="n">
        <f aca="false">$AB$31</f>
        <v>12.2843218795599</v>
      </c>
      <c r="AW30" s="92" t="n">
        <f aca="false">$AC$31</f>
        <v>15.0707686617381</v>
      </c>
      <c r="AX30" s="92" t="n">
        <f aca="false">$AD$31+$R$31</f>
        <v>87.5525956716077</v>
      </c>
    </row>
    <row r="31" customFormat="false" ht="12.75" hidden="false" customHeight="true" outlineLevel="0" collapsed="false">
      <c r="B31" s="38" t="n">
        <v>1</v>
      </c>
      <c r="C31" s="104" t="str">
        <f aca="false">MCASE!C9</f>
        <v>Downside | Base</v>
      </c>
      <c r="D31" s="95" t="n">
        <f aca="false">IF(MCASE=$B31,LBO!$D$19,D31)</f>
        <v>10.75</v>
      </c>
      <c r="E31" s="71" t="n">
        <f aca="false">IF(MCASE=$B31,LBO!$D$20,E31)</f>
        <v>0.304611650485437</v>
      </c>
      <c r="F31" s="72" t="n">
        <f aca="false">IF(MCASE=$B31,LBO!$D$33,F31)</f>
        <v>7.73536986215828</v>
      </c>
      <c r="G31" s="72" t="n">
        <f aca="false">IF(MCASE=$B31,LBO!$D$35,G31)</f>
        <v>5.55252981634431</v>
      </c>
      <c r="H31" s="67" t="n">
        <f aca="false">IF(MCASE=$B31,LBO!$D$80,H31)</f>
        <v>257.139747075281</v>
      </c>
      <c r="I31" s="71" t="n">
        <f aca="false">IF(MCASE=$B31,LBO!$D$81,I31)</f>
        <v>0.786024166657157</v>
      </c>
      <c r="J31" s="67" t="n">
        <f aca="false">IF(MCASE=$B31,LBO!$D$74+LBO!$D$75,J31)</f>
        <v>70</v>
      </c>
      <c r="K31" s="67" t="n">
        <f aca="false">IF(MCASE=$B31,LBO!$I$113,K31)</f>
        <v>82.33493632</v>
      </c>
      <c r="L31" s="67" t="n">
        <f aca="false">IF(MCASE=$B31,LBO!$J$109+LBO!$J$110,L31)</f>
        <v>71.471027264</v>
      </c>
      <c r="M31" s="67" t="n">
        <f aca="false">IF(MCASE=$B31,LBO!$M$113,M31)</f>
        <v>40.316171855232</v>
      </c>
      <c r="N31" s="67" t="n">
        <f aca="false">IF(MCASE=$B31,LBO!$H$129,N31)</f>
        <v>34.9314224</v>
      </c>
      <c r="O31" s="67" t="n">
        <f aca="false">IF(MCASE=$B31,LBO!$I$129,O31)</f>
        <v>48.6638489144</v>
      </c>
      <c r="P31" s="67" t="n">
        <f aca="false">IF(MCASE=$B31,LBO!$M$129,P31)</f>
        <v>11.1603255432723</v>
      </c>
      <c r="Q31" s="67" t="n">
        <f aca="false">IF(MCASE=$B31,LBO!$M$246,Q31)</f>
        <v>36.4324639024844</v>
      </c>
      <c r="R31" s="67" t="n">
        <f aca="false">IF(MCASE=$B31,LBO!$M$244,R31)</f>
        <v>78.4752223104212</v>
      </c>
      <c r="S31" s="98" t="n">
        <f aca="false">IF(MCASE=$B31,LBO!$D$255,S31)</f>
        <v>0.446868628906542</v>
      </c>
      <c r="T31" s="71" t="n">
        <f aca="false">IF(MCASE=$B31,LBO!$D$256,T31)</f>
        <v>-0.157793584892406</v>
      </c>
      <c r="U31" s="98" t="n">
        <f aca="false">IF(MCASE=$B31,LBO!$D$231,U31)</f>
        <v>-0.000210094964951672</v>
      </c>
      <c r="V31" s="72" t="n">
        <f aca="false">IF(MCASE=$B31,LBO!$D$232,V31)</f>
        <v>8.75326341877328</v>
      </c>
      <c r="W31" s="95" t="n">
        <f aca="false">IF(MCASE=$B31,ATP!$C$58,W31)</f>
        <v>6.76377633561654</v>
      </c>
      <c r="X31" s="95" t="n">
        <f aca="false">IF(MCASE=$B31,ATP!$C$59,X31)</f>
        <v>6.60226413949027</v>
      </c>
      <c r="Y31" s="67" t="n">
        <f aca="false">IF(MCASE=$B31,LBO!$D$84,Y31)</f>
        <v>-302.652527924719</v>
      </c>
      <c r="Z31" s="67" t="n">
        <f aca="false">IF(MCASE=$B31,LBO!$I$245,Z31)</f>
        <v>0</v>
      </c>
      <c r="AA31" s="67" t="n">
        <f aca="false">IF(MCASE=$B31,LBO!$J$245,AA31)</f>
        <v>0</v>
      </c>
      <c r="AB31" s="67" t="n">
        <f aca="false">IF(MCASE=$B31,LBO!$K$245,AB31)</f>
        <v>12.2843218795599</v>
      </c>
      <c r="AC31" s="67" t="n">
        <f aca="false">IF(MCASE=$B31,LBO!$L$245,AC31)</f>
        <v>15.0707686617381</v>
      </c>
      <c r="AD31" s="67" t="n">
        <f aca="false">IF(MCASE=$B31,LBO!$M$245,AD31)</f>
        <v>9.07737336118644</v>
      </c>
      <c r="AL31" s="101" t="n">
        <f aca="false">-($C$10*LBO!$D$23*(1+LBO!$D$39)+LBO!$D$84)</f>
        <v>-238.379813330972</v>
      </c>
      <c r="AM31" s="101" t="n">
        <f aca="false">LBO!I$245</f>
        <v>0</v>
      </c>
      <c r="AN31" s="101" t="n">
        <f aca="false">LBO!J$245</f>
        <v>0.454703371659619</v>
      </c>
      <c r="AO31" s="101" t="n">
        <f aca="false">LBO!K$245</f>
        <v>39.1876783920155</v>
      </c>
      <c r="AP31" s="101" t="n">
        <f aca="false">LBO!L$245</f>
        <v>36.0053106865155</v>
      </c>
      <c r="AQ31" s="101" t="n">
        <f aca="false">LBO!M$245+(LBO!$M$238*J$6*(1-LBO!$D$44)-LBO!$M$155+LBO!$M$146)</f>
        <v>438.98111435631</v>
      </c>
      <c r="AS31" s="101" t="n">
        <f aca="false">-($C$96*LBO!$D$23*(1+LBO!$D$39)+$Y$32)</f>
        <v>-295.80990707781</v>
      </c>
      <c r="AT31" s="92" t="n">
        <f aca="false">$Z$32</f>
        <v>0</v>
      </c>
      <c r="AU31" s="92" t="n">
        <f aca="false">$AA$32</f>
        <v>0</v>
      </c>
      <c r="AV31" s="92" t="n">
        <f aca="false">$AB$32</f>
        <v>29.3097429840168</v>
      </c>
      <c r="AW31" s="92" t="n">
        <f aca="false">$AC$32</f>
        <v>26.4142009338664</v>
      </c>
      <c r="AX31" s="92" t="n">
        <f aca="false">$AD$32+$R$32</f>
        <v>194.29903992322</v>
      </c>
    </row>
    <row r="32" customFormat="false" ht="12.75" hidden="false" customHeight="true" outlineLevel="0" collapsed="false">
      <c r="B32" s="38" t="n">
        <v>2</v>
      </c>
      <c r="C32" s="104" t="str">
        <f aca="false">MCASE!C10</f>
        <v>Conservative | Base</v>
      </c>
      <c r="D32" s="95" t="n">
        <f aca="false">IF(MCASE=$B32,LBO!$D$19,D32)</f>
        <v>10.75</v>
      </c>
      <c r="E32" s="71" t="n">
        <f aca="false">IF(MCASE=$B32,LBO!$D$20,E32)</f>
        <v>0.304611650485437</v>
      </c>
      <c r="F32" s="72" t="n">
        <f aca="false">IF(MCASE=$B32,LBO!$D$33,F32)</f>
        <v>7.57349320400734</v>
      </c>
      <c r="G32" s="72" t="n">
        <f aca="false">IF(MCASE=$B32,LBO!$D$35,G32)</f>
        <v>5.07917394073017</v>
      </c>
      <c r="H32" s="67" t="n">
        <f aca="false">IF(MCASE=$B32,LBO!$D$80,H32)</f>
        <v>256.75463207781</v>
      </c>
      <c r="I32" s="71" t="n">
        <f aca="false">IF(MCASE=$B32,LBO!$D$81,I32)</f>
        <v>0.785771973438066</v>
      </c>
      <c r="J32" s="67" t="n">
        <f aca="false">IF(MCASE=$B32,LBO!$D$74+LBO!$D$75,J32)</f>
        <v>70</v>
      </c>
      <c r="K32" s="67" t="n">
        <f aca="false">IF(MCASE=$B32,LBO!$I$113,K32)</f>
        <v>86.94587328</v>
      </c>
      <c r="L32" s="67" t="n">
        <f aca="false">IF(MCASE=$B32,LBO!$J$109+LBO!$J$110,L32)</f>
        <v>80.31718128</v>
      </c>
      <c r="M32" s="67" t="n">
        <f aca="false">IF(MCASE=$B32,LBO!$M$113,M32)</f>
        <v>60.0298190468928</v>
      </c>
      <c r="N32" s="67" t="n">
        <f aca="false">IF(MCASE=$B32,LBO!$H$129,N32)</f>
        <v>35.6272</v>
      </c>
      <c r="O32" s="67" t="n">
        <f aca="false">IF(MCASE=$B32,LBO!$I$129,O32)</f>
        <v>53.1232756008</v>
      </c>
      <c r="P32" s="67" t="n">
        <f aca="false">IF(MCASE=$B32,LBO!$M$129,P32)</f>
        <v>29.8030553014704</v>
      </c>
      <c r="Q32" s="67" t="n">
        <f aca="false">IF(MCASE=$B32,LBO!$M$246,Q32)</f>
        <v>77.9209412173334</v>
      </c>
      <c r="R32" s="67" t="n">
        <f aca="false">IF(MCASE=$B32,LBO!$M$244,R32)</f>
        <v>172.10204262377</v>
      </c>
      <c r="S32" s="98" t="n">
        <f aca="false">IF(MCASE=$B32,LBO!$D$255,S32)</f>
        <v>0.973781784646959</v>
      </c>
      <c r="T32" s="71" t="n">
        <f aca="false">IF(MCASE=$B32,LBO!$D$256,T32)</f>
        <v>-0.00568361362622708</v>
      </c>
      <c r="U32" s="98" t="n">
        <f aca="false">IF(MCASE=$B32,LBO!$D$231,U32)</f>
        <v>-0.0507583148515226</v>
      </c>
      <c r="V32" s="72" t="n">
        <f aca="false">IF(MCASE=$B32,LBO!$D$232,V32)</f>
        <v>9.78226424202213</v>
      </c>
      <c r="W32" s="95" t="n">
        <f aca="false">IF(MCASE=$B32,ATP!$C$58,W32)</f>
        <v>7.88924267099871</v>
      </c>
      <c r="X32" s="95" t="n">
        <f aca="false">IF(MCASE=$B32,ATP!$C$59,X32)</f>
        <v>7.5379970586795</v>
      </c>
      <c r="Y32" s="67" t="n">
        <f aca="false">IF(MCASE=$B32,LBO!$D$84,Y32)</f>
        <v>-303.03764292219</v>
      </c>
      <c r="Z32" s="67" t="n">
        <f aca="false">IF(MCASE=$B32,LBO!$I$245,Z32)</f>
        <v>0</v>
      </c>
      <c r="AA32" s="67" t="n">
        <f aca="false">IF(MCASE=$B32,LBO!$J$245,AA32)</f>
        <v>0</v>
      </c>
      <c r="AB32" s="67" t="n">
        <f aca="false">IF(MCASE=$B32,LBO!$K$245,AB32)</f>
        <v>29.3097429840168</v>
      </c>
      <c r="AC32" s="67" t="n">
        <f aca="false">IF(MCASE=$B32,LBO!$L$245,AC32)</f>
        <v>26.4142009338664</v>
      </c>
      <c r="AD32" s="67" t="n">
        <f aca="false">IF(MCASE=$B32,LBO!$M$245,AD32)</f>
        <v>22.1969972994503</v>
      </c>
      <c r="AL32" s="101" t="n">
        <f aca="false">-($C$10*LBO!$D$23*(1+LBO!$D$39)+LBO!$D$84)</f>
        <v>-238.379813330972</v>
      </c>
      <c r="AM32" s="101" t="n">
        <f aca="false">LBO!I$245</f>
        <v>0</v>
      </c>
      <c r="AN32" s="101" t="n">
        <f aca="false">LBO!J$245</f>
        <v>0.454703371659619</v>
      </c>
      <c r="AO32" s="101" t="n">
        <f aca="false">LBO!K$245</f>
        <v>39.1876783920155</v>
      </c>
      <c r="AP32" s="101" t="n">
        <f aca="false">LBO!L$245</f>
        <v>36.0053106865155</v>
      </c>
      <c r="AQ32" s="101" t="n">
        <f aca="false">LBO!M$245+(LBO!$M$238*K$6*(1-LBO!$D$44)-LBO!$M$155+LBO!$M$146)</f>
        <v>484.644809708142</v>
      </c>
      <c r="AS32" s="101" t="n">
        <f aca="false">-($C$96*LBO!$D$23*(1+LBO!$D$39)+$Y$33)</f>
        <v>-290.453513330972</v>
      </c>
      <c r="AT32" s="92" t="n">
        <f aca="false">$Z$33</f>
        <v>0</v>
      </c>
      <c r="AU32" s="92" t="n">
        <f aca="false">$AA$33</f>
        <v>0.454703371659619</v>
      </c>
      <c r="AV32" s="92" t="n">
        <f aca="false">$AB$33</f>
        <v>39.1876783920155</v>
      </c>
      <c r="AW32" s="92" t="n">
        <f aca="false">$AC$33</f>
        <v>36.0053106865155</v>
      </c>
      <c r="AX32" s="92" t="n">
        <f aca="false">$AD$33+$R$33</f>
        <v>324.82187597673</v>
      </c>
    </row>
    <row r="33" customFormat="false" ht="12.75" hidden="false" customHeight="true" outlineLevel="0" collapsed="false">
      <c r="B33" s="38" t="n">
        <v>3</v>
      </c>
      <c r="C33" s="104" t="str">
        <f aca="false">MCASE!C11</f>
        <v>Sponsor base | Base</v>
      </c>
      <c r="D33" s="95" t="n">
        <f aca="false">IF(MCASE=$B33,LBO!$D$19,D33)</f>
        <v>10.75</v>
      </c>
      <c r="E33" s="71" t="n">
        <f aca="false">IF(MCASE=$B33,LBO!$D$20,E33)</f>
        <v>0.304611650485437</v>
      </c>
      <c r="F33" s="72" t="n">
        <f aca="false">IF(MCASE=$B33,LBO!$D$33,F33)</f>
        <v>7.37982680651733</v>
      </c>
      <c r="G33" s="72" t="n">
        <f aca="false">IF(MCASE=$B33,LBO!$D$35,G33)</f>
        <v>4.68415559981483</v>
      </c>
      <c r="H33" s="67" t="n">
        <f aca="false">IF(MCASE=$B33,LBO!$D$80,H33)</f>
        <v>251.398238330972</v>
      </c>
      <c r="I33" s="71" t="n">
        <f aca="false">IF(MCASE=$B33,LBO!$D$81,I33)</f>
        <v>0.770219348047005</v>
      </c>
      <c r="J33" s="67" t="n">
        <f aca="false">IF(MCASE=$B33,LBO!$D$74+LBO!$D$75,J33)</f>
        <v>75</v>
      </c>
      <c r="K33" s="67" t="n">
        <f aca="false">IF(MCASE=$B33,LBO!$I$113,K33)</f>
        <v>90.9024032</v>
      </c>
      <c r="L33" s="67" t="n">
        <f aca="false">IF(MCASE=$B33,LBO!$J$109+LBO!$J$110,L33)</f>
        <v>87.739811936</v>
      </c>
      <c r="M33" s="67" t="n">
        <f aca="false">IF(MCASE=$B33,LBO!$M$113,M33)</f>
        <v>77.2792548128653</v>
      </c>
      <c r="N33" s="67" t="n">
        <f aca="false">IF(MCASE=$B33,LBO!$H$129,N33)</f>
        <v>36.496922</v>
      </c>
      <c r="O33" s="67" t="n">
        <f aca="false">IF(MCASE=$B33,LBO!$I$129,O33)</f>
        <v>57.50043046</v>
      </c>
      <c r="P33" s="67" t="n">
        <f aca="false">IF(MCASE=$B33,LBO!$M$129,P33)</f>
        <v>46.3590815754639</v>
      </c>
      <c r="Q33" s="67" t="n">
        <f aca="false">IF(MCASE=$B33,LBO!$M$246,Q33)</f>
        <v>109.319243991846</v>
      </c>
      <c r="R33" s="67" t="n">
        <f aca="false">IF(MCASE=$B33,LBO!$M$244,R33)</f>
        <v>291.150324435074</v>
      </c>
      <c r="S33" s="98" t="n">
        <f aca="false">IF(MCASE=$B33,LBO!$D$255,S33)</f>
        <v>1.59296887315372</v>
      </c>
      <c r="T33" s="71" t="n">
        <f aca="false">IF(MCASE=$B33,LBO!$D$256,T33)</f>
        <v>0.104373548503802</v>
      </c>
      <c r="U33" s="98" t="n">
        <f aca="false">IF(MCASE=$B33,LBO!$D$231,U33)</f>
        <v>-0.00191672952254638</v>
      </c>
      <c r="V33" s="72" t="n">
        <f aca="false">IF(MCASE=$B33,LBO!$D$232,V33)</f>
        <v>9.92291807086695</v>
      </c>
      <c r="W33" s="95" t="n">
        <f aca="false">IF(MCASE=$B33,ATP!$C$58,W33)</f>
        <v>9.20407339186173</v>
      </c>
      <c r="X33" s="95" t="n">
        <f aca="false">IF(MCASE=$B33,ATP!$C$59,X33)</f>
        <v>8.64034139576894</v>
      </c>
      <c r="Y33" s="67" t="n">
        <f aca="false">IF(MCASE=$B33,LBO!$D$84,Y33)</f>
        <v>-308.394036669028</v>
      </c>
      <c r="Z33" s="67" t="n">
        <f aca="false">IF(MCASE=$B33,LBO!$I$245,Z33)</f>
        <v>0</v>
      </c>
      <c r="AA33" s="67" t="n">
        <f aca="false">IF(MCASE=$B33,LBO!$J$245,AA33)</f>
        <v>0.454703371659619</v>
      </c>
      <c r="AB33" s="67" t="n">
        <f aca="false">IF(MCASE=$B33,LBO!$K$245,AB33)</f>
        <v>39.1876783920155</v>
      </c>
      <c r="AC33" s="67" t="n">
        <f aca="false">IF(MCASE=$B33,LBO!$L$245,AC33)</f>
        <v>36.0053106865155</v>
      </c>
      <c r="AD33" s="67" t="n">
        <f aca="false">IF(MCASE=$B33,LBO!$M$245,AD33)</f>
        <v>33.6715515416554</v>
      </c>
      <c r="AL33" s="101" t="n">
        <f aca="false">-($C$11*LBO!$D$23*(1+LBO!$D$39)+LBO!$D$84)</f>
        <v>-264.416663330973</v>
      </c>
      <c r="AM33" s="101" t="n">
        <f aca="false">LBO!I$245</f>
        <v>0</v>
      </c>
      <c r="AN33" s="101" t="n">
        <f aca="false">LBO!J$245</f>
        <v>0.454703371659619</v>
      </c>
      <c r="AO33" s="101" t="n">
        <f aca="false">LBO!K$245</f>
        <v>39.1876783920155</v>
      </c>
      <c r="AP33" s="101" t="n">
        <f aca="false">LBO!L$245</f>
        <v>36.0053106865155</v>
      </c>
      <c r="AQ33" s="101" t="n">
        <f aca="false">LBO!M$245+(LBO!$M$238*E$6*(1-LBO!$D$44)-LBO!$M$155+LBO!$M$146)</f>
        <v>210.66263759715</v>
      </c>
      <c r="AS33" s="101" t="n">
        <f aca="false">-($C$96*LBO!$D$23*(1+LBO!$D$39)+$Y$34)</f>
        <v>-290.068398333502</v>
      </c>
      <c r="AT33" s="92" t="n">
        <f aca="false">$Z$34</f>
        <v>0</v>
      </c>
      <c r="AU33" s="92" t="n">
        <f aca="false">$AA$34</f>
        <v>9.36196165821613</v>
      </c>
      <c r="AV33" s="92" t="n">
        <f aca="false">$AB$34</f>
        <v>48.8061378955752</v>
      </c>
      <c r="AW33" s="92" t="n">
        <f aca="false">$AC$34</f>
        <v>49.6908112109533</v>
      </c>
      <c r="AX33" s="92" t="n">
        <f aca="false">$AD$34+$R$34</f>
        <v>579.079170164906</v>
      </c>
    </row>
    <row r="34" customFormat="false" ht="12.75" hidden="false" customHeight="true" outlineLevel="0" collapsed="false">
      <c r="B34" s="38" t="n">
        <v>4</v>
      </c>
      <c r="C34" s="104" t="str">
        <f aca="false">MCASE!C12</f>
        <v>Orals underwhelm | Base</v>
      </c>
      <c r="D34" s="95" t="n">
        <f aca="false">IF(MCASE=$B34,LBO!$D$19,D34)</f>
        <v>10.75</v>
      </c>
      <c r="E34" s="71" t="n">
        <f aca="false">IF(MCASE=$B34,LBO!$D$20,E34)</f>
        <v>0.304611650485437</v>
      </c>
      <c r="F34" s="72" t="n">
        <f aca="false">IF(MCASE=$B34,LBO!$D$33,F34)</f>
        <v>7.23141506871155</v>
      </c>
      <c r="G34" s="72" t="n">
        <f aca="false">IF(MCASE=$B34,LBO!$D$35,G34)</f>
        <v>4.30289628038206</v>
      </c>
      <c r="H34" s="67" t="n">
        <f aca="false">IF(MCASE=$B34,LBO!$D$80,H34)</f>
        <v>251.013123333502</v>
      </c>
      <c r="I34" s="71" t="n">
        <f aca="false">IF(MCASE=$B34,LBO!$D$81,I34)</f>
        <v>0.769947911197191</v>
      </c>
      <c r="J34" s="67" t="n">
        <f aca="false">IF(MCASE=$B34,LBO!$D$74+LBO!$D$75,J34)</f>
        <v>75</v>
      </c>
      <c r="K34" s="67" t="n">
        <f aca="false">IF(MCASE=$B34,LBO!$I$113,K34)</f>
        <v>96.8541224</v>
      </c>
      <c r="L34" s="67" t="n">
        <f aca="false">IF(MCASE=$B34,LBO!$J$109+LBO!$J$110,L34)</f>
        <v>98.302280048</v>
      </c>
      <c r="M34" s="67" t="n">
        <f aca="false">IF(MCASE=$B34,LBO!$M$113,M34)</f>
        <v>104.2926326114</v>
      </c>
      <c r="N34" s="67" t="n">
        <f aca="false">IF(MCASE=$B34,LBO!$H$129,N34)</f>
        <v>37.1926996</v>
      </c>
      <c r="O34" s="67" t="n">
        <f aca="false">IF(MCASE=$B34,LBO!$I$129,O34)</f>
        <v>62.50577072</v>
      </c>
      <c r="P34" s="67" t="n">
        <f aca="false">IF(MCASE=$B34,LBO!$M$129,P34)</f>
        <v>70.8464560391083</v>
      </c>
      <c r="Q34" s="67" t="n">
        <f aca="false">IF(MCASE=$B34,LBO!$M$246,Q34)</f>
        <v>158.451766540004</v>
      </c>
      <c r="R34" s="67" t="n">
        <f aca="false">IF(MCASE=$B34,LBO!$M$244,R34)</f>
        <v>528.486314389646</v>
      </c>
      <c r="S34" s="98" t="n">
        <f aca="false">IF(MCASE=$B34,LBO!$D$255,S34)</f>
        <v>2.73666201912865</v>
      </c>
      <c r="T34" s="71" t="n">
        <f aca="false">IF(MCASE=$B34,LBO!$D$256,T34)</f>
        <v>0.239168359734197</v>
      </c>
      <c r="U34" s="98" t="n">
        <f aca="false">IF(MCASE=$B34,LBO!$D$231,U34)</f>
        <v>-0.0476973602728509</v>
      </c>
      <c r="V34" s="72" t="n">
        <f aca="false">IF(MCASE=$B34,LBO!$D$232,V34)</f>
        <v>11.0494845590191</v>
      </c>
      <c r="W34" s="95" t="n">
        <f aca="false">IF(MCASE=$B34,ATP!$C$58,W34)</f>
        <v>11.5261117354279</v>
      </c>
      <c r="X34" s="95" t="n">
        <f aca="false">IF(MCASE=$B34,ATP!$C$59,X34)</f>
        <v>10.5593719762939</v>
      </c>
      <c r="Y34" s="67" t="n">
        <f aca="false">IF(MCASE=$B34,LBO!$D$84,Y34)</f>
        <v>-308.779151666498</v>
      </c>
      <c r="Z34" s="67" t="n">
        <f aca="false">IF(MCASE=$B34,LBO!$I$245,Z34)</f>
        <v>0</v>
      </c>
      <c r="AA34" s="67" t="n">
        <f aca="false">IF(MCASE=$B34,LBO!$J$245,AA34)</f>
        <v>9.36196165821613</v>
      </c>
      <c r="AB34" s="67" t="n">
        <f aca="false">IF(MCASE=$B34,LBO!$K$245,AB34)</f>
        <v>48.8061378955752</v>
      </c>
      <c r="AC34" s="67" t="n">
        <f aca="false">IF(MCASE=$B34,LBO!$L$245,AC34)</f>
        <v>49.6908112109533</v>
      </c>
      <c r="AD34" s="67" t="n">
        <f aca="false">IF(MCASE=$B34,LBO!$M$245,AD34)</f>
        <v>50.5928557752596</v>
      </c>
      <c r="AL34" s="101" t="n">
        <f aca="false">-($C$11*LBO!$D$23*(1+LBO!$D$39)+LBO!$D$84)</f>
        <v>-264.416663330973</v>
      </c>
      <c r="AM34" s="101" t="n">
        <f aca="false">LBO!I$245</f>
        <v>0</v>
      </c>
      <c r="AN34" s="101" t="n">
        <f aca="false">LBO!J$245</f>
        <v>0.454703371659619</v>
      </c>
      <c r="AO34" s="101" t="n">
        <f aca="false">LBO!K$245</f>
        <v>39.1876783920155</v>
      </c>
      <c r="AP34" s="101" t="n">
        <f aca="false">LBO!L$245</f>
        <v>36.0053106865155</v>
      </c>
      <c r="AQ34" s="101" t="n">
        <f aca="false">LBO!M$245+(LBO!$M$238*F$6*(1-LBO!$D$44)-LBO!$M$155+LBO!$M$146)</f>
        <v>256.326332948982</v>
      </c>
      <c r="AS34" s="101" t="n">
        <f aca="false">-($C$96*LBO!$D$23*(1+LBO!$D$39)+$Y$35)</f>
        <v>-290.068398333502</v>
      </c>
      <c r="AT34" s="92" t="n">
        <f aca="false">$Z$35</f>
        <v>0</v>
      </c>
      <c r="AU34" s="92" t="n">
        <f aca="false">$AA$35</f>
        <v>0</v>
      </c>
      <c r="AV34" s="92" t="n">
        <f aca="false">$AB$35</f>
        <v>25.3706125049548</v>
      </c>
      <c r="AW34" s="92" t="n">
        <f aca="false">$AC$35</f>
        <v>47.6508112109533</v>
      </c>
      <c r="AX34" s="92" t="n">
        <f aca="false">$AD$35+$R$35</f>
        <v>887.976688561937</v>
      </c>
    </row>
    <row r="35" customFormat="false" ht="12.75" hidden="false" customHeight="true" outlineLevel="0" collapsed="false">
      <c r="B35" s="38" t="n">
        <v>5</v>
      </c>
      <c r="C35" s="104" t="str">
        <f aca="false">MCASE!C13</f>
        <v>Upside (vitiligo) | Base</v>
      </c>
      <c r="D35" s="95" t="n">
        <f aca="false">IF(MCASE=$B35,LBO!$D$19,D35)</f>
        <v>10.75</v>
      </c>
      <c r="E35" s="71" t="n">
        <f aca="false">IF(MCASE=$B35,LBO!$D$20,E35)</f>
        <v>0.304611650485437</v>
      </c>
      <c r="F35" s="72" t="n">
        <f aca="false">IF(MCASE=$B35,LBO!$D$33,F35)</f>
        <v>7.23141506871155</v>
      </c>
      <c r="G35" s="72" t="n">
        <f aca="false">IF(MCASE=$B35,LBO!$D$35,G35)</f>
        <v>5.32524985757711</v>
      </c>
      <c r="H35" s="67" t="n">
        <f aca="false">IF(MCASE=$B35,LBO!$D$80,H35)</f>
        <v>251.013123333502</v>
      </c>
      <c r="I35" s="71" t="n">
        <f aca="false">IF(MCASE=$B35,LBO!$D$81,I35)</f>
        <v>0.769947911197191</v>
      </c>
      <c r="J35" s="67" t="n">
        <f aca="false">IF(MCASE=$B35,LBO!$D$74+LBO!$D$75,J35)</f>
        <v>75</v>
      </c>
      <c r="K35" s="67" t="n">
        <f aca="false">IF(MCASE=$B35,LBO!$I$113,K35)</f>
        <v>96.8541224</v>
      </c>
      <c r="L35" s="67" t="n">
        <f aca="false">IF(MCASE=$B35,LBO!$J$109+LBO!$J$110,L35)</f>
        <v>98.302280048</v>
      </c>
      <c r="M35" s="67" t="n">
        <f aca="false">IF(MCASE=$B35,LBO!$M$113,M35)</f>
        <v>144.2926326114</v>
      </c>
      <c r="N35" s="67" t="n">
        <f aca="false">IF(MCASE=$B35,LBO!$H$129,N35)</f>
        <v>37.1926996</v>
      </c>
      <c r="O35" s="67" t="n">
        <f aca="false">IF(MCASE=$B35,LBO!$I$129,O35)</f>
        <v>50.50577072</v>
      </c>
      <c r="P35" s="67" t="n">
        <f aca="false">IF(MCASE=$B35,LBO!$M$129,P35)</f>
        <v>88.8464560391083</v>
      </c>
      <c r="Q35" s="67" t="n">
        <f aca="false">IF(MCASE=$B35,LBO!$M$246,Q35)</f>
        <v>133.374279491168</v>
      </c>
      <c r="R35" s="67" t="n">
        <f aca="false">IF(MCASE=$B35,LBO!$M$244,R35)</f>
        <v>827.623832786677</v>
      </c>
      <c r="S35" s="98" t="n">
        <f aca="false">IF(MCASE=$B35,LBO!$D$255,S35)</f>
        <v>3.82847756928247</v>
      </c>
      <c r="T35" s="71" t="n">
        <f aca="false">IF(MCASE=$B35,LBO!$D$256,T35)</f>
        <v>0.31705212888903</v>
      </c>
      <c r="U35" s="98" t="n">
        <f aca="false">IF(MCASE=$B35,LBO!$D$231,U35)</f>
        <v>0.118163271668159</v>
      </c>
      <c r="V35" s="72" t="n">
        <f aca="false">IF(MCASE=$B35,LBO!$D$232,V35)</f>
        <v>8.29805281917356</v>
      </c>
      <c r="W35" s="95" t="n">
        <f aca="false">IF(MCASE=$B35,ATP!$C$58,W35)</f>
        <v>13.5058366406021</v>
      </c>
      <c r="X35" s="95" t="n">
        <f aca="false">IF(MCASE=$B35,ATP!$C$59,X35)</f>
        <v>12.1416161872311</v>
      </c>
      <c r="Y35" s="67" t="n">
        <f aca="false">IF(MCASE=$B35,LBO!$D$84,Y35)</f>
        <v>-308.779151666498</v>
      </c>
      <c r="Z35" s="67" t="n">
        <f aca="false">IF(MCASE=$B35,LBO!$I$245,Z35)</f>
        <v>0</v>
      </c>
      <c r="AA35" s="67" t="n">
        <f aca="false">IF(MCASE=$B35,LBO!$J$245,AA35)</f>
        <v>0</v>
      </c>
      <c r="AB35" s="67" t="n">
        <f aca="false">IF(MCASE=$B35,LBO!$K$245,AB35)</f>
        <v>25.3706125049548</v>
      </c>
      <c r="AC35" s="67" t="n">
        <f aca="false">IF(MCASE=$B35,LBO!$L$245,AC35)</f>
        <v>47.6508112109533</v>
      </c>
      <c r="AD35" s="67" t="n">
        <f aca="false">IF(MCASE=$B35,LBO!$M$245,AD35)</f>
        <v>60.3528557752599</v>
      </c>
      <c r="AL35" s="101" t="n">
        <f aca="false">-($C$11*LBO!$D$23*(1+LBO!$D$39)+LBO!$D$84)</f>
        <v>-264.416663330973</v>
      </c>
      <c r="AM35" s="101" t="n">
        <f aca="false">LBO!I$245</f>
        <v>0</v>
      </c>
      <c r="AN35" s="101" t="n">
        <f aca="false">LBO!J$245</f>
        <v>0.454703371659619</v>
      </c>
      <c r="AO35" s="101" t="n">
        <f aca="false">LBO!K$245</f>
        <v>39.1876783920155</v>
      </c>
      <c r="AP35" s="101" t="n">
        <f aca="false">LBO!L$245</f>
        <v>36.0053106865155</v>
      </c>
      <c r="AQ35" s="101" t="n">
        <f aca="false">LBO!M$245+(LBO!$M$238*G$6*(1-LBO!$D$44)-LBO!$M$155+LBO!$M$146)</f>
        <v>301.990028300814</v>
      </c>
      <c r="AS35" s="101" t="n">
        <f aca="false">-($C$97*LBO!$D$23*(1+LBO!$D$39)+$Y$31)</f>
        <v>-322.231872075281</v>
      </c>
      <c r="AT35" s="92" t="n">
        <f aca="false">$Z$31</f>
        <v>0</v>
      </c>
      <c r="AU35" s="92" t="n">
        <f aca="false">$AA$31</f>
        <v>0</v>
      </c>
      <c r="AV35" s="92" t="n">
        <f aca="false">$AB$31</f>
        <v>12.2843218795599</v>
      </c>
      <c r="AW35" s="92" t="n">
        <f aca="false">$AC$31</f>
        <v>15.0707686617381</v>
      </c>
      <c r="AX35" s="92" t="n">
        <f aca="false">$AD$31+$R$31</f>
        <v>87.5525956716077</v>
      </c>
    </row>
    <row r="36" customFormat="false" ht="12.75" hidden="false" customHeight="true" outlineLevel="0" collapsed="false">
      <c r="B36" s="38" t="n">
        <v>6</v>
      </c>
      <c r="C36" s="104" t="str">
        <f aca="false">MCASE!C14</f>
        <v>Downside | High leverage</v>
      </c>
      <c r="D36" s="95" t="n">
        <f aca="false">IF(MCASE=$B36,LBO!$D$19,D36)</f>
        <v>10.75</v>
      </c>
      <c r="E36" s="71" t="n">
        <f aca="false">IF(MCASE=$B36,LBO!$D$20,E36)</f>
        <v>0.304611650485437</v>
      </c>
      <c r="F36" s="72" t="n">
        <f aca="false">IF(MCASE=$B36,LBO!$D$33,F36)</f>
        <v>7.73536986215828</v>
      </c>
      <c r="G36" s="72" t="n">
        <f aca="false">IF(MCASE=$B36,LBO!$D$35,G36)</f>
        <v>5.55252981634431</v>
      </c>
      <c r="H36" s="67" t="n">
        <f aca="false">IF(MCASE=$B36,LBO!$D$80,H36)</f>
        <v>199.039747075281</v>
      </c>
      <c r="I36" s="71" t="n">
        <f aca="false">IF(MCASE=$B36,LBO!$D$81,I36)</f>
        <v>0.604910953295082</v>
      </c>
      <c r="J36" s="67" t="n">
        <f aca="false">IF(MCASE=$B36,LBO!$D$74+LBO!$D$75,J36)</f>
        <v>130</v>
      </c>
      <c r="K36" s="67" t="n">
        <f aca="false">IF(MCASE=$B36,LBO!$I$113,K36)</f>
        <v>82.33493632</v>
      </c>
      <c r="L36" s="67" t="n">
        <f aca="false">IF(MCASE=$B36,LBO!$J$109+LBO!$J$110,L36)</f>
        <v>71.471027264</v>
      </c>
      <c r="M36" s="67" t="n">
        <f aca="false">IF(MCASE=$B36,LBO!$M$113,M36)</f>
        <v>40.316171855232</v>
      </c>
      <c r="N36" s="67" t="n">
        <f aca="false">IF(MCASE=$B36,LBO!$H$129,N36)</f>
        <v>34.9314224</v>
      </c>
      <c r="O36" s="67" t="n">
        <f aca="false">IF(MCASE=$B36,LBO!$I$129,O36)</f>
        <v>48.6638489144</v>
      </c>
      <c r="P36" s="67" t="n">
        <f aca="false">IF(MCASE=$B36,LBO!$M$129,P36)</f>
        <v>11.1603255432723</v>
      </c>
      <c r="Q36" s="67" t="n">
        <f aca="false">IF(MCASE=$B36,LBO!$M$246,Q36)</f>
        <v>2.99849034490762E-012</v>
      </c>
      <c r="R36" s="67" t="n">
        <f aca="false">IF(MCASE=$B36,LBO!$M$244,R36)</f>
        <v>30.0385379977721</v>
      </c>
      <c r="S36" s="98" t="n">
        <f aca="false">IF(MCASE=$B36,LBO!$D$255,S36)</f>
        <v>0.150917283804696</v>
      </c>
      <c r="T36" s="71" t="n">
        <f aca="false">IF(MCASE=$B36,LBO!$D$256,T36)</f>
        <v>-0.314909735443679</v>
      </c>
      <c r="U36" s="98" t="n">
        <f aca="false">IF(MCASE=$B36,LBO!$D$231,U36)</f>
        <v>1.33908440929659</v>
      </c>
      <c r="V36" s="72" t="n">
        <f aca="false">IF(MCASE=$B36,LBO!$D$232,V36)</f>
        <v>5.01837684903859</v>
      </c>
      <c r="W36" s="95" t="n">
        <f aca="false">IF(MCASE=$B36,ATP!$C$58,W36)</f>
        <v>7.15955160939571</v>
      </c>
      <c r="X36" s="95" t="n">
        <f aca="false">IF(MCASE=$B36,ATP!$C$59,X36)</f>
        <v>7.11675099053515</v>
      </c>
      <c r="Y36" s="67" t="n">
        <f aca="false">IF(MCASE=$B36,LBO!$D$84,Y36)</f>
        <v>-360.752527924719</v>
      </c>
      <c r="Z36" s="67" t="n">
        <f aca="false">IF(MCASE=$B36,LBO!$I$245,Z36)</f>
        <v>0</v>
      </c>
      <c r="AA36" s="67" t="n">
        <f aca="false">IF(MCASE=$B36,LBO!$J$245,AA36)</f>
        <v>0</v>
      </c>
      <c r="AB36" s="67" t="n">
        <f aca="false">IF(MCASE=$B36,LBO!$K$245,AB36)</f>
        <v>0</v>
      </c>
      <c r="AC36" s="67" t="n">
        <f aca="false">IF(MCASE=$B36,LBO!$L$245,AC36)</f>
        <v>0</v>
      </c>
      <c r="AD36" s="67" t="n">
        <f aca="false">IF(MCASE=$B36,LBO!$M$245,AD36)</f>
        <v>2.99849034490762E-012</v>
      </c>
      <c r="AL36" s="101" t="n">
        <f aca="false">-($C$11*LBO!$D$23*(1+LBO!$D$39)+LBO!$D$84)</f>
        <v>-264.416663330973</v>
      </c>
      <c r="AM36" s="101" t="n">
        <f aca="false">LBO!I$245</f>
        <v>0</v>
      </c>
      <c r="AN36" s="101" t="n">
        <f aca="false">LBO!J$245</f>
        <v>0.454703371659619</v>
      </c>
      <c r="AO36" s="101" t="n">
        <f aca="false">LBO!K$245</f>
        <v>39.1876783920155</v>
      </c>
      <c r="AP36" s="101" t="n">
        <f aca="false">LBO!L$245</f>
        <v>36.0053106865155</v>
      </c>
      <c r="AQ36" s="101" t="n">
        <f aca="false">LBO!M$245+(LBO!$M$238*H$6*(1-LBO!$D$44)-LBO!$M$155+LBO!$M$146)</f>
        <v>347.653723652646</v>
      </c>
      <c r="AS36" s="101" t="n">
        <f aca="false">-($C$97*LBO!$D$23*(1+LBO!$D$39)+$Y$32)</f>
        <v>-321.84675707781</v>
      </c>
      <c r="AT36" s="92" t="n">
        <f aca="false">$Z$32</f>
        <v>0</v>
      </c>
      <c r="AU36" s="92" t="n">
        <f aca="false">$AA$32</f>
        <v>0</v>
      </c>
      <c r="AV36" s="92" t="n">
        <f aca="false">$AB$32</f>
        <v>29.3097429840168</v>
      </c>
      <c r="AW36" s="92" t="n">
        <f aca="false">$AC$32</f>
        <v>26.4142009338664</v>
      </c>
      <c r="AX36" s="92" t="n">
        <f aca="false">$AD$32+$R$32</f>
        <v>194.29903992322</v>
      </c>
    </row>
    <row r="37" customFormat="false" ht="12.75" hidden="false" customHeight="true" outlineLevel="0" collapsed="false">
      <c r="B37" s="38" t="n">
        <v>7</v>
      </c>
      <c r="C37" s="104" t="str">
        <f aca="false">MCASE!C15</f>
        <v>Conservative | High leverage</v>
      </c>
      <c r="D37" s="95" t="n">
        <f aca="false">IF(MCASE=$B37,LBO!$D$19,D37)</f>
        <v>10.75</v>
      </c>
      <c r="E37" s="71" t="n">
        <f aca="false">IF(MCASE=$B37,LBO!$D$20,E37)</f>
        <v>0.304611650485437</v>
      </c>
      <c r="F37" s="72" t="n">
        <f aca="false">IF(MCASE=$B37,LBO!$D$33,F37)</f>
        <v>7.57349320400734</v>
      </c>
      <c r="G37" s="72" t="n">
        <f aca="false">IF(MCASE=$B37,LBO!$D$35,G37)</f>
        <v>5.07917394073017</v>
      </c>
      <c r="H37" s="67" t="n">
        <f aca="false">IF(MCASE=$B37,LBO!$D$80,H37)</f>
        <v>198.65463207781</v>
      </c>
      <c r="I37" s="71" t="n">
        <f aca="false">IF(MCASE=$B37,LBO!$D$81,I37)</f>
        <v>0.604447990955983</v>
      </c>
      <c r="J37" s="67" t="n">
        <f aca="false">IF(MCASE=$B37,LBO!$D$74+LBO!$D$75,J37)</f>
        <v>130</v>
      </c>
      <c r="K37" s="67" t="n">
        <f aca="false">IF(MCASE=$B37,LBO!$I$113,K37)</f>
        <v>86.94587328</v>
      </c>
      <c r="L37" s="67" t="n">
        <f aca="false">IF(MCASE=$B37,LBO!$J$109+LBO!$J$110,L37)</f>
        <v>80.31718128</v>
      </c>
      <c r="M37" s="67" t="n">
        <f aca="false">IF(MCASE=$B37,LBO!$M$113,M37)</f>
        <v>60.0298190468928</v>
      </c>
      <c r="N37" s="67" t="n">
        <f aca="false">IF(MCASE=$B37,LBO!$H$129,N37)</f>
        <v>35.6272</v>
      </c>
      <c r="O37" s="67" t="n">
        <f aca="false">IF(MCASE=$B37,LBO!$I$129,O37)</f>
        <v>53.1232756008</v>
      </c>
      <c r="P37" s="67" t="n">
        <f aca="false">IF(MCASE=$B37,LBO!$M$129,P37)</f>
        <v>29.8030553014704</v>
      </c>
      <c r="Q37" s="67" t="n">
        <f aca="false">IF(MCASE=$B37,LBO!$M$246,Q37)</f>
        <v>4.14956957683899E-012</v>
      </c>
      <c r="R37" s="67" t="n">
        <f aca="false">IF(MCASE=$B37,LBO!$M$244,R37)</f>
        <v>171.099772365037</v>
      </c>
      <c r="S37" s="98" t="n">
        <f aca="false">IF(MCASE=$B37,LBO!$D$255,S37)</f>
        <v>0.861292639267652</v>
      </c>
      <c r="T37" s="71" t="n">
        <f aca="false">IF(MCASE=$B37,LBO!$D$256,T37)</f>
        <v>-0.0294226611569268</v>
      </c>
      <c r="U37" s="98" t="n">
        <f aca="false">IF(MCASE=$B37,LBO!$D$231,U37)</f>
        <v>1.17596746904175</v>
      </c>
      <c r="V37" s="72" t="n">
        <f aca="false">IF(MCASE=$B37,LBO!$D$232,V37)</f>
        <v>5.55814933112107</v>
      </c>
      <c r="W37" s="95" t="n">
        <f aca="false">IF(MCASE=$B37,ATP!$C$58,W37)</f>
        <v>8.25558398986094</v>
      </c>
      <c r="X37" s="95" t="n">
        <f aca="false">IF(MCASE=$B37,ATP!$C$59,X37)</f>
        <v>8.01179129446854</v>
      </c>
      <c r="Y37" s="67" t="n">
        <f aca="false">IF(MCASE=$B37,LBO!$D$84,Y37)</f>
        <v>-361.13764292219</v>
      </c>
      <c r="Z37" s="67" t="n">
        <f aca="false">IF(MCASE=$B37,LBO!$I$245,Z37)</f>
        <v>0</v>
      </c>
      <c r="AA37" s="67" t="n">
        <f aca="false">IF(MCASE=$B37,LBO!$J$245,AA37)</f>
        <v>0</v>
      </c>
      <c r="AB37" s="67" t="n">
        <f aca="false">IF(MCASE=$B37,LBO!$K$245,AB37)</f>
        <v>0</v>
      </c>
      <c r="AC37" s="67" t="n">
        <f aca="false">IF(MCASE=$B37,LBO!$L$245,AC37)</f>
        <v>0</v>
      </c>
      <c r="AD37" s="67" t="n">
        <f aca="false">IF(MCASE=$B37,LBO!$M$245,AD37)</f>
        <v>4.14956957683899E-012</v>
      </c>
      <c r="AL37" s="101" t="n">
        <f aca="false">-($C$11*LBO!$D$23*(1+LBO!$D$39)+LBO!$D$84)</f>
        <v>-264.416663330973</v>
      </c>
      <c r="AM37" s="101" t="n">
        <f aca="false">LBO!I$245</f>
        <v>0</v>
      </c>
      <c r="AN37" s="101" t="n">
        <f aca="false">LBO!J$245</f>
        <v>0.454703371659619</v>
      </c>
      <c r="AO37" s="101" t="n">
        <f aca="false">LBO!K$245</f>
        <v>39.1876783920155</v>
      </c>
      <c r="AP37" s="101" t="n">
        <f aca="false">LBO!L$245</f>
        <v>36.0053106865155</v>
      </c>
      <c r="AQ37" s="101" t="n">
        <f aca="false">LBO!M$245+(LBO!$M$238*I$6*(1-LBO!$D$44)-LBO!$M$155+LBO!$M$146)</f>
        <v>393.317419004478</v>
      </c>
      <c r="AS37" s="101" t="n">
        <f aca="false">-($C$97*LBO!$D$23*(1+LBO!$D$39)+$Y$33)</f>
        <v>-316.490363330972</v>
      </c>
      <c r="AT37" s="92" t="n">
        <f aca="false">$Z$33</f>
        <v>0</v>
      </c>
      <c r="AU37" s="92" t="n">
        <f aca="false">$AA$33</f>
        <v>0.454703371659619</v>
      </c>
      <c r="AV37" s="92" t="n">
        <f aca="false">$AB$33</f>
        <v>39.1876783920155</v>
      </c>
      <c r="AW37" s="92" t="n">
        <f aca="false">$AC$33</f>
        <v>36.0053106865155</v>
      </c>
      <c r="AX37" s="92" t="n">
        <f aca="false">$AD$33+$R$33</f>
        <v>324.82187597673</v>
      </c>
    </row>
    <row r="38" customFormat="false" ht="12.75" hidden="false" customHeight="true" outlineLevel="0" collapsed="false">
      <c r="B38" s="38" t="n">
        <v>8</v>
      </c>
      <c r="C38" s="104" t="str">
        <f aca="false">MCASE!C16</f>
        <v>Sponsor base | High leverage</v>
      </c>
      <c r="D38" s="95" t="n">
        <f aca="false">IF(MCASE=$B38,LBO!$D$19,D38)</f>
        <v>10.75</v>
      </c>
      <c r="E38" s="71" t="n">
        <f aca="false">IF(MCASE=$B38,LBO!$D$20,E38)</f>
        <v>0.304611650485437</v>
      </c>
      <c r="F38" s="72" t="n">
        <f aca="false">IF(MCASE=$B38,LBO!$D$33,F38)</f>
        <v>7.37982680651733</v>
      </c>
      <c r="G38" s="72" t="n">
        <f aca="false">IF(MCASE=$B38,LBO!$D$35,G38)</f>
        <v>4.68415559981483</v>
      </c>
      <c r="H38" s="67" t="n">
        <f aca="false">IF(MCASE=$B38,LBO!$D$80,H38)</f>
        <v>193.323238330972</v>
      </c>
      <c r="I38" s="71" t="n">
        <f aca="false">IF(MCASE=$B38,LBO!$D$81,I38)</f>
        <v>0.588819845082331</v>
      </c>
      <c r="J38" s="67" t="n">
        <f aca="false">IF(MCASE=$B38,LBO!$D$74+LBO!$D$75,J38)</f>
        <v>135</v>
      </c>
      <c r="K38" s="67" t="n">
        <f aca="false">IF(MCASE=$B38,LBO!$I$113,K38)</f>
        <v>90.9024032</v>
      </c>
      <c r="L38" s="67" t="n">
        <f aca="false">IF(MCASE=$B38,LBO!$J$109+LBO!$J$110,L38)</f>
        <v>87.739811936</v>
      </c>
      <c r="M38" s="67" t="n">
        <f aca="false">IF(MCASE=$B38,LBO!$M$113,M38)</f>
        <v>77.2792548128653</v>
      </c>
      <c r="N38" s="67" t="n">
        <f aca="false">IF(MCASE=$B38,LBO!$H$129,N38)</f>
        <v>36.496922</v>
      </c>
      <c r="O38" s="67" t="n">
        <f aca="false">IF(MCASE=$B38,LBO!$I$129,O38)</f>
        <v>57.50043046</v>
      </c>
      <c r="P38" s="67" t="n">
        <f aca="false">IF(MCASE=$B38,LBO!$M$129,P38)</f>
        <v>46.3590815754639</v>
      </c>
      <c r="Q38" s="67" t="n">
        <f aca="false">IF(MCASE=$B38,LBO!$M$246,Q38)</f>
        <v>33.1455530821704</v>
      </c>
      <c r="R38" s="67" t="n">
        <f aca="false">IF(MCASE=$B38,LBO!$M$244,R38)</f>
        <v>291.150324435004</v>
      </c>
      <c r="S38" s="98" t="n">
        <f aca="false">IF(MCASE=$B38,LBO!$D$255,S38)</f>
        <v>1.67748006042592</v>
      </c>
      <c r="T38" s="71" t="n">
        <f aca="false">IF(MCASE=$B38,LBO!$D$256,T38)</f>
        <v>0.108999814013971</v>
      </c>
      <c r="U38" s="98" t="n">
        <f aca="false">IF(MCASE=$B38,LBO!$D$231,U38)</f>
        <v>1.13177066659698</v>
      </c>
      <c r="V38" s="72" t="n">
        <f aca="false">IF(MCASE=$B38,LBO!$D$232,V38)</f>
        <v>5.77815914834768</v>
      </c>
      <c r="W38" s="95" t="n">
        <f aca="false">IF(MCASE=$B38,ATP!$C$58,W38)</f>
        <v>9.5402530747878</v>
      </c>
      <c r="X38" s="95" t="n">
        <f aca="false">IF(MCASE=$B38,ATP!$C$59,X38)</f>
        <v>9.07817784820083</v>
      </c>
      <c r="Y38" s="67" t="n">
        <f aca="false">IF(MCASE=$B38,LBO!$D$84,Y38)</f>
        <v>-366.469036669028</v>
      </c>
      <c r="Z38" s="67" t="n">
        <f aca="false">IF(MCASE=$B38,LBO!$I$245,Z38)</f>
        <v>0</v>
      </c>
      <c r="AA38" s="67" t="n">
        <f aca="false">IF(MCASE=$B38,LBO!$J$245,AA38)</f>
        <v>0</v>
      </c>
      <c r="AB38" s="67" t="n">
        <f aca="false">IF(MCASE=$B38,LBO!$K$245,AB38)</f>
        <v>0</v>
      </c>
      <c r="AC38" s="67" t="n">
        <f aca="false">IF(MCASE=$B38,LBO!$L$245,AC38)</f>
        <v>5.91171556152403E-012</v>
      </c>
      <c r="AD38" s="67" t="n">
        <f aca="false">IF(MCASE=$B38,LBO!$M$245,AD38)</f>
        <v>33.1455530821645</v>
      </c>
      <c r="AL38" s="101" t="n">
        <f aca="false">-($C$11*LBO!$D$23*(1+LBO!$D$39)+LBO!$D$84)</f>
        <v>-264.416663330973</v>
      </c>
      <c r="AM38" s="101" t="n">
        <f aca="false">LBO!I$245</f>
        <v>0</v>
      </c>
      <c r="AN38" s="101" t="n">
        <f aca="false">LBO!J$245</f>
        <v>0.454703371659619</v>
      </c>
      <c r="AO38" s="101" t="n">
        <f aca="false">LBO!K$245</f>
        <v>39.1876783920155</v>
      </c>
      <c r="AP38" s="101" t="n">
        <f aca="false">LBO!L$245</f>
        <v>36.0053106865155</v>
      </c>
      <c r="AQ38" s="101" t="n">
        <f aca="false">LBO!M$245+(LBO!$M$238*J$6*(1-LBO!$D$44)-LBO!$M$155+LBO!$M$146)</f>
        <v>438.98111435631</v>
      </c>
      <c r="AS38" s="101" t="n">
        <f aca="false">-($C$97*LBO!$D$23*(1+LBO!$D$39)+$Y$34)</f>
        <v>-316.105248333502</v>
      </c>
      <c r="AT38" s="92" t="n">
        <f aca="false">$Z$34</f>
        <v>0</v>
      </c>
      <c r="AU38" s="92" t="n">
        <f aca="false">$AA$34</f>
        <v>9.36196165821613</v>
      </c>
      <c r="AV38" s="92" t="n">
        <f aca="false">$AB$34</f>
        <v>48.8061378955752</v>
      </c>
      <c r="AW38" s="92" t="n">
        <f aca="false">$AC$34</f>
        <v>49.6908112109533</v>
      </c>
      <c r="AX38" s="92" t="n">
        <f aca="false">$AD$34+$R$34</f>
        <v>579.079170164906</v>
      </c>
    </row>
    <row r="39" customFormat="false" ht="12.75" hidden="false" customHeight="true" outlineLevel="0" collapsed="false">
      <c r="B39" s="38" t="n">
        <v>9</v>
      </c>
      <c r="C39" s="104" t="str">
        <f aca="false">MCASE!C17</f>
        <v>Orals underwhelm | High leverage</v>
      </c>
      <c r="D39" s="95" t="n">
        <f aca="false">IF(MCASE=$B39,LBO!$D$19,D39)</f>
        <v>10.75</v>
      </c>
      <c r="E39" s="71" t="n">
        <f aca="false">IF(MCASE=$B39,LBO!$D$20,E39)</f>
        <v>0.304611650485437</v>
      </c>
      <c r="F39" s="72" t="n">
        <f aca="false">IF(MCASE=$B39,LBO!$D$33,F39)</f>
        <v>7.23141506871155</v>
      </c>
      <c r="G39" s="72" t="n">
        <f aca="false">IF(MCASE=$B39,LBO!$D$35,G39)</f>
        <v>4.30289628038206</v>
      </c>
      <c r="H39" s="67" t="n">
        <f aca="false">IF(MCASE=$B39,LBO!$D$80,H39)</f>
        <v>188.038123333502</v>
      </c>
      <c r="I39" s="71" t="n">
        <f aca="false">IF(MCASE=$B39,LBO!$D$81,I39)</f>
        <v>0.573220336169073</v>
      </c>
      <c r="J39" s="67" t="n">
        <f aca="false">IF(MCASE=$B39,LBO!$D$74+LBO!$D$75,J39)</f>
        <v>140</v>
      </c>
      <c r="K39" s="67" t="n">
        <f aca="false">IF(MCASE=$B39,LBO!$I$113,K39)</f>
        <v>96.8541224</v>
      </c>
      <c r="L39" s="67" t="n">
        <f aca="false">IF(MCASE=$B39,LBO!$J$109+LBO!$J$110,L39)</f>
        <v>98.302280048</v>
      </c>
      <c r="M39" s="67" t="n">
        <f aca="false">IF(MCASE=$B39,LBO!$M$113,M39)</f>
        <v>104.2926326114</v>
      </c>
      <c r="N39" s="67" t="n">
        <f aca="false">IF(MCASE=$B39,LBO!$H$129,N39)</f>
        <v>37.1926996</v>
      </c>
      <c r="O39" s="67" t="n">
        <f aca="false">IF(MCASE=$B39,LBO!$I$129,O39)</f>
        <v>62.50577072</v>
      </c>
      <c r="P39" s="67" t="n">
        <f aca="false">IF(MCASE=$B39,LBO!$M$129,P39)</f>
        <v>70.8464560391083</v>
      </c>
      <c r="Q39" s="67" t="n">
        <f aca="false">IF(MCASE=$B39,LBO!$M$246,Q39)</f>
        <v>78.0307659638422</v>
      </c>
      <c r="R39" s="67" t="n">
        <f aca="false">IF(MCASE=$B39,LBO!$M$244,R39)</f>
        <v>528.48631438937</v>
      </c>
      <c r="S39" s="98" t="n">
        <f aca="false">IF(MCASE=$B39,LBO!$D$255,S39)</f>
        <v>3.22550060381906</v>
      </c>
      <c r="T39" s="71" t="n">
        <f aca="false">IF(MCASE=$B39,LBO!$D$256,T39)</f>
        <v>0.266945686837641</v>
      </c>
      <c r="U39" s="98" t="n">
        <f aca="false">IF(MCASE=$B39,LBO!$D$231,U39)</f>
        <v>1.0822346537173</v>
      </c>
      <c r="V39" s="72" t="n">
        <f aca="false">IF(MCASE=$B39,LBO!$D$232,V39)</f>
        <v>6.38303499831905</v>
      </c>
      <c r="W39" s="95" t="n">
        <f aca="false">IF(MCASE=$B39,ATP!$C$58,W39)</f>
        <v>11.8619655405793</v>
      </c>
      <c r="X39" s="95" t="n">
        <f aca="false">IF(MCASE=$B39,ATP!$C$59,X39)</f>
        <v>10.9985760793507</v>
      </c>
      <c r="Y39" s="67" t="n">
        <f aca="false">IF(MCASE=$B39,LBO!$D$84,Y39)</f>
        <v>-371.754151666498</v>
      </c>
      <c r="Z39" s="67" t="n">
        <f aca="false">IF(MCASE=$B39,LBO!$I$245,Z39)</f>
        <v>0</v>
      </c>
      <c r="AA39" s="67" t="n">
        <f aca="false">IF(MCASE=$B39,LBO!$J$245,AA39)</f>
        <v>0</v>
      </c>
      <c r="AB39" s="67" t="n">
        <f aca="false">IF(MCASE=$B39,LBO!$K$245,AB39)</f>
        <v>0</v>
      </c>
      <c r="AC39" s="67" t="n">
        <f aca="false">IF(MCASE=$B39,LBO!$L$245,AC39)</f>
        <v>27.3301101885448</v>
      </c>
      <c r="AD39" s="67" t="n">
        <f aca="false">IF(MCASE=$B39,LBO!$M$245,AD39)</f>
        <v>50.7006557752975</v>
      </c>
      <c r="AL39" s="101" t="n">
        <f aca="false">-($C$11*LBO!$D$23*(1+LBO!$D$39)+LBO!$D$84)</f>
        <v>-264.416663330973</v>
      </c>
      <c r="AM39" s="101" t="n">
        <f aca="false">LBO!I$245</f>
        <v>0</v>
      </c>
      <c r="AN39" s="101" t="n">
        <f aca="false">LBO!J$245</f>
        <v>0.454703371659619</v>
      </c>
      <c r="AO39" s="101" t="n">
        <f aca="false">LBO!K$245</f>
        <v>39.1876783920155</v>
      </c>
      <c r="AP39" s="101" t="n">
        <f aca="false">LBO!L$245</f>
        <v>36.0053106865155</v>
      </c>
      <c r="AQ39" s="101" t="n">
        <f aca="false">LBO!M$245+(LBO!$M$238*K$6*(1-LBO!$D$44)-LBO!$M$155+LBO!$M$146)</f>
        <v>484.644809708142</v>
      </c>
      <c r="AS39" s="101" t="n">
        <f aca="false">-($C$97*LBO!$D$23*(1+LBO!$D$39)+$Y$35)</f>
        <v>-316.105248333502</v>
      </c>
      <c r="AT39" s="92" t="n">
        <f aca="false">$Z$35</f>
        <v>0</v>
      </c>
      <c r="AU39" s="92" t="n">
        <f aca="false">$AA$35</f>
        <v>0</v>
      </c>
      <c r="AV39" s="92" t="n">
        <f aca="false">$AB$35</f>
        <v>25.3706125049548</v>
      </c>
      <c r="AW39" s="92" t="n">
        <f aca="false">$AC$35</f>
        <v>47.6508112109533</v>
      </c>
      <c r="AX39" s="92" t="n">
        <f aca="false">$AD$35+$R$35</f>
        <v>887.976688561937</v>
      </c>
    </row>
    <row r="40" customFormat="false" ht="12.75" hidden="false" customHeight="true" outlineLevel="0" collapsed="false">
      <c r="B40" s="38" t="n">
        <v>10</v>
      </c>
      <c r="C40" s="104" t="str">
        <f aca="false">MCASE!C18</f>
        <v>Upside (vitiligo) | High leverage</v>
      </c>
      <c r="D40" s="95" t="n">
        <f aca="false">IF(MCASE=$B40,LBO!$D$19,D40)</f>
        <v>10.75</v>
      </c>
      <c r="E40" s="71" t="n">
        <f aca="false">IF(MCASE=$B40,LBO!$D$20,E40)</f>
        <v>0.304611650485437</v>
      </c>
      <c r="F40" s="72" t="n">
        <f aca="false">IF(MCASE=$B40,LBO!$D$33,F40)</f>
        <v>7.23141506871155</v>
      </c>
      <c r="G40" s="72" t="n">
        <f aca="false">IF(MCASE=$B40,LBO!$D$35,G40)</f>
        <v>5.32524985757711</v>
      </c>
      <c r="H40" s="67" t="n">
        <f aca="false">IF(MCASE=$B40,LBO!$D$80,H40)</f>
        <v>188.038123333502</v>
      </c>
      <c r="I40" s="71" t="n">
        <f aca="false">IF(MCASE=$B40,LBO!$D$81,I40)</f>
        <v>0.573220336169073</v>
      </c>
      <c r="J40" s="67" t="n">
        <f aca="false">IF(MCASE=$B40,LBO!$D$74+LBO!$D$75,J40)</f>
        <v>140</v>
      </c>
      <c r="K40" s="67" t="n">
        <f aca="false">IF(MCASE=$B40,LBO!$I$113,K40)</f>
        <v>96.8541224</v>
      </c>
      <c r="L40" s="67" t="n">
        <f aca="false">IF(MCASE=$B40,LBO!$J$109+LBO!$J$110,L40)</f>
        <v>98.302280048</v>
      </c>
      <c r="M40" s="67" t="n">
        <f aca="false">IF(MCASE=$B40,LBO!$M$113,M40)</f>
        <v>144.2926326114</v>
      </c>
      <c r="N40" s="67" t="n">
        <f aca="false">IF(MCASE=$B40,LBO!$H$129,N40)</f>
        <v>37.1926996</v>
      </c>
      <c r="O40" s="67" t="n">
        <f aca="false">IF(MCASE=$B40,LBO!$I$129,O40)</f>
        <v>50.50577072</v>
      </c>
      <c r="P40" s="67" t="n">
        <f aca="false">IF(MCASE=$B40,LBO!$M$129,P40)</f>
        <v>88.8464560391083</v>
      </c>
      <c r="Q40" s="67" t="n">
        <f aca="false">IF(MCASE=$B40,LBO!$M$246,Q40)</f>
        <v>48.2208472264951</v>
      </c>
      <c r="R40" s="67" t="n">
        <f aca="false">IF(MCASE=$B40,LBO!$M$244,R40)</f>
        <v>827.623832786703</v>
      </c>
      <c r="S40" s="98" t="n">
        <f aca="false">IF(MCASE=$B40,LBO!$D$255,S40)</f>
        <v>4.6578037713119</v>
      </c>
      <c r="T40" s="71" t="n">
        <f aca="false">IF(MCASE=$B40,LBO!$D$256,T40)</f>
        <v>0.360304822285008</v>
      </c>
      <c r="U40" s="98" t="n">
        <f aca="false">IF(MCASE=$B40,LBO!$D$231,U40)</f>
        <v>1.51706024174968</v>
      </c>
      <c r="V40" s="72" t="n">
        <f aca="false">IF(MCASE=$B40,LBO!$D$232,V40)</f>
        <v>4.92407326375611</v>
      </c>
      <c r="W40" s="95" t="n">
        <f aca="false">IF(MCASE=$B40,ATP!$C$58,W40)</f>
        <v>13.8983111461973</v>
      </c>
      <c r="X40" s="95" t="n">
        <f aca="false">IF(MCASE=$B40,ATP!$C$59,X40)</f>
        <v>12.6503577893106</v>
      </c>
      <c r="Y40" s="67" t="n">
        <f aca="false">IF(MCASE=$B40,LBO!$D$84,Y40)</f>
        <v>-371.754151666498</v>
      </c>
      <c r="Z40" s="67" t="n">
        <f aca="false">IF(MCASE=$B40,LBO!$I$245,Z40)</f>
        <v>0</v>
      </c>
      <c r="AA40" s="67" t="n">
        <f aca="false">IF(MCASE=$B40,LBO!$J$245,AA40)</f>
        <v>0</v>
      </c>
      <c r="AB40" s="67" t="n">
        <f aca="false">IF(MCASE=$B40,LBO!$K$245,AB40)</f>
        <v>0</v>
      </c>
      <c r="AC40" s="67" t="n">
        <f aca="false">IF(MCASE=$B40,LBO!$L$245,AC40)</f>
        <v>0</v>
      </c>
      <c r="AD40" s="67" t="n">
        <f aca="false">IF(MCASE=$B40,LBO!$M$245,AD40)</f>
        <v>48.2208472264951</v>
      </c>
      <c r="AL40" s="101" t="n">
        <f aca="false">-($C$12*LBO!$D$23*(1+LBO!$D$39)+LBO!$D$84)</f>
        <v>-290.453513330972</v>
      </c>
      <c r="AM40" s="101" t="n">
        <f aca="false">LBO!I$245</f>
        <v>0</v>
      </c>
      <c r="AN40" s="101" t="n">
        <f aca="false">LBO!J$245</f>
        <v>0.454703371659619</v>
      </c>
      <c r="AO40" s="101" t="n">
        <f aca="false">LBO!K$245</f>
        <v>39.1876783920155</v>
      </c>
      <c r="AP40" s="101" t="n">
        <f aca="false">LBO!L$245</f>
        <v>36.0053106865155</v>
      </c>
      <c r="AQ40" s="101" t="n">
        <f aca="false">LBO!M$245+(LBO!$M$238*E$6*(1-LBO!$D$44)-LBO!$M$155+LBO!$M$146)</f>
        <v>210.66263759715</v>
      </c>
      <c r="AS40" s="101" t="n">
        <f aca="false">-($C$98*LBO!$D$23*(1+LBO!$D$39)+$Y$31)</f>
        <v>-348.268722075281</v>
      </c>
      <c r="AT40" s="92" t="n">
        <f aca="false">$Z$31</f>
        <v>0</v>
      </c>
      <c r="AU40" s="92" t="n">
        <f aca="false">$AA$31</f>
        <v>0</v>
      </c>
      <c r="AV40" s="92" t="n">
        <f aca="false">$AB$31</f>
        <v>12.2843218795599</v>
      </c>
      <c r="AW40" s="92" t="n">
        <f aca="false">$AC$31</f>
        <v>15.0707686617381</v>
      </c>
      <c r="AX40" s="92" t="n">
        <f aca="false">$AD$31+$R$31</f>
        <v>87.5525956716077</v>
      </c>
    </row>
    <row r="41" customFormat="false" ht="12.75" hidden="false" customHeight="true" outlineLevel="0" collapsed="false">
      <c r="B41" s="38" t="n">
        <v>11</v>
      </c>
      <c r="C41" s="104" t="str">
        <f aca="false">MCASE!C19</f>
        <v>Downside | Low leverage</v>
      </c>
      <c r="D41" s="95" t="n">
        <f aca="false">IF(MCASE=$B41,LBO!$D$19,D41)</f>
        <v>10.75</v>
      </c>
      <c r="E41" s="71" t="n">
        <f aca="false">IF(MCASE=$B41,LBO!$D$20,E41)</f>
        <v>0.304611650485437</v>
      </c>
      <c r="F41" s="72" t="n">
        <f aca="false">IF(MCASE=$B41,LBO!$D$33,F41)</f>
        <v>7.73536986215828</v>
      </c>
      <c r="G41" s="72" t="n">
        <f aca="false">IF(MCASE=$B41,LBO!$D$35,G41)</f>
        <v>5.55252981634431</v>
      </c>
      <c r="H41" s="67" t="n">
        <f aca="false">IF(MCASE=$B41,LBO!$D$80,H41)</f>
        <v>291.177247075281</v>
      </c>
      <c r="I41" s="71" t="n">
        <f aca="false">IF(MCASE=$B41,LBO!$D$81,I41)</f>
        <v>0.892696378077156</v>
      </c>
      <c r="J41" s="67" t="n">
        <f aca="false">IF(MCASE=$B41,LBO!$D$74+LBO!$D$75,J41)</f>
        <v>35</v>
      </c>
      <c r="K41" s="67" t="n">
        <f aca="false">IF(MCASE=$B41,LBO!$I$113,K41)</f>
        <v>82.33493632</v>
      </c>
      <c r="L41" s="67" t="n">
        <f aca="false">IF(MCASE=$B41,LBO!$J$109+LBO!$J$110,L41)</f>
        <v>71.471027264</v>
      </c>
      <c r="M41" s="67" t="n">
        <f aca="false">IF(MCASE=$B41,LBO!$M$113,M41)</f>
        <v>40.316171855232</v>
      </c>
      <c r="N41" s="67" t="n">
        <f aca="false">IF(MCASE=$B41,LBO!$H$129,N41)</f>
        <v>34.9314224</v>
      </c>
      <c r="O41" s="67" t="n">
        <f aca="false">IF(MCASE=$B41,LBO!$I$129,O41)</f>
        <v>48.6638489144</v>
      </c>
      <c r="P41" s="67" t="n">
        <f aca="false">IF(MCASE=$B41,LBO!$M$129,P41)</f>
        <v>11.1603255432723</v>
      </c>
      <c r="Q41" s="67" t="n">
        <f aca="false">IF(MCASE=$B41,LBO!$M$246,Q41)</f>
        <v>75.7633009315025</v>
      </c>
      <c r="R41" s="67" t="n">
        <f aca="false">IF(MCASE=$B41,LBO!$M$244,R41)</f>
        <v>78.4752223104275</v>
      </c>
      <c r="S41" s="98" t="n">
        <f aca="false">IF(MCASE=$B41,LBO!$D$255,S41)</f>
        <v>0.529706647037752</v>
      </c>
      <c r="T41" s="71" t="n">
        <f aca="false">IF(MCASE=$B41,LBO!$D$256,T41)</f>
        <v>-0.141889438855849</v>
      </c>
      <c r="U41" s="98" t="n">
        <f aca="false">IF(MCASE=$B41,LBO!$D$231,U41)</f>
        <v>-0.771210172149983</v>
      </c>
      <c r="V41" s="72" t="n">
        <f aca="false">IF(MCASE=$B41,LBO!$D$232,V41)</f>
        <v>24.517244375405</v>
      </c>
      <c r="W41" s="95" t="n">
        <f aca="false">IF(MCASE=$B41,ATP!$C$58,W41)</f>
        <v>6.61115117150802</v>
      </c>
      <c r="X41" s="95" t="n">
        <f aca="false">IF(MCASE=$B41,ATP!$C$59,X41)</f>
        <v>6.40601316942202</v>
      </c>
      <c r="Y41" s="67" t="n">
        <f aca="false">IF(MCASE=$B41,LBO!$D$84,Y41)</f>
        <v>-268.615027924719</v>
      </c>
      <c r="Z41" s="67" t="n">
        <f aca="false">IF(MCASE=$B41,LBO!$I$245,Z41)</f>
        <v>0</v>
      </c>
      <c r="AA41" s="67" t="n">
        <f aca="false">IF(MCASE=$B41,LBO!$J$245,AA41)</f>
        <v>28.6339304148256</v>
      </c>
      <c r="AB41" s="67" t="n">
        <f aca="false">IF(MCASE=$B41,LBO!$K$245,AB41)</f>
        <v>23.0890284937525</v>
      </c>
      <c r="AC41" s="67" t="n">
        <f aca="false">IF(MCASE=$B41,LBO!$L$245,AC41)</f>
        <v>15.0168686617381</v>
      </c>
      <c r="AD41" s="67" t="n">
        <f aca="false">IF(MCASE=$B41,LBO!$M$245,AD41)</f>
        <v>9.02347336118631</v>
      </c>
      <c r="AL41" s="101" t="n">
        <f aca="false">-($C$12*LBO!$D$23*(1+LBO!$D$39)+LBO!$D$84)</f>
        <v>-290.453513330972</v>
      </c>
      <c r="AM41" s="101" t="n">
        <f aca="false">LBO!I$245</f>
        <v>0</v>
      </c>
      <c r="AN41" s="101" t="n">
        <f aca="false">LBO!J$245</f>
        <v>0.454703371659619</v>
      </c>
      <c r="AO41" s="101" t="n">
        <f aca="false">LBO!K$245</f>
        <v>39.1876783920155</v>
      </c>
      <c r="AP41" s="101" t="n">
        <f aca="false">LBO!L$245</f>
        <v>36.0053106865155</v>
      </c>
      <c r="AQ41" s="101" t="n">
        <f aca="false">LBO!M$245+(LBO!$M$238*F$6*(1-LBO!$D$44)-LBO!$M$155+LBO!$M$146)</f>
        <v>256.326332948982</v>
      </c>
      <c r="AS41" s="101" t="n">
        <f aca="false">-($C$98*LBO!$D$23*(1+LBO!$D$39)+$Y$32)</f>
        <v>-347.88360707781</v>
      </c>
      <c r="AT41" s="92" t="n">
        <f aca="false">$Z$32</f>
        <v>0</v>
      </c>
      <c r="AU41" s="92" t="n">
        <f aca="false">$AA$32</f>
        <v>0</v>
      </c>
      <c r="AV41" s="92" t="n">
        <f aca="false">$AB$32</f>
        <v>29.3097429840168</v>
      </c>
      <c r="AW41" s="92" t="n">
        <f aca="false">$AC$32</f>
        <v>26.4142009338664</v>
      </c>
      <c r="AX41" s="92" t="n">
        <f aca="false">$AD$32+$R$32</f>
        <v>194.29903992322</v>
      </c>
    </row>
    <row r="42" customFormat="false" ht="12.75" hidden="false" customHeight="true" outlineLevel="0" collapsed="false">
      <c r="B42" s="38" t="n">
        <v>12</v>
      </c>
      <c r="C42" s="104" t="str">
        <f aca="false">MCASE!C20</f>
        <v>Conservative | Low leverage</v>
      </c>
      <c r="D42" s="95" t="n">
        <f aca="false">IF(MCASE=$B42,LBO!$D$19,D42)</f>
        <v>10.75</v>
      </c>
      <c r="E42" s="71" t="n">
        <f aca="false">IF(MCASE=$B42,LBO!$D$20,E42)</f>
        <v>0.304611650485437</v>
      </c>
      <c r="F42" s="72" t="n">
        <f aca="false">IF(MCASE=$B42,LBO!$D$33,F42)</f>
        <v>7.57349320400734</v>
      </c>
      <c r="G42" s="72" t="n">
        <f aca="false">IF(MCASE=$B42,LBO!$D$35,G42)</f>
        <v>5.07917394073017</v>
      </c>
      <c r="H42" s="67" t="n">
        <f aca="false">IF(MCASE=$B42,LBO!$D$80,H42)</f>
        <v>290.79213207781</v>
      </c>
      <c r="I42" s="71" t="n">
        <f aca="false">IF(MCASE=$B42,LBO!$D$81,I42)</f>
        <v>0.892569535744219</v>
      </c>
      <c r="J42" s="67" t="n">
        <f aca="false">IF(MCASE=$B42,LBO!$D$74+LBO!$D$75,J42)</f>
        <v>35</v>
      </c>
      <c r="K42" s="67" t="n">
        <f aca="false">IF(MCASE=$B42,LBO!$I$113,K42)</f>
        <v>86.94587328</v>
      </c>
      <c r="L42" s="67" t="n">
        <f aca="false">IF(MCASE=$B42,LBO!$J$109+LBO!$J$110,L42)</f>
        <v>80.31718128</v>
      </c>
      <c r="M42" s="67" t="n">
        <f aca="false">IF(MCASE=$B42,LBO!$M$113,M42)</f>
        <v>60.0298190468928</v>
      </c>
      <c r="N42" s="67" t="n">
        <f aca="false">IF(MCASE=$B42,LBO!$H$129,N42)</f>
        <v>35.6272</v>
      </c>
      <c r="O42" s="67" t="n">
        <f aca="false">IF(MCASE=$B42,LBO!$I$129,O42)</f>
        <v>53.1232756008</v>
      </c>
      <c r="P42" s="67" t="n">
        <f aca="false">IF(MCASE=$B42,LBO!$M$129,P42)</f>
        <v>29.8030553014704</v>
      </c>
      <c r="Q42" s="67" t="n">
        <f aca="false">IF(MCASE=$B42,LBO!$M$246,Q42)</f>
        <v>116.639545693636</v>
      </c>
      <c r="R42" s="67" t="n">
        <f aca="false">IF(MCASE=$B42,LBO!$M$244,R42)</f>
        <v>172.102042623768</v>
      </c>
      <c r="S42" s="98" t="n">
        <f aca="false">IF(MCASE=$B42,LBO!$D$255,S42)</f>
        <v>0.992948420764499</v>
      </c>
      <c r="T42" s="71" t="n">
        <f aca="false">IF(MCASE=$B42,LBO!$D$256,T42)</f>
        <v>-0.0016407429101869</v>
      </c>
      <c r="U42" s="98" t="n">
        <f aca="false">IF(MCASE=$B42,LBO!$D$231,U42)</f>
        <v>-0.752965617191678</v>
      </c>
      <c r="V42" s="72" t="n">
        <f aca="false">IF(MCASE=$B42,LBO!$D$232,V42)</f>
        <v>28.3702406412817</v>
      </c>
      <c r="W42" s="95" t="n">
        <f aca="false">IF(MCASE=$B42,ATP!$C$58,W42)</f>
        <v>7.74857225108978</v>
      </c>
      <c r="X42" s="95" t="n">
        <f aca="false">IF(MCASE=$B42,ATP!$C$59,X42)</f>
        <v>7.35649709662804</v>
      </c>
      <c r="Y42" s="67" t="n">
        <f aca="false">IF(MCASE=$B42,LBO!$D$84,Y42)</f>
        <v>-269.00014292219</v>
      </c>
      <c r="Z42" s="67" t="n">
        <f aca="false">IF(MCASE=$B42,LBO!$I$245,Z42)</f>
        <v>0.204358707775995</v>
      </c>
      <c r="AA42" s="67" t="n">
        <f aca="false">IF(MCASE=$B42,LBO!$J$245,AA42)</f>
        <v>36.624143893872</v>
      </c>
      <c r="AB42" s="67" t="n">
        <f aca="false">IF(MCASE=$B42,LBO!$K$245,AB42)</f>
        <v>31.3076448586709</v>
      </c>
      <c r="AC42" s="67" t="n">
        <f aca="false">IF(MCASE=$B42,LBO!$L$245,AC42)</f>
        <v>26.3603009338664</v>
      </c>
      <c r="AD42" s="67" t="n">
        <f aca="false">IF(MCASE=$B42,LBO!$M$245,AD42)</f>
        <v>22.1430972994503</v>
      </c>
      <c r="AL42" s="101" t="n">
        <f aca="false">-($C$12*LBO!$D$23*(1+LBO!$D$39)+LBO!$D$84)</f>
        <v>-290.453513330972</v>
      </c>
      <c r="AM42" s="101" t="n">
        <f aca="false">LBO!I$245</f>
        <v>0</v>
      </c>
      <c r="AN42" s="101" t="n">
        <f aca="false">LBO!J$245</f>
        <v>0.454703371659619</v>
      </c>
      <c r="AO42" s="101" t="n">
        <f aca="false">LBO!K$245</f>
        <v>39.1876783920155</v>
      </c>
      <c r="AP42" s="101" t="n">
        <f aca="false">LBO!L$245</f>
        <v>36.0053106865155</v>
      </c>
      <c r="AQ42" s="101" t="n">
        <f aca="false">LBO!M$245+(LBO!$M$238*G$6*(1-LBO!$D$44)-LBO!$M$155+LBO!$M$146)</f>
        <v>301.990028300814</v>
      </c>
      <c r="AS42" s="101" t="n">
        <f aca="false">-($C$98*LBO!$D$23*(1+LBO!$D$39)+$Y$33)</f>
        <v>-342.527213330973</v>
      </c>
      <c r="AT42" s="92" t="n">
        <f aca="false">$Z$33</f>
        <v>0</v>
      </c>
      <c r="AU42" s="92" t="n">
        <f aca="false">$AA$33</f>
        <v>0.454703371659619</v>
      </c>
      <c r="AV42" s="92" t="n">
        <f aca="false">$AB$33</f>
        <v>39.1876783920155</v>
      </c>
      <c r="AW42" s="92" t="n">
        <f aca="false">$AC$33</f>
        <v>36.0053106865155</v>
      </c>
      <c r="AX42" s="92" t="n">
        <f aca="false">$AD$33+$R$33</f>
        <v>324.82187597673</v>
      </c>
    </row>
    <row r="43" customFormat="false" ht="12.75" hidden="false" customHeight="true" outlineLevel="0" collapsed="false">
      <c r="B43" s="38" t="n">
        <v>13</v>
      </c>
      <c r="C43" s="104" t="str">
        <f aca="false">MCASE!C21</f>
        <v>Sponsor base | Low leverage</v>
      </c>
      <c r="D43" s="95" t="n">
        <f aca="false">IF(MCASE=$B43,LBO!$D$19,D43)</f>
        <v>10.75</v>
      </c>
      <c r="E43" s="71" t="n">
        <f aca="false">IF(MCASE=$B43,LBO!$D$20,E43)</f>
        <v>0.304611650485437</v>
      </c>
      <c r="F43" s="72" t="n">
        <f aca="false">IF(MCASE=$B43,LBO!$D$33,F43)</f>
        <v>7.37982680651733</v>
      </c>
      <c r="G43" s="72" t="n">
        <f aca="false">IF(MCASE=$B43,LBO!$D$35,G43)</f>
        <v>4.68415559981483</v>
      </c>
      <c r="H43" s="67" t="n">
        <f aca="false">IF(MCASE=$B43,LBO!$D$80,H43)</f>
        <v>290.310738330972</v>
      </c>
      <c r="I43" s="71" t="n">
        <f aca="false">IF(MCASE=$B43,LBO!$D$81,I43)</f>
        <v>0.892410560501108</v>
      </c>
      <c r="J43" s="67" t="n">
        <f aca="false">IF(MCASE=$B43,LBO!$D$74+LBO!$D$75,J43)</f>
        <v>35</v>
      </c>
      <c r="K43" s="67" t="n">
        <f aca="false">IF(MCASE=$B43,LBO!$I$113,K43)</f>
        <v>90.9024032</v>
      </c>
      <c r="L43" s="67" t="n">
        <f aca="false">IF(MCASE=$B43,LBO!$J$109+LBO!$J$110,L43)</f>
        <v>87.739811936</v>
      </c>
      <c r="M43" s="67" t="n">
        <f aca="false">IF(MCASE=$B43,LBO!$M$113,M43)</f>
        <v>77.2792548128653</v>
      </c>
      <c r="N43" s="67" t="n">
        <f aca="false">IF(MCASE=$B43,LBO!$H$129,N43)</f>
        <v>36.496922</v>
      </c>
      <c r="O43" s="67" t="n">
        <f aca="false">IF(MCASE=$B43,LBO!$I$129,O43)</f>
        <v>57.50043046</v>
      </c>
      <c r="P43" s="67" t="n">
        <f aca="false">IF(MCASE=$B43,LBO!$M$129,P43)</f>
        <v>46.3590815754639</v>
      </c>
      <c r="Q43" s="67" t="n">
        <f aca="false">IF(MCASE=$B43,LBO!$M$246,Q43)</f>
        <v>153.217326085002</v>
      </c>
      <c r="R43" s="67" t="n">
        <f aca="false">IF(MCASE=$B43,LBO!$M$244,R43)</f>
        <v>291.150324435076</v>
      </c>
      <c r="S43" s="98" t="n">
        <f aca="false">IF(MCASE=$B43,LBO!$D$255,S43)</f>
        <v>1.53066212112854</v>
      </c>
      <c r="T43" s="71" t="n">
        <f aca="false">IF(MCASE=$B43,LBO!$D$256,T43)</f>
        <v>0.102035660644049</v>
      </c>
      <c r="U43" s="98" t="n">
        <f aca="false">IF(MCASE=$B43,LBO!$D$231,U43)</f>
        <v>-0.695646966118382</v>
      </c>
      <c r="V43" s="72" t="n">
        <f aca="false">IF(MCASE=$B43,LBO!$D$232,V43)</f>
        <v>30.7078400320427</v>
      </c>
      <c r="W43" s="95" t="n">
        <f aca="false">IF(MCASE=$B43,ATP!$C$58,W43)</f>
        <v>9.05062045100279</v>
      </c>
      <c r="X43" s="95" t="n">
        <f aca="false">IF(MCASE=$B43,ATP!$C$59,X43)</f>
        <v>8.44221543196558</v>
      </c>
      <c r="Y43" s="67" t="n">
        <f aca="false">IF(MCASE=$B43,LBO!$D$84,Y43)</f>
        <v>-269.481536669028</v>
      </c>
      <c r="Z43" s="67" t="n">
        <f aca="false">IF(MCASE=$B43,LBO!$I$245,Z43)</f>
        <v>2.8733038192</v>
      </c>
      <c r="AA43" s="67" t="n">
        <f aca="false">IF(MCASE=$B43,LBO!$J$245,AA43)</f>
        <v>41.662181645616</v>
      </c>
      <c r="AB43" s="67" t="n">
        <f aca="false">IF(MCASE=$B43,LBO!$K$245,AB43)</f>
        <v>39.1267783920155</v>
      </c>
      <c r="AC43" s="67" t="n">
        <f aca="false">IF(MCASE=$B43,LBO!$L$245,AC43)</f>
        <v>35.9444106865155</v>
      </c>
      <c r="AD43" s="67" t="n">
        <f aca="false">IF(MCASE=$B43,LBO!$M$245,AD43)</f>
        <v>33.6106515416554</v>
      </c>
      <c r="AL43" s="101" t="n">
        <f aca="false">-($C$12*LBO!$D$23*(1+LBO!$D$39)+LBO!$D$84)</f>
        <v>-290.453513330972</v>
      </c>
      <c r="AM43" s="101" t="n">
        <f aca="false">LBO!I$245</f>
        <v>0</v>
      </c>
      <c r="AN43" s="101" t="n">
        <f aca="false">LBO!J$245</f>
        <v>0.454703371659619</v>
      </c>
      <c r="AO43" s="101" t="n">
        <f aca="false">LBO!K$245</f>
        <v>39.1876783920155</v>
      </c>
      <c r="AP43" s="101" t="n">
        <f aca="false">LBO!L$245</f>
        <v>36.0053106865155</v>
      </c>
      <c r="AQ43" s="101" t="n">
        <f aca="false">LBO!M$245+(LBO!$M$238*H$6*(1-LBO!$D$44)-LBO!$M$155+LBO!$M$146)</f>
        <v>347.653723652646</v>
      </c>
      <c r="AS43" s="101" t="n">
        <f aca="false">-($C$98*LBO!$D$23*(1+LBO!$D$39)+$Y$34)</f>
        <v>-342.142098333502</v>
      </c>
      <c r="AT43" s="92" t="n">
        <f aca="false">$Z$34</f>
        <v>0</v>
      </c>
      <c r="AU43" s="92" t="n">
        <f aca="false">$AA$34</f>
        <v>9.36196165821613</v>
      </c>
      <c r="AV43" s="92" t="n">
        <f aca="false">$AB$34</f>
        <v>48.8061378955752</v>
      </c>
      <c r="AW43" s="92" t="n">
        <f aca="false">$AC$34</f>
        <v>49.6908112109533</v>
      </c>
      <c r="AX43" s="92" t="n">
        <f aca="false">$AD$34+$R$34</f>
        <v>579.079170164906</v>
      </c>
    </row>
    <row r="44" customFormat="false" ht="12.75" hidden="false" customHeight="true" outlineLevel="0" collapsed="false">
      <c r="B44" s="38" t="n">
        <v>14</v>
      </c>
      <c r="C44" s="104" t="str">
        <f aca="false">MCASE!C22</f>
        <v>Orals underwhelm | Low leverage</v>
      </c>
      <c r="D44" s="95" t="n">
        <f aca="false">IF(MCASE=$B44,LBO!$D$19,D44)</f>
        <v>10.75</v>
      </c>
      <c r="E44" s="71" t="n">
        <f aca="false">IF(MCASE=$B44,LBO!$D$20,E44)</f>
        <v>0.304611650485437</v>
      </c>
      <c r="F44" s="72" t="n">
        <f aca="false">IF(MCASE=$B44,LBO!$D$33,F44)</f>
        <v>7.23141506871155</v>
      </c>
      <c r="G44" s="72" t="n">
        <f aca="false">IF(MCASE=$B44,LBO!$D$35,G44)</f>
        <v>4.30289628038206</v>
      </c>
      <c r="H44" s="67" t="n">
        <f aca="false">IF(MCASE=$B44,LBO!$D$80,H44)</f>
        <v>289.925623333502</v>
      </c>
      <c r="I44" s="71" t="n">
        <f aca="false">IF(MCASE=$B44,LBO!$D$81,I44)</f>
        <v>0.892283041143615</v>
      </c>
      <c r="J44" s="67" t="n">
        <f aca="false">IF(MCASE=$B44,LBO!$D$74+LBO!$D$75,J44)</f>
        <v>35</v>
      </c>
      <c r="K44" s="67" t="n">
        <f aca="false">IF(MCASE=$B44,LBO!$I$113,K44)</f>
        <v>96.8541224</v>
      </c>
      <c r="L44" s="67" t="n">
        <f aca="false">IF(MCASE=$B44,LBO!$J$109+LBO!$J$110,L44)</f>
        <v>98.302280048</v>
      </c>
      <c r="M44" s="67" t="n">
        <f aca="false">IF(MCASE=$B44,LBO!$M$113,M44)</f>
        <v>104.2926326114</v>
      </c>
      <c r="N44" s="67" t="n">
        <f aca="false">IF(MCASE=$B44,LBO!$H$129,N44)</f>
        <v>37.1926996</v>
      </c>
      <c r="O44" s="67" t="n">
        <f aca="false">IF(MCASE=$B44,LBO!$I$129,O44)</f>
        <v>62.50577072</v>
      </c>
      <c r="P44" s="67" t="n">
        <f aca="false">IF(MCASE=$B44,LBO!$M$129,P44)</f>
        <v>70.8464560391083</v>
      </c>
      <c r="Q44" s="67" t="n">
        <f aca="false">IF(MCASE=$B44,LBO!$M$246,Q44)</f>
        <v>202.151394918476</v>
      </c>
      <c r="R44" s="67" t="n">
        <f aca="false">IF(MCASE=$B44,LBO!$M$244,R44)</f>
        <v>528.486314389651</v>
      </c>
      <c r="S44" s="98" t="n">
        <f aca="false">IF(MCASE=$B44,LBO!$D$255,S44)</f>
        <v>2.52008670674711</v>
      </c>
      <c r="T44" s="71" t="n">
        <f aca="false">IF(MCASE=$B44,LBO!$D$256,T44)</f>
        <v>0.229680545923552</v>
      </c>
      <c r="U44" s="98" t="n">
        <f aca="false">IF(MCASE=$B44,LBO!$D$231,U44)</f>
        <v>-0.564601283343227</v>
      </c>
      <c r="V44" s="72" t="n">
        <f aca="false">IF(MCASE=$B44,LBO!$D$232,V44)</f>
        <v>33.3809189425901</v>
      </c>
      <c r="W44" s="95" t="n">
        <f aca="false">IF(MCASE=$B44,ATP!$C$58,W44)</f>
        <v>11.3774054113347</v>
      </c>
      <c r="X44" s="95" t="n">
        <f aca="false">IF(MCASE=$B44,ATP!$C$59,X44)</f>
        <v>10.3673238775977</v>
      </c>
      <c r="Y44" s="67" t="n">
        <f aca="false">IF(MCASE=$B44,LBO!$D$84,Y44)</f>
        <v>-269.866651666498</v>
      </c>
      <c r="Z44" s="67" t="n">
        <f aca="false">IF(MCASE=$B44,LBO!$I$245,Z44)</f>
        <v>5.64522445439999</v>
      </c>
      <c r="AA44" s="67" t="n">
        <f aca="false">IF(MCASE=$B44,LBO!$J$245,AA44)</f>
        <v>47.599065582288</v>
      </c>
      <c r="AB44" s="67" t="n">
        <f aca="false">IF(MCASE=$B44,LBO!$K$245,AB44)</f>
        <v>48.7452378955752</v>
      </c>
      <c r="AC44" s="67" t="n">
        <f aca="false">IF(MCASE=$B44,LBO!$L$245,AC44)</f>
        <v>49.6299112109533</v>
      </c>
      <c r="AD44" s="67" t="n">
        <f aca="false">IF(MCASE=$B44,LBO!$M$245,AD44)</f>
        <v>50.5319557752594</v>
      </c>
      <c r="AL44" s="101" t="n">
        <f aca="false">-($C$12*LBO!$D$23*(1+LBO!$D$39)+LBO!$D$84)</f>
        <v>-290.453513330972</v>
      </c>
      <c r="AM44" s="101" t="n">
        <f aca="false">LBO!I$245</f>
        <v>0</v>
      </c>
      <c r="AN44" s="101" t="n">
        <f aca="false">LBO!J$245</f>
        <v>0.454703371659619</v>
      </c>
      <c r="AO44" s="101" t="n">
        <f aca="false">LBO!K$245</f>
        <v>39.1876783920155</v>
      </c>
      <c r="AP44" s="101" t="n">
        <f aca="false">LBO!L$245</f>
        <v>36.0053106865155</v>
      </c>
      <c r="AQ44" s="101" t="n">
        <f aca="false">LBO!M$245+(LBO!$M$238*I$6*(1-LBO!$D$44)-LBO!$M$155+LBO!$M$146)</f>
        <v>393.317419004478</v>
      </c>
      <c r="AS44" s="101" t="n">
        <f aca="false">-($C$98*LBO!$D$23*(1+LBO!$D$39)+$Y$35)</f>
        <v>-342.142098333502</v>
      </c>
      <c r="AT44" s="92" t="n">
        <f aca="false">$Z$35</f>
        <v>0</v>
      </c>
      <c r="AU44" s="92" t="n">
        <f aca="false">$AA$35</f>
        <v>0</v>
      </c>
      <c r="AV44" s="92" t="n">
        <f aca="false">$AB$35</f>
        <v>25.3706125049548</v>
      </c>
      <c r="AW44" s="92" t="n">
        <f aca="false">$AC$35</f>
        <v>47.6508112109533</v>
      </c>
      <c r="AX44" s="92" t="n">
        <f aca="false">$AD$35+$R$35</f>
        <v>887.976688561937</v>
      </c>
    </row>
    <row r="45" customFormat="false" ht="12.75" hidden="false" customHeight="true" outlineLevel="0" collapsed="false">
      <c r="B45" s="38" t="n">
        <v>15</v>
      </c>
      <c r="C45" s="104" t="str">
        <f aca="false">MCASE!C23</f>
        <v>Upside (vitiligo) | Low leverage</v>
      </c>
      <c r="D45" s="95" t="n">
        <f aca="false">IF(MCASE=$B45,LBO!$D$19,D45)</f>
        <v>10.75</v>
      </c>
      <c r="E45" s="71" t="n">
        <f aca="false">IF(MCASE=$B45,LBO!$D$20,E45)</f>
        <v>0.304611650485437</v>
      </c>
      <c r="F45" s="72" t="n">
        <f aca="false">IF(MCASE=$B45,LBO!$D$33,F45)</f>
        <v>7.23141506871155</v>
      </c>
      <c r="G45" s="72" t="n">
        <f aca="false">IF(MCASE=$B45,LBO!$D$35,G45)</f>
        <v>5.32524985757711</v>
      </c>
      <c r="H45" s="67" t="n">
        <f aca="false">IF(MCASE=$B45,LBO!$D$80,H45)</f>
        <v>289.925623333502</v>
      </c>
      <c r="I45" s="71" t="n">
        <f aca="false">IF(MCASE=$B45,LBO!$D$81,I45)</f>
        <v>0.892283041143615</v>
      </c>
      <c r="J45" s="67" t="n">
        <f aca="false">IF(MCASE=$B45,LBO!$D$74+LBO!$D$75,J45)</f>
        <v>35</v>
      </c>
      <c r="K45" s="67" t="n">
        <f aca="false">IF(MCASE=$B45,LBO!$I$113,K45)</f>
        <v>96.8541224</v>
      </c>
      <c r="L45" s="67" t="n">
        <f aca="false">IF(MCASE=$B45,LBO!$J$109+LBO!$J$110,L45)</f>
        <v>98.302280048</v>
      </c>
      <c r="M45" s="67" t="n">
        <f aca="false">IF(MCASE=$B45,LBO!$M$113,M45)</f>
        <v>144.2926326114</v>
      </c>
      <c r="N45" s="67" t="n">
        <f aca="false">IF(MCASE=$B45,LBO!$H$129,N45)</f>
        <v>37.1926996</v>
      </c>
      <c r="O45" s="67" t="n">
        <f aca="false">IF(MCASE=$B45,LBO!$I$129,O45)</f>
        <v>50.50577072</v>
      </c>
      <c r="P45" s="67" t="n">
        <f aca="false">IF(MCASE=$B45,LBO!$M$129,P45)</f>
        <v>88.8464560391083</v>
      </c>
      <c r="Q45" s="67" t="n">
        <f aca="false">IF(MCASE=$B45,LBO!$M$246,Q45)</f>
        <v>178.3585314164</v>
      </c>
      <c r="R45" s="67" t="n">
        <f aca="false">IF(MCASE=$B45,LBO!$M$244,R45)</f>
        <v>827.623832786701</v>
      </c>
      <c r="S45" s="98" t="n">
        <f aca="false">IF(MCASE=$B45,LBO!$D$255,S45)</f>
        <v>3.4697946067565</v>
      </c>
      <c r="T45" s="71" t="n">
        <f aca="false">IF(MCASE=$B45,LBO!$D$256,T45)</f>
        <v>0.302268539580586</v>
      </c>
      <c r="U45" s="98" t="n">
        <f aca="false">IF(MCASE=$B45,LBO!$D$231,U45)</f>
        <v>-0.450214918897822</v>
      </c>
      <c r="V45" s="72" t="n">
        <f aca="false">IF(MCASE=$B45,LBO!$D$232,V45)</f>
        <v>25.0850982619312</v>
      </c>
      <c r="W45" s="95" t="n">
        <f aca="false">IF(MCASE=$B45,ATP!$C$58,W45)</f>
        <v>13.3302985682525</v>
      </c>
      <c r="X45" s="95" t="n">
        <f aca="false">IF(MCASE=$B45,ATP!$C$59,X45)</f>
        <v>11.9160428331226</v>
      </c>
      <c r="Y45" s="67" t="n">
        <f aca="false">IF(MCASE=$B45,LBO!$D$84,Y45)</f>
        <v>-269.866651666498</v>
      </c>
      <c r="Z45" s="67" t="n">
        <f aca="false">IF(MCASE=$B45,LBO!$I$245,Z45)</f>
        <v>0</v>
      </c>
      <c r="AA45" s="67" t="n">
        <f aca="false">IF(MCASE=$B45,LBO!$J$245,AA45)</f>
        <v>32.1614265346123</v>
      </c>
      <c r="AB45" s="67" t="n">
        <f aca="false">IF(MCASE=$B45,LBO!$K$245,AB45)</f>
        <v>38.3152378955752</v>
      </c>
      <c r="AC45" s="67" t="n">
        <f aca="false">IF(MCASE=$B45,LBO!$L$245,AC45)</f>
        <v>47.5899112109533</v>
      </c>
      <c r="AD45" s="67" t="n">
        <f aca="false">IF(MCASE=$B45,LBO!$M$245,AD45)</f>
        <v>60.2919557752594</v>
      </c>
      <c r="AL45" s="101" t="n">
        <f aca="false">-($C$12*LBO!$D$23*(1+LBO!$D$39)+LBO!$D$84)</f>
        <v>-290.453513330972</v>
      </c>
      <c r="AM45" s="101" t="n">
        <f aca="false">LBO!I$245</f>
        <v>0</v>
      </c>
      <c r="AN45" s="101" t="n">
        <f aca="false">LBO!J$245</f>
        <v>0.454703371659619</v>
      </c>
      <c r="AO45" s="101" t="n">
        <f aca="false">LBO!K$245</f>
        <v>39.1876783920155</v>
      </c>
      <c r="AP45" s="101" t="n">
        <f aca="false">LBO!L$245</f>
        <v>36.0053106865155</v>
      </c>
      <c r="AQ45" s="101" t="n">
        <f aca="false">LBO!M$245+(LBO!$M$238*J$6*(1-LBO!$D$44)-LBO!$M$155+LBO!$M$146)</f>
        <v>438.98111435631</v>
      </c>
      <c r="AS45" s="101" t="n">
        <f aca="false">-($C$99*LBO!$D$23*(1+LBO!$D$39)+$Y$31)</f>
        <v>-374.305572075281</v>
      </c>
      <c r="AT45" s="92" t="n">
        <f aca="false">$Z$31</f>
        <v>0</v>
      </c>
      <c r="AU45" s="92" t="n">
        <f aca="false">$AA$31</f>
        <v>0</v>
      </c>
      <c r="AV45" s="92" t="n">
        <f aca="false">$AB$31</f>
        <v>12.2843218795599</v>
      </c>
      <c r="AW45" s="92" t="n">
        <f aca="false">$AC$31</f>
        <v>15.0707686617381</v>
      </c>
      <c r="AX45" s="92" t="n">
        <f aca="false">$AD$31+$R$31</f>
        <v>87.5525956716077</v>
      </c>
    </row>
    <row r="46" customFormat="false" ht="12.75" hidden="false" customHeight="true" outlineLevel="0" collapsed="false">
      <c r="B46" s="38" t="n">
        <v>16</v>
      </c>
      <c r="C46" s="104" t="str">
        <f aca="false">MCASE!C24</f>
        <v>Downside | No acquisition debt</v>
      </c>
      <c r="D46" s="95" t="n">
        <f aca="false">IF(MCASE=$B46,LBO!$D$19,D46)</f>
        <v>10.75</v>
      </c>
      <c r="E46" s="71" t="n">
        <f aca="false">IF(MCASE=$B46,LBO!$D$20,E46)</f>
        <v>0.304611650485437</v>
      </c>
      <c r="F46" s="72" t="n">
        <f aca="false">IF(MCASE=$B46,LBO!$D$33,F46)</f>
        <v>7.73536986215828</v>
      </c>
      <c r="G46" s="72" t="n">
        <f aca="false">IF(MCASE=$B46,LBO!$D$35,G46)</f>
        <v>5.55252981634431</v>
      </c>
      <c r="H46" s="67" t="n">
        <f aca="false">IF(MCASE=$B46,LBO!$D$80,H46)</f>
        <v>325.389747075281</v>
      </c>
      <c r="I46" s="71" t="n">
        <f aca="false">IF(MCASE=$B46,LBO!$D$81,I46)</f>
        <v>1</v>
      </c>
      <c r="J46" s="67" t="n">
        <f aca="false">IF(MCASE=$B46,LBO!$D$74+LBO!$D$75,J46)</f>
        <v>0</v>
      </c>
      <c r="K46" s="67" t="n">
        <f aca="false">IF(MCASE=$B46,LBO!$I$113,K46)</f>
        <v>82.33493632</v>
      </c>
      <c r="L46" s="67" t="n">
        <f aca="false">IF(MCASE=$B46,LBO!$J$109+LBO!$J$110,L46)</f>
        <v>71.471027264</v>
      </c>
      <c r="M46" s="67" t="n">
        <f aca="false">IF(MCASE=$B46,LBO!$M$113,M46)</f>
        <v>40.316171855232</v>
      </c>
      <c r="N46" s="67" t="n">
        <f aca="false">IF(MCASE=$B46,LBO!$H$129,N46)</f>
        <v>34.9314224</v>
      </c>
      <c r="O46" s="67" t="n">
        <f aca="false">IF(MCASE=$B46,LBO!$I$129,O46)</f>
        <v>48.6638489144</v>
      </c>
      <c r="P46" s="67" t="n">
        <f aca="false">IF(MCASE=$B46,LBO!$M$129,P46)</f>
        <v>11.1603255432723</v>
      </c>
      <c r="Q46" s="67" t="n">
        <f aca="false">IF(MCASE=$B46,LBO!$M$246,Q46)</f>
        <v>111.851231708328</v>
      </c>
      <c r="R46" s="67" t="n">
        <f aca="false">IF(MCASE=$B46,LBO!$M$244,R46)</f>
        <v>78.4752223104313</v>
      </c>
      <c r="S46" s="98" t="n">
        <f aca="false">IF(MCASE=$B46,LBO!$D$255,S46)</f>
        <v>0.584918411626308</v>
      </c>
      <c r="T46" s="71" t="n">
        <f aca="false">IF(MCASE=$B46,LBO!$D$256,T46)</f>
        <v>-0.136286883559598</v>
      </c>
      <c r="U46" s="98" t="n">
        <f aca="false">IF(MCASE=$B46,LBO!$D$231,U46)</f>
        <v>-0.821965399209591</v>
      </c>
      <c r="V46" s="72" t="n">
        <f aca="false">IF(MCASE=$B46,LBO!$D$232,V46)</f>
        <v>39.8583055116869</v>
      </c>
      <c r="W46" s="95" t="n">
        <f aca="false">IF(MCASE=$B46,ATP!$C$58,W46)</f>
        <v>6.52585578301867</v>
      </c>
      <c r="X46" s="95" t="n">
        <f aca="false">IF(MCASE=$B46,ATP!$C$59,X46)</f>
        <v>6.29669713770382</v>
      </c>
      <c r="Y46" s="67" t="n">
        <f aca="false">IF(MCASE=$B46,LBO!$D$84,Y46)</f>
        <v>-234.402527924719</v>
      </c>
      <c r="Z46" s="67" t="n">
        <f aca="false">IF(MCASE=$B46,LBO!$I$245,Z46)</f>
        <v>33.713470687168</v>
      </c>
      <c r="AA46" s="67" t="n">
        <f aca="false">IF(MCASE=$B46,LBO!$J$245,AA46)</f>
        <v>31.1406905044832</v>
      </c>
      <c r="AB46" s="67" t="n">
        <f aca="false">IF(MCASE=$B46,LBO!$K$245,AB46)</f>
        <v>23.0449284937525</v>
      </c>
      <c r="AC46" s="67" t="n">
        <f aca="false">IF(MCASE=$B46,LBO!$L$245,AC46)</f>
        <v>14.9727686617381</v>
      </c>
      <c r="AD46" s="67" t="n">
        <f aca="false">IF(MCASE=$B46,LBO!$M$245,AD46)</f>
        <v>8.97937336118615</v>
      </c>
      <c r="AL46" s="101" t="n">
        <f aca="false">-($C$12*LBO!$D$23*(1+LBO!$D$39)+LBO!$D$84)</f>
        <v>-290.453513330972</v>
      </c>
      <c r="AM46" s="101" t="n">
        <f aca="false">LBO!I$245</f>
        <v>0</v>
      </c>
      <c r="AN46" s="101" t="n">
        <f aca="false">LBO!J$245</f>
        <v>0.454703371659619</v>
      </c>
      <c r="AO46" s="101" t="n">
        <f aca="false">LBO!K$245</f>
        <v>39.1876783920155</v>
      </c>
      <c r="AP46" s="101" t="n">
        <f aca="false">LBO!L$245</f>
        <v>36.0053106865155</v>
      </c>
      <c r="AQ46" s="101" t="n">
        <f aca="false">LBO!M$245+(LBO!$M$238*K$6*(1-LBO!$D$44)-LBO!$M$155+LBO!$M$146)</f>
        <v>484.644809708142</v>
      </c>
      <c r="AS46" s="101" t="n">
        <f aca="false">-($C$99*LBO!$D$23*(1+LBO!$D$39)+$Y$32)</f>
        <v>-373.92045707781</v>
      </c>
      <c r="AT46" s="92" t="n">
        <f aca="false">$Z$32</f>
        <v>0</v>
      </c>
      <c r="AU46" s="92" t="n">
        <f aca="false">$AA$32</f>
        <v>0</v>
      </c>
      <c r="AV46" s="92" t="n">
        <f aca="false">$AB$32</f>
        <v>29.3097429840168</v>
      </c>
      <c r="AW46" s="92" t="n">
        <f aca="false">$AC$32</f>
        <v>26.4142009338664</v>
      </c>
      <c r="AX46" s="92" t="n">
        <f aca="false">$AD$32+$R$32</f>
        <v>194.29903992322</v>
      </c>
    </row>
    <row r="47" customFormat="false" ht="12.75" hidden="false" customHeight="true" outlineLevel="0" collapsed="false">
      <c r="B47" s="38" t="n">
        <v>17</v>
      </c>
      <c r="C47" s="104" t="str">
        <f aca="false">MCASE!C25</f>
        <v>Conservative | No acquisition debt</v>
      </c>
      <c r="D47" s="95" t="n">
        <f aca="false">IF(MCASE=$B47,LBO!$D$19,D47)</f>
        <v>10.75</v>
      </c>
      <c r="E47" s="71" t="n">
        <f aca="false">IF(MCASE=$B47,LBO!$D$20,E47)</f>
        <v>0.304611650485437</v>
      </c>
      <c r="F47" s="72" t="n">
        <f aca="false">IF(MCASE=$B47,LBO!$D$33,F47)</f>
        <v>7.57349320400734</v>
      </c>
      <c r="G47" s="72" t="n">
        <f aca="false">IF(MCASE=$B47,LBO!$D$35,G47)</f>
        <v>5.07917394073017</v>
      </c>
      <c r="H47" s="67" t="n">
        <f aca="false">IF(MCASE=$B47,LBO!$D$80,H47)</f>
        <v>325.00463207781</v>
      </c>
      <c r="I47" s="71" t="n">
        <f aca="false">IF(MCASE=$B47,LBO!$D$81,I47)</f>
        <v>1</v>
      </c>
      <c r="J47" s="67" t="n">
        <f aca="false">IF(MCASE=$B47,LBO!$D$74+LBO!$D$75,J47)</f>
        <v>0</v>
      </c>
      <c r="K47" s="67" t="n">
        <f aca="false">IF(MCASE=$B47,LBO!$I$113,K47)</f>
        <v>86.94587328</v>
      </c>
      <c r="L47" s="67" t="n">
        <f aca="false">IF(MCASE=$B47,LBO!$J$109+LBO!$J$110,L47)</f>
        <v>80.31718128</v>
      </c>
      <c r="M47" s="67" t="n">
        <f aca="false">IF(MCASE=$B47,LBO!$M$113,M47)</f>
        <v>60.0298190468928</v>
      </c>
      <c r="N47" s="67" t="n">
        <f aca="false">IF(MCASE=$B47,LBO!$H$129,N47)</f>
        <v>35.6272</v>
      </c>
      <c r="O47" s="67" t="n">
        <f aca="false">IF(MCASE=$B47,LBO!$I$129,O47)</f>
        <v>53.1232756008</v>
      </c>
      <c r="P47" s="67" t="n">
        <f aca="false">IF(MCASE=$B47,LBO!$M$129,P47)</f>
        <v>29.8030553014704</v>
      </c>
      <c r="Q47" s="67" t="n">
        <f aca="false">IF(MCASE=$B47,LBO!$M$246,Q47)</f>
        <v>152.565645693636</v>
      </c>
      <c r="R47" s="67" t="n">
        <f aca="false">IF(MCASE=$B47,LBO!$M$244,R47)</f>
        <v>172.102042623768</v>
      </c>
      <c r="S47" s="98" t="n">
        <f aca="false">IF(MCASE=$B47,LBO!$D$255,S47)</f>
        <v>0.998963264744096</v>
      </c>
      <c r="T47" s="71" t="n">
        <f aca="false">IF(MCASE=$B47,LBO!$D$256,T47)</f>
        <v>-0.000263144449135288</v>
      </c>
      <c r="U47" s="98" t="n">
        <f aca="false">IF(MCASE=$B47,LBO!$D$231,U47)</f>
        <v>-0.752965617191678</v>
      </c>
      <c r="V47" s="72" t="n">
        <f aca="false">IF(MCASE=$B47,LBO!$D$232,V47)</f>
        <v>106.439483219537</v>
      </c>
      <c r="W47" s="95" t="n">
        <f aca="false">IF(MCASE=$B47,ATP!$C$58,W47)</f>
        <v>7.66749064312446</v>
      </c>
      <c r="X47" s="95" t="n">
        <f aca="false">IF(MCASE=$B47,ATP!$C$59,X47)</f>
        <v>7.25253257618874</v>
      </c>
      <c r="Y47" s="67" t="n">
        <f aca="false">IF(MCASE=$B47,LBO!$D$84,Y47)</f>
        <v>-234.78764292219</v>
      </c>
      <c r="Z47" s="67" t="n">
        <f aca="false">IF(MCASE=$B47,LBO!$I$245,Z47)</f>
        <v>36.306858707776</v>
      </c>
      <c r="AA47" s="67" t="n">
        <f aca="false">IF(MCASE=$B47,LBO!$J$245,AA47)</f>
        <v>36.580043893872</v>
      </c>
      <c r="AB47" s="67" t="n">
        <f aca="false">IF(MCASE=$B47,LBO!$K$245,AB47)</f>
        <v>31.2635448586709</v>
      </c>
      <c r="AC47" s="67" t="n">
        <f aca="false">IF(MCASE=$B47,LBO!$L$245,AC47)</f>
        <v>26.3162009338664</v>
      </c>
      <c r="AD47" s="67" t="n">
        <f aca="false">IF(MCASE=$B47,LBO!$M$245,AD47)</f>
        <v>22.0989972994503</v>
      </c>
      <c r="AL47" s="101" t="n">
        <f aca="false">-($C$13*LBO!$D$23*(1+LBO!$D$39)+LBO!$D$84)</f>
        <v>-316.490363330972</v>
      </c>
      <c r="AM47" s="101" t="n">
        <f aca="false">LBO!I$245</f>
        <v>0</v>
      </c>
      <c r="AN47" s="101" t="n">
        <f aca="false">LBO!J$245</f>
        <v>0.454703371659619</v>
      </c>
      <c r="AO47" s="101" t="n">
        <f aca="false">LBO!K$245</f>
        <v>39.1876783920155</v>
      </c>
      <c r="AP47" s="101" t="n">
        <f aca="false">LBO!L$245</f>
        <v>36.0053106865155</v>
      </c>
      <c r="AQ47" s="101" t="n">
        <f aca="false">LBO!M$245+(LBO!$M$238*E$6*(1-LBO!$D$44)-LBO!$M$155+LBO!$M$146)</f>
        <v>210.66263759715</v>
      </c>
      <c r="AS47" s="101" t="n">
        <f aca="false">-($C$99*LBO!$D$23*(1+LBO!$D$39)+$Y$33)</f>
        <v>-368.564063330972</v>
      </c>
      <c r="AT47" s="92" t="n">
        <f aca="false">$Z$33</f>
        <v>0</v>
      </c>
      <c r="AU47" s="92" t="n">
        <f aca="false">$AA$33</f>
        <v>0.454703371659619</v>
      </c>
      <c r="AV47" s="92" t="n">
        <f aca="false">$AB$33</f>
        <v>39.1876783920155</v>
      </c>
      <c r="AW47" s="92" t="n">
        <f aca="false">$AC$33</f>
        <v>36.0053106865155</v>
      </c>
      <c r="AX47" s="92" t="n">
        <f aca="false">$AD$33+$R$33</f>
        <v>324.82187597673</v>
      </c>
    </row>
    <row r="48" customFormat="false" ht="12.75" hidden="false" customHeight="true" outlineLevel="0" collapsed="false">
      <c r="B48" s="38" t="n">
        <v>18</v>
      </c>
      <c r="C48" s="104" t="str">
        <f aca="false">MCASE!C26</f>
        <v>Sponsor base | No acquisition debt</v>
      </c>
      <c r="D48" s="95" t="n">
        <f aca="false">IF(MCASE=$B48,LBO!$D$19,D48)</f>
        <v>10.75</v>
      </c>
      <c r="E48" s="71" t="n">
        <f aca="false">IF(MCASE=$B48,LBO!$D$20,E48)</f>
        <v>0.304611650485437</v>
      </c>
      <c r="F48" s="72" t="n">
        <f aca="false">IF(MCASE=$B48,LBO!$D$33,F48)</f>
        <v>7.37982680651733</v>
      </c>
      <c r="G48" s="72" t="n">
        <f aca="false">IF(MCASE=$B48,LBO!$D$35,G48)</f>
        <v>4.68415559981483</v>
      </c>
      <c r="H48" s="67" t="n">
        <f aca="false">IF(MCASE=$B48,LBO!$D$80,H48)</f>
        <v>324.523238330972</v>
      </c>
      <c r="I48" s="71" t="n">
        <f aca="false">IF(MCASE=$B48,LBO!$D$81,I48)</f>
        <v>1</v>
      </c>
      <c r="J48" s="67" t="n">
        <f aca="false">IF(MCASE=$B48,LBO!$D$74+LBO!$D$75,J48)</f>
        <v>0</v>
      </c>
      <c r="K48" s="67" t="n">
        <f aca="false">IF(MCASE=$B48,LBO!$I$113,K48)</f>
        <v>90.9024032</v>
      </c>
      <c r="L48" s="67" t="n">
        <f aca="false">IF(MCASE=$B48,LBO!$J$109+LBO!$J$110,L48)</f>
        <v>87.739811936</v>
      </c>
      <c r="M48" s="67" t="n">
        <f aca="false">IF(MCASE=$B48,LBO!$M$113,M48)</f>
        <v>77.2792548128653</v>
      </c>
      <c r="N48" s="67" t="n">
        <f aca="false">IF(MCASE=$B48,LBO!$H$129,N48)</f>
        <v>36.496922</v>
      </c>
      <c r="O48" s="67" t="n">
        <f aca="false">IF(MCASE=$B48,LBO!$I$129,O48)</f>
        <v>57.50043046</v>
      </c>
      <c r="P48" s="67" t="n">
        <f aca="false">IF(MCASE=$B48,LBO!$M$129,P48)</f>
        <v>46.3590815754639</v>
      </c>
      <c r="Q48" s="67" t="n">
        <f aca="false">IF(MCASE=$B48,LBO!$M$246,Q48)</f>
        <v>189.143426085002</v>
      </c>
      <c r="R48" s="67" t="n">
        <f aca="false">IF(MCASE=$B48,LBO!$M$244,R48)</f>
        <v>291.150324435076</v>
      </c>
      <c r="S48" s="98" t="n">
        <f aca="false">IF(MCASE=$B48,LBO!$D$255,S48)</f>
        <v>1.47999802106695</v>
      </c>
      <c r="T48" s="71" t="n">
        <f aca="false">IF(MCASE=$B48,LBO!$D$256,T48)</f>
        <v>0.100688919063335</v>
      </c>
      <c r="U48" s="98" t="n">
        <f aca="false">IF(MCASE=$B48,LBO!$D$231,U48)</f>
        <v>-0.695646966118382</v>
      </c>
      <c r="V48" s="72" t="n">
        <f aca="false">IF(MCASE=$B48,LBO!$D$232,V48)</f>
        <v>165.5681484838</v>
      </c>
      <c r="W48" s="95" t="n">
        <f aca="false">IF(MCASE=$B48,ATP!$C$58,W48)</f>
        <v>8.96953884303747</v>
      </c>
      <c r="X48" s="95" t="n">
        <f aca="false">IF(MCASE=$B48,ATP!$C$59,X48)</f>
        <v>8.33825091152628</v>
      </c>
      <c r="Y48" s="67" t="n">
        <f aca="false">IF(MCASE=$B48,LBO!$D$84,Y48)</f>
        <v>-235.269036669028</v>
      </c>
      <c r="Z48" s="67" t="n">
        <f aca="false">IF(MCASE=$B48,LBO!$I$245,Z48)</f>
        <v>38.9758038192</v>
      </c>
      <c r="AA48" s="67" t="n">
        <f aca="false">IF(MCASE=$B48,LBO!$J$245,AA48)</f>
        <v>41.618081645616</v>
      </c>
      <c r="AB48" s="67" t="n">
        <f aca="false">IF(MCASE=$B48,LBO!$K$245,AB48)</f>
        <v>39.0826783920155</v>
      </c>
      <c r="AC48" s="67" t="n">
        <f aca="false">IF(MCASE=$B48,LBO!$L$245,AC48)</f>
        <v>35.9003106865156</v>
      </c>
      <c r="AD48" s="67" t="n">
        <f aca="false">IF(MCASE=$B48,LBO!$M$245,AD48)</f>
        <v>33.5665515416554</v>
      </c>
      <c r="AL48" s="101" t="n">
        <f aca="false">-($C$13*LBO!$D$23*(1+LBO!$D$39)+LBO!$D$84)</f>
        <v>-316.490363330972</v>
      </c>
      <c r="AM48" s="101" t="n">
        <f aca="false">LBO!I$245</f>
        <v>0</v>
      </c>
      <c r="AN48" s="101" t="n">
        <f aca="false">LBO!J$245</f>
        <v>0.454703371659619</v>
      </c>
      <c r="AO48" s="101" t="n">
        <f aca="false">LBO!K$245</f>
        <v>39.1876783920155</v>
      </c>
      <c r="AP48" s="101" t="n">
        <f aca="false">LBO!L$245</f>
        <v>36.0053106865155</v>
      </c>
      <c r="AQ48" s="101" t="n">
        <f aca="false">LBO!M$245+(LBO!$M$238*F$6*(1-LBO!$D$44)-LBO!$M$155+LBO!$M$146)</f>
        <v>256.326332948982</v>
      </c>
      <c r="AS48" s="101" t="n">
        <f aca="false">-($C$99*LBO!$D$23*(1+LBO!$D$39)+$Y$34)</f>
        <v>-368.178948333502</v>
      </c>
      <c r="AT48" s="92" t="n">
        <f aca="false">$Z$34</f>
        <v>0</v>
      </c>
      <c r="AU48" s="92" t="n">
        <f aca="false">$AA$34</f>
        <v>9.36196165821613</v>
      </c>
      <c r="AV48" s="92" t="n">
        <f aca="false">$AB$34</f>
        <v>48.8061378955752</v>
      </c>
      <c r="AW48" s="92" t="n">
        <f aca="false">$AC$34</f>
        <v>49.6908112109533</v>
      </c>
      <c r="AX48" s="92" t="n">
        <f aca="false">$AD$34+$R$34</f>
        <v>579.079170164906</v>
      </c>
    </row>
    <row r="49" customFormat="false" ht="12.75" hidden="false" customHeight="true" outlineLevel="0" collapsed="false">
      <c r="B49" s="38" t="n">
        <v>19</v>
      </c>
      <c r="C49" s="104" t="str">
        <f aca="false">MCASE!C27</f>
        <v>Orals underwhelm | No acquisition debt</v>
      </c>
      <c r="D49" s="95" t="n">
        <f aca="false">IF(MCASE=$B49,LBO!$D$19,D49)</f>
        <v>10.75</v>
      </c>
      <c r="E49" s="71" t="n">
        <f aca="false">IF(MCASE=$B49,LBO!$D$20,E49)</f>
        <v>0.304611650485437</v>
      </c>
      <c r="F49" s="72" t="n">
        <f aca="false">IF(MCASE=$B49,LBO!$D$33,F49)</f>
        <v>7.23141506871155</v>
      </c>
      <c r="G49" s="72" t="n">
        <f aca="false">IF(MCASE=$B49,LBO!$D$35,G49)</f>
        <v>4.30289628038206</v>
      </c>
      <c r="H49" s="67" t="n">
        <f aca="false">IF(MCASE=$B49,LBO!$D$80,H49)</f>
        <v>324.138123333502</v>
      </c>
      <c r="I49" s="71" t="n">
        <f aca="false">IF(MCASE=$B49,LBO!$D$81,I49)</f>
        <v>1</v>
      </c>
      <c r="J49" s="67" t="n">
        <f aca="false">IF(MCASE=$B49,LBO!$D$74+LBO!$D$75,J49)</f>
        <v>0</v>
      </c>
      <c r="K49" s="67" t="n">
        <f aca="false">IF(MCASE=$B49,LBO!$I$113,K49)</f>
        <v>96.8541224</v>
      </c>
      <c r="L49" s="67" t="n">
        <f aca="false">IF(MCASE=$B49,LBO!$J$109+LBO!$J$110,L49)</f>
        <v>98.302280048</v>
      </c>
      <c r="M49" s="67" t="n">
        <f aca="false">IF(MCASE=$B49,LBO!$M$113,M49)</f>
        <v>104.2926326114</v>
      </c>
      <c r="N49" s="67" t="n">
        <f aca="false">IF(MCASE=$B49,LBO!$H$129,N49)</f>
        <v>37.1926996</v>
      </c>
      <c r="O49" s="67" t="n">
        <f aca="false">IF(MCASE=$B49,LBO!$I$129,O49)</f>
        <v>62.50577072</v>
      </c>
      <c r="P49" s="67" t="n">
        <f aca="false">IF(MCASE=$B49,LBO!$M$129,P49)</f>
        <v>70.8464560391083</v>
      </c>
      <c r="Q49" s="67" t="n">
        <f aca="false">IF(MCASE=$B49,LBO!$M$246,Q49)</f>
        <v>238.077494918476</v>
      </c>
      <c r="R49" s="67" t="n">
        <f aca="false">IF(MCASE=$B49,LBO!$M$244,R49)</f>
        <v>528.486314389651</v>
      </c>
      <c r="S49" s="98" t="n">
        <f aca="false">IF(MCASE=$B49,LBO!$D$255,S49)</f>
        <v>2.36492949803198</v>
      </c>
      <c r="T49" s="71" t="n">
        <f aca="false">IF(MCASE=$B49,LBO!$D$256,T49)</f>
        <v>0.225026320789227</v>
      </c>
      <c r="U49" s="98" t="n">
        <f aca="false">IF(MCASE=$B49,LBO!$D$231,U49)</f>
        <v>-0.564601283343227</v>
      </c>
      <c r="V49" s="72" t="n">
        <f aca="false">IF(MCASE=$B49,LBO!$D$232,V49)</f>
        <v>223.234895428571</v>
      </c>
      <c r="W49" s="95" t="n">
        <f aca="false">IF(MCASE=$B49,ATP!$C$58,W49)</f>
        <v>11.2963238033693</v>
      </c>
      <c r="X49" s="95" t="n">
        <f aca="false">IF(MCASE=$B49,ATP!$C$59,X49)</f>
        <v>10.2633593571584</v>
      </c>
      <c r="Y49" s="67" t="n">
        <f aca="false">IF(MCASE=$B49,LBO!$D$84,Y49)</f>
        <v>-235.654151666498</v>
      </c>
      <c r="Z49" s="67" t="n">
        <f aca="false">IF(MCASE=$B49,LBO!$I$245,Z49)</f>
        <v>41.7477244544</v>
      </c>
      <c r="AA49" s="67" t="n">
        <f aca="false">IF(MCASE=$B49,LBO!$J$245,AA49)</f>
        <v>47.554965582288</v>
      </c>
      <c r="AB49" s="67" t="n">
        <f aca="false">IF(MCASE=$B49,LBO!$K$245,AB49)</f>
        <v>48.7011378955752</v>
      </c>
      <c r="AC49" s="67" t="n">
        <f aca="false">IF(MCASE=$B49,LBO!$L$245,AC49)</f>
        <v>49.5858112109533</v>
      </c>
      <c r="AD49" s="67" t="n">
        <f aca="false">IF(MCASE=$B49,LBO!$M$245,AD49)</f>
        <v>50.4878557752594</v>
      </c>
      <c r="AL49" s="101" t="n">
        <f aca="false">-($C$13*LBO!$D$23*(1+LBO!$D$39)+LBO!$D$84)</f>
        <v>-316.490363330972</v>
      </c>
      <c r="AM49" s="101" t="n">
        <f aca="false">LBO!I$245</f>
        <v>0</v>
      </c>
      <c r="AN49" s="101" t="n">
        <f aca="false">LBO!J$245</f>
        <v>0.454703371659619</v>
      </c>
      <c r="AO49" s="101" t="n">
        <f aca="false">LBO!K$245</f>
        <v>39.1876783920155</v>
      </c>
      <c r="AP49" s="101" t="n">
        <f aca="false">LBO!L$245</f>
        <v>36.0053106865155</v>
      </c>
      <c r="AQ49" s="101" t="n">
        <f aca="false">LBO!M$245+(LBO!$M$238*G$6*(1-LBO!$D$44)-LBO!$M$155+LBO!$M$146)</f>
        <v>301.990028300814</v>
      </c>
      <c r="AS49" s="101" t="n">
        <f aca="false">-($C$99*LBO!$D$23*(1+LBO!$D$39)+$Y$35)</f>
        <v>-368.178948333502</v>
      </c>
      <c r="AT49" s="92" t="n">
        <f aca="false">$Z$35</f>
        <v>0</v>
      </c>
      <c r="AU49" s="92" t="n">
        <f aca="false">$AA$35</f>
        <v>0</v>
      </c>
      <c r="AV49" s="92" t="n">
        <f aca="false">$AB$35</f>
        <v>25.3706125049548</v>
      </c>
      <c r="AW49" s="92" t="n">
        <f aca="false">$AC$35</f>
        <v>47.6508112109533</v>
      </c>
      <c r="AX49" s="92" t="n">
        <f aca="false">$AD$35+$R$35</f>
        <v>887.976688561937</v>
      </c>
    </row>
    <row r="50" customFormat="false" ht="12.75" hidden="false" customHeight="true" outlineLevel="0" collapsed="false">
      <c r="B50" s="38" t="n">
        <v>20</v>
      </c>
      <c r="C50" s="104" t="str">
        <f aca="false">MCASE!C28</f>
        <v>Upside (vitiligo) | No acquisition debt</v>
      </c>
      <c r="D50" s="95" t="n">
        <f aca="false">IF(MCASE=$B50,LBO!$D$19,D50)</f>
        <v>10.75</v>
      </c>
      <c r="E50" s="71" t="n">
        <f aca="false">IF(MCASE=$B50,LBO!$D$20,E50)</f>
        <v>0.304611650485437</v>
      </c>
      <c r="F50" s="72" t="n">
        <f aca="false">IF(MCASE=$B50,LBO!$D$33,F50)</f>
        <v>7.23141506871155</v>
      </c>
      <c r="G50" s="72" t="n">
        <f aca="false">IF(MCASE=$B50,LBO!$D$35,G50)</f>
        <v>5.32524985757711</v>
      </c>
      <c r="H50" s="67" t="n">
        <f aca="false">IF(MCASE=$B50,LBO!$D$80,H50)</f>
        <v>324.138123333502</v>
      </c>
      <c r="I50" s="71" t="n">
        <f aca="false">IF(MCASE=$B50,LBO!$D$81,I50)</f>
        <v>1</v>
      </c>
      <c r="J50" s="67" t="n">
        <f aca="false">IF(MCASE=$B50,LBO!$D$74+LBO!$D$75,J50)</f>
        <v>0</v>
      </c>
      <c r="K50" s="67" t="n">
        <f aca="false">IF(MCASE=$B50,LBO!$I$113,K50)</f>
        <v>96.8541224</v>
      </c>
      <c r="L50" s="67" t="n">
        <f aca="false">IF(MCASE=$B50,LBO!$J$109+LBO!$J$110,L50)</f>
        <v>98.302280048</v>
      </c>
      <c r="M50" s="67" t="n">
        <f aca="false">IF(MCASE=$B50,LBO!$M$113,M50)</f>
        <v>144.2926326114</v>
      </c>
      <c r="N50" s="67" t="n">
        <f aca="false">IF(MCASE=$B50,LBO!$H$129,N50)</f>
        <v>37.1926996</v>
      </c>
      <c r="O50" s="67" t="n">
        <f aca="false">IF(MCASE=$B50,LBO!$I$129,O50)</f>
        <v>50.50577072</v>
      </c>
      <c r="P50" s="67" t="n">
        <f aca="false">IF(MCASE=$B50,LBO!$M$129,P50)</f>
        <v>88.8464560391083</v>
      </c>
      <c r="Q50" s="67" t="n">
        <f aca="false">IF(MCASE=$B50,LBO!$M$246,Q50)</f>
        <v>214.487494918476</v>
      </c>
      <c r="R50" s="67" t="n">
        <f aca="false">IF(MCASE=$B50,LBO!$M$244,R50)</f>
        <v>827.623832786695</v>
      </c>
      <c r="S50" s="98" t="n">
        <f aca="false">IF(MCASE=$B50,LBO!$D$255,S50)</f>
        <v>3.21502240152404</v>
      </c>
      <c r="T50" s="71" t="n">
        <f aca="false">IF(MCASE=$B50,LBO!$D$256,T50)</f>
        <v>0.295733429191895</v>
      </c>
      <c r="U50" s="98" t="n">
        <f aca="false">IF(MCASE=$B50,LBO!$D$231,U50)</f>
        <v>-0.450214918897754</v>
      </c>
      <c r="V50" s="72" t="n">
        <f aca="false">IF(MCASE=$B50,LBO!$D$232,V50)</f>
        <v>177.287057569286</v>
      </c>
      <c r="W50" s="95" t="n">
        <f aca="false">IF(MCASE=$B50,ATP!$C$58,W50)</f>
        <v>13.2439347618645</v>
      </c>
      <c r="X50" s="95" t="n">
        <f aca="false">IF(MCASE=$B50,ATP!$C$59,X50)</f>
        <v>11.8053699081341</v>
      </c>
      <c r="Y50" s="67" t="n">
        <f aca="false">IF(MCASE=$B50,LBO!$D$84,Y50)</f>
        <v>-235.654151666498</v>
      </c>
      <c r="Z50" s="67" t="n">
        <f aca="false">IF(MCASE=$B50,LBO!$I$245,Z50)</f>
        <v>33.1077244544</v>
      </c>
      <c r="AA50" s="67" t="n">
        <f aca="false">IF(MCASE=$B50,LBO!$J$245,AA50)</f>
        <v>35.314965582288</v>
      </c>
      <c r="AB50" s="67" t="n">
        <f aca="false">IF(MCASE=$B50,LBO!$K$245,AB50)</f>
        <v>38.2711378955752</v>
      </c>
      <c r="AC50" s="67" t="n">
        <f aca="false">IF(MCASE=$B50,LBO!$L$245,AC50)</f>
        <v>47.5458112109533</v>
      </c>
      <c r="AD50" s="67" t="n">
        <f aca="false">IF(MCASE=$B50,LBO!$M$245,AD50)</f>
        <v>60.2478557752594</v>
      </c>
      <c r="AL50" s="101" t="n">
        <f aca="false">-($C$13*LBO!$D$23*(1+LBO!$D$39)+LBO!$D$84)</f>
        <v>-316.490363330972</v>
      </c>
      <c r="AM50" s="101" t="n">
        <f aca="false">LBO!I$245</f>
        <v>0</v>
      </c>
      <c r="AN50" s="101" t="n">
        <f aca="false">LBO!J$245</f>
        <v>0.454703371659619</v>
      </c>
      <c r="AO50" s="101" t="n">
        <f aca="false">LBO!K$245</f>
        <v>39.1876783920155</v>
      </c>
      <c r="AP50" s="101" t="n">
        <f aca="false">LBO!L$245</f>
        <v>36.0053106865155</v>
      </c>
      <c r="AQ50" s="101" t="n">
        <f aca="false">LBO!M$245+(LBO!$M$238*H$6*(1-LBO!$D$44)-LBO!$M$155+LBO!$M$146)</f>
        <v>347.653723652646</v>
      </c>
    </row>
    <row r="51" customFormat="false" ht="12.75" hidden="false" customHeight="true" outlineLevel="0" collapsed="false">
      <c r="B51" s="38" t="n">
        <v>21</v>
      </c>
      <c r="C51" s="104" t="str">
        <f aca="false">MCASE!C29</f>
        <v>Sponsor base | Base | CEO rolls 6.8%</v>
      </c>
      <c r="D51" s="95" t="n">
        <f aca="false">IF(MCASE=$B51,LBO!$D$19,D51)</f>
        <v>10.75</v>
      </c>
      <c r="E51" s="71" t="n">
        <f aca="false">IF(MCASE=$B51,LBO!$D$20,E51)</f>
        <v>0.304611650485437</v>
      </c>
      <c r="F51" s="72" t="n">
        <f aca="false">IF(MCASE=$B51,LBO!$D$33,F51)</f>
        <v>7.37982680651733</v>
      </c>
      <c r="G51" s="72" t="n">
        <f aca="false">IF(MCASE=$B51,LBO!$D$35,G51)</f>
        <v>4.68415559981483</v>
      </c>
      <c r="H51" s="67" t="n">
        <f aca="false">IF(MCASE=$B51,LBO!$D$80,H51)</f>
        <v>251.398238330972</v>
      </c>
      <c r="I51" s="71" t="n">
        <f aca="false">IF(MCASE=$B51,LBO!$D$81,I51)</f>
        <v>0.770219348047005</v>
      </c>
      <c r="J51" s="67" t="n">
        <f aca="false">IF(MCASE=$B51,LBO!$D$74+LBO!$D$75,J51)</f>
        <v>75</v>
      </c>
      <c r="K51" s="67" t="n">
        <f aca="false">IF(MCASE=$B51,LBO!$I$113,K51)</f>
        <v>90.9024032</v>
      </c>
      <c r="L51" s="67" t="n">
        <f aca="false">IF(MCASE=$B51,LBO!$J$109+LBO!$J$110,L51)</f>
        <v>87.739811936</v>
      </c>
      <c r="M51" s="67" t="n">
        <f aca="false">IF(MCASE=$B51,LBO!$M$113,M51)</f>
        <v>77.2792548128653</v>
      </c>
      <c r="N51" s="67" t="n">
        <f aca="false">IF(MCASE=$B51,LBO!$H$129,N51)</f>
        <v>36.496922</v>
      </c>
      <c r="O51" s="67" t="n">
        <f aca="false">IF(MCASE=$B51,LBO!$I$129,O51)</f>
        <v>57.50043046</v>
      </c>
      <c r="P51" s="67" t="n">
        <f aca="false">IF(MCASE=$B51,LBO!$M$129,P51)</f>
        <v>46.3590815754639</v>
      </c>
      <c r="Q51" s="67" t="n">
        <f aca="false">IF(MCASE=$B51,LBO!$M$246,Q51)</f>
        <v>109.319243991846</v>
      </c>
      <c r="R51" s="67" t="n">
        <f aca="false">IF(MCASE=$B51,LBO!$M$244,R51)</f>
        <v>291.150324435072</v>
      </c>
      <c r="S51" s="98" t="n">
        <f aca="false">IF(MCASE=$B51,LBO!$D$255,S51)</f>
        <v>1.59296887315372</v>
      </c>
      <c r="T51" s="71" t="n">
        <f aca="false">IF(MCASE=$B51,LBO!$D$256,T51)</f>
        <v>0.104373548503801</v>
      </c>
      <c r="U51" s="98" t="n">
        <f aca="false">IF(MCASE=$B51,LBO!$D$231,U51)</f>
        <v>-0.00191672952254638</v>
      </c>
      <c r="V51" s="72" t="n">
        <f aca="false">IF(MCASE=$B51,LBO!$D$232,V51)</f>
        <v>9.92291807086695</v>
      </c>
      <c r="W51" s="95" t="n">
        <f aca="false">IF(MCASE=$B51,ATP!$C$58,W51)</f>
        <v>9.20407339186171</v>
      </c>
      <c r="X51" s="95" t="n">
        <f aca="false">IF(MCASE=$B51,ATP!$C$59,X51)</f>
        <v>8.64034139576893</v>
      </c>
      <c r="Y51" s="67" t="n">
        <f aca="false">IF(MCASE=$B51,LBO!$D$84,Y51)</f>
        <v>-308.394036669028</v>
      </c>
      <c r="Z51" s="67" t="n">
        <f aca="false">IF(MCASE=$B51,LBO!$I$245,Z51)</f>
        <v>0</v>
      </c>
      <c r="AA51" s="67" t="n">
        <f aca="false">IF(MCASE=$B51,LBO!$J$245,AA51)</f>
        <v>0.454703371659619</v>
      </c>
      <c r="AB51" s="67" t="n">
        <f aca="false">IF(MCASE=$B51,LBO!$K$245,AB51)</f>
        <v>39.1876783920155</v>
      </c>
      <c r="AC51" s="67" t="n">
        <f aca="false">IF(MCASE=$B51,LBO!$L$245,AC51)</f>
        <v>36.0053106865155</v>
      </c>
      <c r="AD51" s="67" t="n">
        <f aca="false">IF(MCASE=$B51,LBO!$M$245,AD51)</f>
        <v>33.6715515416556</v>
      </c>
      <c r="AL51" s="101" t="n">
        <f aca="false">-($C$13*LBO!$D$23*(1+LBO!$D$39)+LBO!$D$84)</f>
        <v>-316.490363330972</v>
      </c>
      <c r="AM51" s="101" t="n">
        <f aca="false">LBO!I$245</f>
        <v>0</v>
      </c>
      <c r="AN51" s="101" t="n">
        <f aca="false">LBO!J$245</f>
        <v>0.454703371659619</v>
      </c>
      <c r="AO51" s="101" t="n">
        <f aca="false">LBO!K$245</f>
        <v>39.1876783920155</v>
      </c>
      <c r="AP51" s="101" t="n">
        <f aca="false">LBO!L$245</f>
        <v>36.0053106865155</v>
      </c>
      <c r="AQ51" s="101" t="n">
        <f aca="false">LBO!M$245+(LBO!$M$238*I$6*(1-LBO!$D$44)-LBO!$M$155+LBO!$M$146)</f>
        <v>393.317419004478</v>
      </c>
    </row>
    <row r="52" customFormat="false" ht="12.75" hidden="false" customHeight="true" outlineLevel="0" collapsed="false">
      <c r="B52" s="38" t="n">
        <v>22</v>
      </c>
      <c r="C52" s="104" t="str">
        <f aca="false">MCASE!C30</f>
        <v>Sponsor base | Base | A$9.50 offer</v>
      </c>
      <c r="D52" s="95" t="n">
        <f aca="false">IF(MCASE=$B52,LBO!$D$19,D52)</f>
        <v>9.5</v>
      </c>
      <c r="E52" s="71" t="n">
        <f aca="false">IF(MCASE=$B52,LBO!$D$20,E52)</f>
        <v>0.152912621359223</v>
      </c>
      <c r="F52" s="72" t="n">
        <f aca="false">IF(MCASE=$B52,LBO!$D$33,F52)</f>
        <v>5.64406399342312</v>
      </c>
      <c r="G52" s="72" t="n">
        <f aca="false">IF(MCASE=$B52,LBO!$D$35,G52)</f>
        <v>3.58242471722485</v>
      </c>
      <c r="H52" s="67" t="n">
        <f aca="false">IF(MCASE=$B52,LBO!$D$80,H52)</f>
        <v>186.306113330972</v>
      </c>
      <c r="I52" s="71" t="n">
        <f aca="false">IF(MCASE=$B52,LBO!$D$81,I52)</f>
        <v>0.712980308635166</v>
      </c>
      <c r="J52" s="67" t="n">
        <f aca="false">IF(MCASE=$B52,LBO!$D$74+LBO!$D$75,J52)</f>
        <v>75</v>
      </c>
      <c r="K52" s="67" t="n">
        <f aca="false">IF(MCASE=$B52,LBO!$I$113,K52)</f>
        <v>90.9024032</v>
      </c>
      <c r="L52" s="67" t="n">
        <f aca="false">IF(MCASE=$B52,LBO!$J$109+LBO!$J$110,L52)</f>
        <v>87.739811936</v>
      </c>
      <c r="M52" s="67" t="n">
        <f aca="false">IF(MCASE=$B52,LBO!$M$113,M52)</f>
        <v>77.2792548128653</v>
      </c>
      <c r="N52" s="67" t="n">
        <f aca="false">IF(MCASE=$B52,LBO!$H$129,N52)</f>
        <v>36.496922</v>
      </c>
      <c r="O52" s="67" t="n">
        <f aca="false">IF(MCASE=$B52,LBO!$I$129,O52)</f>
        <v>57.50043046</v>
      </c>
      <c r="P52" s="67" t="n">
        <f aca="false">IF(MCASE=$B52,LBO!$M$129,P52)</f>
        <v>46.3590815754639</v>
      </c>
      <c r="Q52" s="67" t="n">
        <f aca="false">IF(MCASE=$B52,LBO!$M$246,Q52)</f>
        <v>109.319243991846</v>
      </c>
      <c r="R52" s="67" t="n">
        <f aca="false">IF(MCASE=$B52,LBO!$M$244,R52)</f>
        <v>291.150324435076</v>
      </c>
      <c r="S52" s="98" t="n">
        <f aca="false">IF(MCASE=$B52,LBO!$D$255,S52)</f>
        <v>2.14952457150715</v>
      </c>
      <c r="T52" s="71" t="n">
        <f aca="false">IF(MCASE=$B52,LBO!$D$256,T52)</f>
        <v>0.177841338925896</v>
      </c>
      <c r="U52" s="98" t="n">
        <f aca="false">IF(MCASE=$B52,LBO!$D$231,U52)</f>
        <v>-0.00191672952254638</v>
      </c>
      <c r="V52" s="72" t="n">
        <f aca="false">IF(MCASE=$B52,LBO!$D$232,V52)</f>
        <v>9.92291807086695</v>
      </c>
      <c r="W52" s="95" t="n">
        <f aca="false">IF(MCASE=$B52,ATP!$C$58,W52)</f>
        <v>9.20407339186174</v>
      </c>
      <c r="X52" s="95" t="n">
        <f aca="false">IF(MCASE=$B52,ATP!$C$59,X52)</f>
        <v>8.64034139576895</v>
      </c>
      <c r="Y52" s="67" t="n">
        <f aca="false">IF(MCASE=$B52,LBO!$D$84,Y52)</f>
        <v>-308.394036669028</v>
      </c>
      <c r="Z52" s="67" t="n">
        <f aca="false">IF(MCASE=$B52,LBO!$I$245,Z52)</f>
        <v>0</v>
      </c>
      <c r="AA52" s="67" t="n">
        <f aca="false">IF(MCASE=$B52,LBO!$J$245,AA52)</f>
        <v>0.454703371659619</v>
      </c>
      <c r="AB52" s="67" t="n">
        <f aca="false">IF(MCASE=$B52,LBO!$K$245,AB52)</f>
        <v>39.1876783920155</v>
      </c>
      <c r="AC52" s="67" t="n">
        <f aca="false">IF(MCASE=$B52,LBO!$L$245,AC52)</f>
        <v>36.0053106865155</v>
      </c>
      <c r="AD52" s="67" t="n">
        <f aca="false">IF(MCASE=$B52,LBO!$M$245,AD52)</f>
        <v>33.6715515416554</v>
      </c>
      <c r="AL52" s="101" t="n">
        <f aca="false">-($C$13*LBO!$D$23*(1+LBO!$D$39)+LBO!$D$84)</f>
        <v>-316.490363330972</v>
      </c>
      <c r="AM52" s="101" t="n">
        <f aca="false">LBO!I$245</f>
        <v>0</v>
      </c>
      <c r="AN52" s="101" t="n">
        <f aca="false">LBO!J$245</f>
        <v>0.454703371659619</v>
      </c>
      <c r="AO52" s="101" t="n">
        <f aca="false">LBO!K$245</f>
        <v>39.1876783920155</v>
      </c>
      <c r="AP52" s="101" t="n">
        <f aca="false">LBO!L$245</f>
        <v>36.0053106865155</v>
      </c>
      <c r="AQ52" s="101" t="n">
        <f aca="false">LBO!M$245+(LBO!$M$238*J$6*(1-LBO!$D$44)-LBO!$M$155+LBO!$M$146)</f>
        <v>438.98111435631</v>
      </c>
    </row>
    <row r="53" customFormat="false" ht="12.75" hidden="false" customHeight="true" outlineLevel="0" collapsed="false">
      <c r="B53" s="38" t="n">
        <v>23</v>
      </c>
      <c r="C53" s="104" t="str">
        <f aca="false">MCASE!C31</f>
        <v>Sponsor base | Base | A$12.50 offer</v>
      </c>
      <c r="D53" s="95" t="n">
        <f aca="false">IF(MCASE=$B53,LBO!$D$19,D53)</f>
        <v>12.5</v>
      </c>
      <c r="E53" s="71" t="n">
        <f aca="false">IF(MCASE=$B53,LBO!$D$20,E53)</f>
        <v>0.516990291262136</v>
      </c>
      <c r="F53" s="72" t="n">
        <f aca="false">IF(MCASE=$B53,LBO!$D$33,F53)</f>
        <v>9.80989474484923</v>
      </c>
      <c r="G53" s="72" t="n">
        <f aca="false">IF(MCASE=$B53,LBO!$D$35,G53)</f>
        <v>6.22657883544082</v>
      </c>
      <c r="H53" s="67" t="n">
        <f aca="false">IF(MCASE=$B53,LBO!$D$80,H53)</f>
        <v>342.527213330972</v>
      </c>
      <c r="I53" s="71" t="n">
        <f aca="false">IF(MCASE=$B53,LBO!$D$81,I53)</f>
        <v>0.820370989948989</v>
      </c>
      <c r="J53" s="67" t="n">
        <f aca="false">IF(MCASE=$B53,LBO!$D$74+LBO!$D$75,J53)</f>
        <v>75</v>
      </c>
      <c r="K53" s="67" t="n">
        <f aca="false">IF(MCASE=$B53,LBO!$I$113,K53)</f>
        <v>90.9024032</v>
      </c>
      <c r="L53" s="67" t="n">
        <f aca="false">IF(MCASE=$B53,LBO!$J$109+LBO!$J$110,L53)</f>
        <v>87.739811936</v>
      </c>
      <c r="M53" s="67" t="n">
        <f aca="false">IF(MCASE=$B53,LBO!$M$113,M53)</f>
        <v>77.2792548128653</v>
      </c>
      <c r="N53" s="67" t="n">
        <f aca="false">IF(MCASE=$B53,LBO!$H$129,N53)</f>
        <v>36.496922</v>
      </c>
      <c r="O53" s="67" t="n">
        <f aca="false">IF(MCASE=$B53,LBO!$I$129,O53)</f>
        <v>57.50043046</v>
      </c>
      <c r="P53" s="67" t="n">
        <f aca="false">IF(MCASE=$B53,LBO!$M$129,P53)</f>
        <v>46.3590815754639</v>
      </c>
      <c r="Q53" s="67" t="n">
        <f aca="false">IF(MCASE=$B53,LBO!$M$246,Q53)</f>
        <v>109.319243991846</v>
      </c>
      <c r="R53" s="67" t="n">
        <f aca="false">IF(MCASE=$B53,LBO!$M$244,R53)</f>
        <v>291.150324435076</v>
      </c>
      <c r="S53" s="98" t="n">
        <f aca="false">IF(MCASE=$B53,LBO!$D$255,S53)</f>
        <v>1.16916131869488</v>
      </c>
      <c r="T53" s="71" t="n">
        <f aca="false">IF(MCASE=$B53,LBO!$D$256,T53)</f>
        <v>0.0337815478533458</v>
      </c>
      <c r="U53" s="98" t="n">
        <f aca="false">IF(MCASE=$B53,LBO!$D$231,U53)</f>
        <v>-0.00191672952254638</v>
      </c>
      <c r="V53" s="72" t="n">
        <f aca="false">IF(MCASE=$B53,LBO!$D$232,V53)</f>
        <v>9.92291807086695</v>
      </c>
      <c r="W53" s="95" t="n">
        <f aca="false">IF(MCASE=$B53,ATP!$C$58,W53)</f>
        <v>9.20407339186174</v>
      </c>
      <c r="X53" s="95" t="n">
        <f aca="false">IF(MCASE=$B53,ATP!$C$59,X53)</f>
        <v>8.64034139576895</v>
      </c>
      <c r="Y53" s="67" t="n">
        <f aca="false">IF(MCASE=$B53,LBO!$D$84,Y53)</f>
        <v>-308.394036669028</v>
      </c>
      <c r="Z53" s="67" t="n">
        <f aca="false">IF(MCASE=$B53,LBO!$I$245,Z53)</f>
        <v>0</v>
      </c>
      <c r="AA53" s="67" t="n">
        <f aca="false">IF(MCASE=$B53,LBO!$J$245,AA53)</f>
        <v>0.454703371659619</v>
      </c>
      <c r="AB53" s="67" t="n">
        <f aca="false">IF(MCASE=$B53,LBO!$K$245,AB53)</f>
        <v>39.1876783920155</v>
      </c>
      <c r="AC53" s="67" t="n">
        <f aca="false">IF(MCASE=$B53,LBO!$L$245,AC53)</f>
        <v>36.0053106865155</v>
      </c>
      <c r="AD53" s="67" t="n">
        <f aca="false">IF(MCASE=$B53,LBO!$M$245,AD53)</f>
        <v>33.6715515416554</v>
      </c>
      <c r="AL53" s="101" t="n">
        <f aca="false">-($C$13*LBO!$D$23*(1+LBO!$D$39)+LBO!$D$84)</f>
        <v>-316.490363330972</v>
      </c>
      <c r="AM53" s="101" t="n">
        <f aca="false">LBO!I$245</f>
        <v>0</v>
      </c>
      <c r="AN53" s="101" t="n">
        <f aca="false">LBO!J$245</f>
        <v>0.454703371659619</v>
      </c>
      <c r="AO53" s="101" t="n">
        <f aca="false">LBO!K$245</f>
        <v>39.1876783920155</v>
      </c>
      <c r="AP53" s="101" t="n">
        <f aca="false">LBO!L$245</f>
        <v>36.0053106865155</v>
      </c>
      <c r="AQ53" s="101" t="n">
        <f aca="false">LBO!M$245+(LBO!$M$238*K$6*(1-LBO!$D$44)-LBO!$M$155+LBO!$M$146)</f>
        <v>484.644809708142</v>
      </c>
    </row>
    <row r="54" customFormat="false" ht="12.75" hidden="false" customHeight="true" outlineLevel="0" collapsed="false">
      <c r="B54" s="38" t="n">
        <v>24</v>
      </c>
      <c r="C54" s="104" t="str">
        <f aca="false">MCASE!C32</f>
        <v>Base revenue, no cost-out | Base</v>
      </c>
      <c r="D54" s="95" t="n">
        <f aca="false">IF(MCASE=$B54,LBO!$D$19,D54)</f>
        <v>10.75</v>
      </c>
      <c r="E54" s="71" t="n">
        <f aca="false">IF(MCASE=$B54,LBO!$D$20,E54)</f>
        <v>0.304611650485437</v>
      </c>
      <c r="F54" s="72" t="n">
        <f aca="false">IF(MCASE=$B54,LBO!$D$33,F54)</f>
        <v>7.37982680651733</v>
      </c>
      <c r="G54" s="72" t="n">
        <f aca="false">IF(MCASE=$B54,LBO!$D$35,G54)</f>
        <v>8.94809388870019</v>
      </c>
      <c r="H54" s="67" t="n">
        <f aca="false">IF(MCASE=$B54,LBO!$D$80,H54)</f>
        <v>251.398238330972</v>
      </c>
      <c r="I54" s="71" t="n">
        <f aca="false">IF(MCASE=$B54,LBO!$D$81,I54)</f>
        <v>0.770219348047005</v>
      </c>
      <c r="J54" s="67" t="n">
        <f aca="false">IF(MCASE=$B54,LBO!$D$74+LBO!$D$75,J54)</f>
        <v>75</v>
      </c>
      <c r="K54" s="67" t="n">
        <f aca="false">IF(MCASE=$B54,LBO!$I$113,K54)</f>
        <v>90.9024032</v>
      </c>
      <c r="L54" s="67" t="n">
        <f aca="false">IF(MCASE=$B54,LBO!$J$109+LBO!$J$110,L54)</f>
        <v>87.739811936</v>
      </c>
      <c r="M54" s="67" t="n">
        <f aca="false">IF(MCASE=$B54,LBO!$M$113,M54)</f>
        <v>77.2792548128653</v>
      </c>
      <c r="N54" s="67" t="n">
        <f aca="false">IF(MCASE=$B54,LBO!$H$129,N54)</f>
        <v>36.496922</v>
      </c>
      <c r="O54" s="67" t="n">
        <f aca="false">IF(MCASE=$B54,LBO!$I$129,O54)</f>
        <v>30.10037296</v>
      </c>
      <c r="P54" s="67" t="n">
        <f aca="false">IF(MCASE=$B54,LBO!$M$129,P54)</f>
        <v>24.4130011407769</v>
      </c>
      <c r="Q54" s="67" t="n">
        <f aca="false">IF(MCASE=$B54,LBO!$M$246,Q54)</f>
        <v>6.47624420568083</v>
      </c>
      <c r="R54" s="67" t="n">
        <f aca="false">IF(MCASE=$B54,LBO!$M$244,R54)</f>
        <v>172.257433680155</v>
      </c>
      <c r="S54" s="98" t="n">
        <f aca="false">IF(MCASE=$B54,LBO!$D$255,S54)</f>
        <v>0.710958354650552</v>
      </c>
      <c r="T54" s="71" t="n">
        <f aca="false">IF(MCASE=$B54,LBO!$D$256,T54)</f>
        <v>-0.06595277951219</v>
      </c>
      <c r="U54" s="98" t="n">
        <f aca="false">IF(MCASE=$B54,LBO!$D$231,U54)</f>
        <v>0.627720999778396</v>
      </c>
      <c r="V54" s="72" t="n">
        <f aca="false">IF(MCASE=$B54,LBO!$D$232,V54)</f>
        <v>4.48794257435439</v>
      </c>
      <c r="W54" s="95" t="n">
        <f aca="false">IF(MCASE=$B54,ATP!$C$58,W54)</f>
        <v>7.30163389917289</v>
      </c>
      <c r="X54" s="95" t="n">
        <f aca="false">IF(MCASE=$B54,ATP!$C$59,X54)</f>
        <v>7.0469639806401</v>
      </c>
      <c r="Y54" s="67" t="n">
        <f aca="false">IF(MCASE=$B54,LBO!$D$84,Y54)</f>
        <v>-308.394036669028</v>
      </c>
      <c r="Z54" s="67" t="n">
        <f aca="false">IF(MCASE=$B54,LBO!$I$245,Z54)</f>
        <v>0</v>
      </c>
      <c r="AA54" s="67" t="n">
        <f aca="false">IF(MCASE=$B54,LBO!$J$245,AA54)</f>
        <v>0</v>
      </c>
      <c r="AB54" s="67" t="n">
        <f aca="false">IF(MCASE=$B54,LBO!$K$245,AB54)</f>
        <v>0</v>
      </c>
      <c r="AC54" s="67" t="n">
        <f aca="false">IF(MCASE=$B54,LBO!$L$245,AC54)</f>
        <v>0</v>
      </c>
      <c r="AD54" s="67" t="n">
        <f aca="false">IF(MCASE=$B54,LBO!$M$245,AD54)</f>
        <v>6.47624420568083</v>
      </c>
      <c r="AL54" s="101" t="n">
        <f aca="false">-($C$14*LBO!$D$23*(1+LBO!$D$39)+LBO!$D$84)</f>
        <v>-342.527213330973</v>
      </c>
      <c r="AM54" s="101" t="n">
        <f aca="false">LBO!I$245</f>
        <v>0</v>
      </c>
      <c r="AN54" s="101" t="n">
        <f aca="false">LBO!J$245</f>
        <v>0.454703371659619</v>
      </c>
      <c r="AO54" s="101" t="n">
        <f aca="false">LBO!K$245</f>
        <v>39.1876783920155</v>
      </c>
      <c r="AP54" s="101" t="n">
        <f aca="false">LBO!L$245</f>
        <v>36.0053106865155</v>
      </c>
      <c r="AQ54" s="101" t="n">
        <f aca="false">LBO!M$245+(LBO!$M$238*E$6*(1-LBO!$D$44)-LBO!$M$155+LBO!$M$146)</f>
        <v>210.66263759715</v>
      </c>
    </row>
    <row r="55" customFormat="false" ht="12.75" hidden="false" customHeight="true" outlineLevel="0" collapsed="false">
      <c r="AL55" s="101" t="n">
        <f aca="false">-($C$14*LBO!$D$23*(1+LBO!$D$39)+LBO!$D$84)</f>
        <v>-342.527213330973</v>
      </c>
      <c r="AM55" s="101" t="n">
        <f aca="false">LBO!I$245</f>
        <v>0</v>
      </c>
      <c r="AN55" s="101" t="n">
        <f aca="false">LBO!J$245</f>
        <v>0.454703371659619</v>
      </c>
      <c r="AO55" s="101" t="n">
        <f aca="false">LBO!K$245</f>
        <v>39.1876783920155</v>
      </c>
      <c r="AP55" s="101" t="n">
        <f aca="false">LBO!L$245</f>
        <v>36.0053106865155</v>
      </c>
      <c r="AQ55" s="101" t="n">
        <f aca="false">LBO!M$245+(LBO!$M$238*F$6*(1-LBO!$D$44)-LBO!$M$155+LBO!$M$146)</f>
        <v>256.326332948982</v>
      </c>
    </row>
    <row r="56" customFormat="false" ht="12.75" hidden="false" customHeight="true" outlineLevel="0" collapsed="false">
      <c r="B56" s="9" t="s">
        <v>602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AL56" s="101" t="n">
        <f aca="false">-($C$14*LBO!$D$23*(1+LBO!$D$39)+LBO!$D$84)</f>
        <v>-342.527213330973</v>
      </c>
      <c r="AM56" s="101" t="n">
        <f aca="false">LBO!I$245</f>
        <v>0</v>
      </c>
      <c r="AN56" s="101" t="n">
        <f aca="false">LBO!J$245</f>
        <v>0.454703371659619</v>
      </c>
      <c r="AO56" s="101" t="n">
        <f aca="false">LBO!K$245</f>
        <v>39.1876783920155</v>
      </c>
      <c r="AP56" s="101" t="n">
        <f aca="false">LBO!L$245</f>
        <v>36.0053106865155</v>
      </c>
      <c r="AQ56" s="101" t="n">
        <f aca="false">LBO!M$245+(LBO!$M$238*G$6*(1-LBO!$D$44)-LBO!$M$155+LBO!$M$146)</f>
        <v>301.990028300814</v>
      </c>
    </row>
    <row r="57" customFormat="false" ht="12.75" hidden="false" customHeight="true" outlineLevel="0" collapsed="false">
      <c r="C57" s="4" t="s">
        <v>591</v>
      </c>
      <c r="D57" s="105" t="s">
        <v>603</v>
      </c>
      <c r="E57" s="105" t="s">
        <v>604</v>
      </c>
      <c r="F57" s="105" t="s">
        <v>245</v>
      </c>
      <c r="G57" s="105" t="s">
        <v>605</v>
      </c>
      <c r="AL57" s="101" t="n">
        <f aca="false">-($C$14*LBO!$D$23*(1+LBO!$D$39)+LBO!$D$84)</f>
        <v>-342.527213330973</v>
      </c>
      <c r="AM57" s="101" t="n">
        <f aca="false">LBO!I$245</f>
        <v>0</v>
      </c>
      <c r="AN57" s="101" t="n">
        <f aca="false">LBO!J$245</f>
        <v>0.454703371659619</v>
      </c>
      <c r="AO57" s="101" t="n">
        <f aca="false">LBO!K$245</f>
        <v>39.1876783920155</v>
      </c>
      <c r="AP57" s="101" t="n">
        <f aca="false">LBO!L$245</f>
        <v>36.0053106865155</v>
      </c>
      <c r="AQ57" s="101" t="n">
        <f aca="false">LBO!M$245+(LBO!$M$238*H$6*(1-LBO!$D$44)-LBO!$M$155+LBO!$M$146)</f>
        <v>347.653723652646</v>
      </c>
    </row>
    <row r="58" customFormat="false" ht="12.75" hidden="false" customHeight="true" outlineLevel="0" collapsed="false">
      <c r="C58" s="6" t="s">
        <v>606</v>
      </c>
      <c r="D58" s="63" t="n">
        <f aca="false">T31</f>
        <v>-0.157793584892406</v>
      </c>
      <c r="E58" s="63" t="n">
        <f aca="false">T36</f>
        <v>-0.314909735443679</v>
      </c>
      <c r="F58" s="63" t="n">
        <f aca="false">T41</f>
        <v>-0.141889438855849</v>
      </c>
      <c r="G58" s="63" t="n">
        <f aca="false">T46</f>
        <v>-0.136286883559598</v>
      </c>
      <c r="AL58" s="101" t="n">
        <f aca="false">-($C$14*LBO!$D$23*(1+LBO!$D$39)+LBO!$D$84)</f>
        <v>-342.527213330973</v>
      </c>
      <c r="AM58" s="101" t="n">
        <f aca="false">LBO!I$245</f>
        <v>0</v>
      </c>
      <c r="AN58" s="101" t="n">
        <f aca="false">LBO!J$245</f>
        <v>0.454703371659619</v>
      </c>
      <c r="AO58" s="101" t="n">
        <f aca="false">LBO!K$245</f>
        <v>39.1876783920155</v>
      </c>
      <c r="AP58" s="101" t="n">
        <f aca="false">LBO!L$245</f>
        <v>36.0053106865155</v>
      </c>
      <c r="AQ58" s="101" t="n">
        <f aca="false">LBO!M$245+(LBO!$M$238*I$6*(1-LBO!$D$44)-LBO!$M$155+LBO!$M$146)</f>
        <v>393.317419004478</v>
      </c>
    </row>
    <row r="59" customFormat="false" ht="12.75" hidden="false" customHeight="true" outlineLevel="0" collapsed="false">
      <c r="C59" s="6" t="s">
        <v>607</v>
      </c>
      <c r="D59" s="63" t="n">
        <f aca="false">T32</f>
        <v>-0.00568361362622708</v>
      </c>
      <c r="E59" s="63" t="n">
        <f aca="false">T37</f>
        <v>-0.0294226611569268</v>
      </c>
      <c r="F59" s="63" t="n">
        <f aca="false">T42</f>
        <v>-0.0016407429101869</v>
      </c>
      <c r="G59" s="63" t="n">
        <f aca="false">T47</f>
        <v>-0.000263144449135288</v>
      </c>
      <c r="AL59" s="101" t="n">
        <f aca="false">-($C$14*LBO!$D$23*(1+LBO!$D$39)+LBO!$D$84)</f>
        <v>-342.527213330973</v>
      </c>
      <c r="AM59" s="101" t="n">
        <f aca="false">LBO!I$245</f>
        <v>0</v>
      </c>
      <c r="AN59" s="101" t="n">
        <f aca="false">LBO!J$245</f>
        <v>0.454703371659619</v>
      </c>
      <c r="AO59" s="101" t="n">
        <f aca="false">LBO!K$245</f>
        <v>39.1876783920155</v>
      </c>
      <c r="AP59" s="101" t="n">
        <f aca="false">LBO!L$245</f>
        <v>36.0053106865155</v>
      </c>
      <c r="AQ59" s="101" t="n">
        <f aca="false">LBO!M$245+(LBO!$M$238*J$6*(1-LBO!$D$44)-LBO!$M$155+LBO!$M$146)</f>
        <v>438.98111435631</v>
      </c>
    </row>
    <row r="60" customFormat="false" ht="12.75" hidden="false" customHeight="true" outlineLevel="0" collapsed="false">
      <c r="C60" s="6" t="s">
        <v>608</v>
      </c>
      <c r="D60" s="63" t="n">
        <f aca="false">T33</f>
        <v>0.104373548503802</v>
      </c>
      <c r="E60" s="63" t="n">
        <f aca="false">T38</f>
        <v>0.108999814013971</v>
      </c>
      <c r="F60" s="63" t="n">
        <f aca="false">T43</f>
        <v>0.102035660644049</v>
      </c>
      <c r="G60" s="63" t="n">
        <f aca="false">T48</f>
        <v>0.100688919063335</v>
      </c>
      <c r="AL60" s="101" t="n">
        <f aca="false">-($C$14*LBO!$D$23*(1+LBO!$D$39)+LBO!$D$84)</f>
        <v>-342.527213330973</v>
      </c>
      <c r="AM60" s="101" t="n">
        <f aca="false">LBO!I$245</f>
        <v>0</v>
      </c>
      <c r="AN60" s="101" t="n">
        <f aca="false">LBO!J$245</f>
        <v>0.454703371659619</v>
      </c>
      <c r="AO60" s="101" t="n">
        <f aca="false">LBO!K$245</f>
        <v>39.1876783920155</v>
      </c>
      <c r="AP60" s="101" t="n">
        <f aca="false">LBO!L$245</f>
        <v>36.0053106865155</v>
      </c>
      <c r="AQ60" s="101" t="n">
        <f aca="false">LBO!M$245+(LBO!$M$238*K$6*(1-LBO!$D$44)-LBO!$M$155+LBO!$M$146)</f>
        <v>484.644809708142</v>
      </c>
    </row>
    <row r="61" customFormat="false" ht="12.75" hidden="false" customHeight="true" outlineLevel="0" collapsed="false">
      <c r="C61" s="6" t="s">
        <v>609</v>
      </c>
      <c r="D61" s="63" t="n">
        <f aca="false">T34</f>
        <v>0.239168359734197</v>
      </c>
      <c r="E61" s="63" t="n">
        <f aca="false">T39</f>
        <v>0.266945686837641</v>
      </c>
      <c r="F61" s="63" t="n">
        <f aca="false">T44</f>
        <v>0.229680545923552</v>
      </c>
      <c r="G61" s="63" t="n">
        <f aca="false">T49</f>
        <v>0.225026320789227</v>
      </c>
      <c r="AL61" s="101" t="n">
        <f aca="false">-($C$15*LBO!$D$23*(1+LBO!$D$39)+LBO!$D$84)</f>
        <v>-368.564063330972</v>
      </c>
      <c r="AM61" s="101" t="n">
        <f aca="false">LBO!I$245</f>
        <v>0</v>
      </c>
      <c r="AN61" s="101" t="n">
        <f aca="false">LBO!J$245</f>
        <v>0.454703371659619</v>
      </c>
      <c r="AO61" s="101" t="n">
        <f aca="false">LBO!K$245</f>
        <v>39.1876783920155</v>
      </c>
      <c r="AP61" s="101" t="n">
        <f aca="false">LBO!L$245</f>
        <v>36.0053106865155</v>
      </c>
      <c r="AQ61" s="101" t="n">
        <f aca="false">LBO!M$245+(LBO!$M$238*E$6*(1-LBO!$D$44)-LBO!$M$155+LBO!$M$146)</f>
        <v>210.66263759715</v>
      </c>
    </row>
    <row r="62" customFormat="false" ht="12.75" hidden="false" customHeight="true" outlineLevel="0" collapsed="false">
      <c r="C62" s="6" t="s">
        <v>610</v>
      </c>
      <c r="D62" s="63" t="n">
        <f aca="false">T35</f>
        <v>0.31705212888903</v>
      </c>
      <c r="E62" s="63" t="n">
        <f aca="false">T40</f>
        <v>0.360304822285008</v>
      </c>
      <c r="F62" s="63" t="n">
        <f aca="false">T45</f>
        <v>0.302268539580586</v>
      </c>
      <c r="G62" s="63" t="n">
        <f aca="false">T50</f>
        <v>0.295733429191895</v>
      </c>
      <c r="AL62" s="101" t="n">
        <f aca="false">-($C$15*LBO!$D$23*(1+LBO!$D$39)+LBO!$D$84)</f>
        <v>-368.564063330972</v>
      </c>
      <c r="AM62" s="101" t="n">
        <f aca="false">LBO!I$245</f>
        <v>0</v>
      </c>
      <c r="AN62" s="101" t="n">
        <f aca="false">LBO!J$245</f>
        <v>0.454703371659619</v>
      </c>
      <c r="AO62" s="101" t="n">
        <f aca="false">LBO!K$245</f>
        <v>39.1876783920155</v>
      </c>
      <c r="AP62" s="101" t="n">
        <f aca="false">LBO!L$245</f>
        <v>36.0053106865155</v>
      </c>
      <c r="AQ62" s="101" t="n">
        <f aca="false">LBO!M$245+(LBO!$M$238*F$6*(1-LBO!$D$44)-LBO!$M$155+LBO!$M$146)</f>
        <v>256.326332948982</v>
      </c>
    </row>
    <row r="63" customFormat="false" ht="12.75" hidden="false" customHeight="true" outlineLevel="0" collapsed="false">
      <c r="AL63" s="101" t="n">
        <f aca="false">-($C$15*LBO!$D$23*(1+LBO!$D$39)+LBO!$D$84)</f>
        <v>-368.564063330972</v>
      </c>
      <c r="AM63" s="101" t="n">
        <f aca="false">LBO!I$245</f>
        <v>0</v>
      </c>
      <c r="AN63" s="101" t="n">
        <f aca="false">LBO!J$245</f>
        <v>0.454703371659619</v>
      </c>
      <c r="AO63" s="101" t="n">
        <f aca="false">LBO!K$245</f>
        <v>39.1876783920155</v>
      </c>
      <c r="AP63" s="101" t="n">
        <f aca="false">LBO!L$245</f>
        <v>36.0053106865155</v>
      </c>
      <c r="AQ63" s="101" t="n">
        <f aca="false">LBO!M$245+(LBO!$M$238*G$6*(1-LBO!$D$44)-LBO!$M$155+LBO!$M$146)</f>
        <v>301.990028300814</v>
      </c>
    </row>
    <row r="64" customFormat="false" ht="12.75" hidden="false" customHeight="true" outlineLevel="0" collapsed="false">
      <c r="C64" s="4" t="s">
        <v>590</v>
      </c>
      <c r="D64" s="105" t="s">
        <v>603</v>
      </c>
      <c r="E64" s="105" t="s">
        <v>604</v>
      </c>
      <c r="F64" s="105" t="s">
        <v>245</v>
      </c>
      <c r="G64" s="105" t="s">
        <v>605</v>
      </c>
      <c r="AL64" s="101" t="n">
        <f aca="false">-($C$15*LBO!$D$23*(1+LBO!$D$39)+LBO!$D$84)</f>
        <v>-368.564063330972</v>
      </c>
      <c r="AM64" s="101" t="n">
        <f aca="false">LBO!I$245</f>
        <v>0</v>
      </c>
      <c r="AN64" s="101" t="n">
        <f aca="false">LBO!J$245</f>
        <v>0.454703371659619</v>
      </c>
      <c r="AO64" s="101" t="n">
        <f aca="false">LBO!K$245</f>
        <v>39.1876783920155</v>
      </c>
      <c r="AP64" s="101" t="n">
        <f aca="false">LBO!L$245</f>
        <v>36.0053106865155</v>
      </c>
      <c r="AQ64" s="101" t="n">
        <f aca="false">LBO!M$245+(LBO!$M$238*H$6*(1-LBO!$D$44)-LBO!$M$155+LBO!$M$146)</f>
        <v>347.653723652646</v>
      </c>
    </row>
    <row r="65" customFormat="false" ht="12.75" hidden="false" customHeight="true" outlineLevel="0" collapsed="false">
      <c r="C65" s="6" t="s">
        <v>606</v>
      </c>
      <c r="D65" s="83" t="n">
        <f aca="false">S31</f>
        <v>0.446868628906542</v>
      </c>
      <c r="E65" s="83" t="n">
        <f aca="false">S36</f>
        <v>0.150917283804696</v>
      </c>
      <c r="F65" s="83" t="n">
        <f aca="false">S41</f>
        <v>0.529706647037752</v>
      </c>
      <c r="G65" s="83" t="n">
        <f aca="false">S46</f>
        <v>0.584918411626308</v>
      </c>
      <c r="AL65" s="101" t="n">
        <f aca="false">-($C$15*LBO!$D$23*(1+LBO!$D$39)+LBO!$D$84)</f>
        <v>-368.564063330972</v>
      </c>
      <c r="AM65" s="101" t="n">
        <f aca="false">LBO!I$245</f>
        <v>0</v>
      </c>
      <c r="AN65" s="101" t="n">
        <f aca="false">LBO!J$245</f>
        <v>0.454703371659619</v>
      </c>
      <c r="AO65" s="101" t="n">
        <f aca="false">LBO!K$245</f>
        <v>39.1876783920155</v>
      </c>
      <c r="AP65" s="101" t="n">
        <f aca="false">LBO!L$245</f>
        <v>36.0053106865155</v>
      </c>
      <c r="AQ65" s="101" t="n">
        <f aca="false">LBO!M$245+(LBO!$M$238*I$6*(1-LBO!$D$44)-LBO!$M$155+LBO!$M$146)</f>
        <v>393.317419004478</v>
      </c>
    </row>
    <row r="66" customFormat="false" ht="12.75" hidden="false" customHeight="true" outlineLevel="0" collapsed="false">
      <c r="C66" s="6" t="s">
        <v>607</v>
      </c>
      <c r="D66" s="83" t="n">
        <f aca="false">S32</f>
        <v>0.973781784646959</v>
      </c>
      <c r="E66" s="83" t="n">
        <f aca="false">S37</f>
        <v>0.861292639267652</v>
      </c>
      <c r="F66" s="83" t="n">
        <f aca="false">S42</f>
        <v>0.992948420764499</v>
      </c>
      <c r="G66" s="83" t="n">
        <f aca="false">S47</f>
        <v>0.998963264744096</v>
      </c>
      <c r="AL66" s="101" t="n">
        <f aca="false">-($C$15*LBO!$D$23*(1+LBO!$D$39)+LBO!$D$84)</f>
        <v>-368.564063330972</v>
      </c>
      <c r="AM66" s="101" t="n">
        <f aca="false">LBO!I$245</f>
        <v>0</v>
      </c>
      <c r="AN66" s="101" t="n">
        <f aca="false">LBO!J$245</f>
        <v>0.454703371659619</v>
      </c>
      <c r="AO66" s="101" t="n">
        <f aca="false">LBO!K$245</f>
        <v>39.1876783920155</v>
      </c>
      <c r="AP66" s="101" t="n">
        <f aca="false">LBO!L$245</f>
        <v>36.0053106865155</v>
      </c>
      <c r="AQ66" s="101" t="n">
        <f aca="false">LBO!M$245+(LBO!$M$238*J$6*(1-LBO!$D$44)-LBO!$M$155+LBO!$M$146)</f>
        <v>438.98111435631</v>
      </c>
    </row>
    <row r="67" customFormat="false" ht="12.75" hidden="false" customHeight="true" outlineLevel="0" collapsed="false">
      <c r="C67" s="6" t="s">
        <v>608</v>
      </c>
      <c r="D67" s="83" t="n">
        <f aca="false">S33</f>
        <v>1.59296887315372</v>
      </c>
      <c r="E67" s="83" t="n">
        <f aca="false">S38</f>
        <v>1.67748006042592</v>
      </c>
      <c r="F67" s="83" t="n">
        <f aca="false">S43</f>
        <v>1.53066212112854</v>
      </c>
      <c r="G67" s="83" t="n">
        <f aca="false">S48</f>
        <v>1.47999802106695</v>
      </c>
      <c r="AL67" s="101" t="n">
        <f aca="false">-($C$15*LBO!$D$23*(1+LBO!$D$39)+LBO!$D$84)</f>
        <v>-368.564063330972</v>
      </c>
      <c r="AM67" s="101" t="n">
        <f aca="false">LBO!I$245</f>
        <v>0</v>
      </c>
      <c r="AN67" s="101" t="n">
        <f aca="false">LBO!J$245</f>
        <v>0.454703371659619</v>
      </c>
      <c r="AO67" s="101" t="n">
        <f aca="false">LBO!K$245</f>
        <v>39.1876783920155</v>
      </c>
      <c r="AP67" s="101" t="n">
        <f aca="false">LBO!L$245</f>
        <v>36.0053106865155</v>
      </c>
      <c r="AQ67" s="101" t="n">
        <f aca="false">LBO!M$245+(LBO!$M$238*K$6*(1-LBO!$D$44)-LBO!$M$155+LBO!$M$146)</f>
        <v>484.644809708142</v>
      </c>
    </row>
    <row r="68" customFormat="false" ht="12.75" hidden="false" customHeight="true" outlineLevel="0" collapsed="false">
      <c r="C68" s="6" t="s">
        <v>609</v>
      </c>
      <c r="D68" s="83" t="n">
        <f aca="false">S34</f>
        <v>2.73666201912865</v>
      </c>
      <c r="E68" s="83" t="n">
        <f aca="false">S39</f>
        <v>3.22550060381906</v>
      </c>
      <c r="F68" s="83" t="n">
        <f aca="false">S44</f>
        <v>2.52008670674711</v>
      </c>
      <c r="G68" s="83" t="n">
        <f aca="false">S49</f>
        <v>2.36492949803198</v>
      </c>
    </row>
    <row r="69" customFormat="false" ht="12.75" hidden="false" customHeight="true" outlineLevel="0" collapsed="false">
      <c r="C69" s="6" t="s">
        <v>610</v>
      </c>
      <c r="D69" s="83" t="n">
        <f aca="false">S35</f>
        <v>3.82847756928247</v>
      </c>
      <c r="E69" s="83" t="n">
        <f aca="false">S40</f>
        <v>4.6578037713119</v>
      </c>
      <c r="F69" s="83" t="n">
        <f aca="false">S45</f>
        <v>3.4697946067565</v>
      </c>
      <c r="G69" s="83" t="n">
        <f aca="false">S50</f>
        <v>3.21502240152404</v>
      </c>
    </row>
    <row r="70" customFormat="false" ht="12.75" hidden="false" customHeight="true" outlineLevel="0" collapsed="false"/>
    <row r="71" customFormat="false" ht="12.75" hidden="false" customHeight="true" outlineLevel="0" collapsed="false">
      <c r="C71" s="4" t="s">
        <v>15</v>
      </c>
      <c r="D71" s="105" t="s">
        <v>603</v>
      </c>
      <c r="E71" s="105" t="s">
        <v>604</v>
      </c>
      <c r="F71" s="105" t="s">
        <v>245</v>
      </c>
      <c r="G71" s="105" t="s">
        <v>605</v>
      </c>
    </row>
    <row r="72" customFormat="false" ht="12.75" hidden="false" customHeight="true" outlineLevel="0" collapsed="false">
      <c r="C72" s="6" t="s">
        <v>606</v>
      </c>
      <c r="D72" s="27" t="n">
        <f aca="false">H31</f>
        <v>257.139747075281</v>
      </c>
      <c r="E72" s="27" t="n">
        <f aca="false">H36</f>
        <v>199.039747075281</v>
      </c>
      <c r="F72" s="27" t="n">
        <f aca="false">H41</f>
        <v>291.177247075281</v>
      </c>
      <c r="G72" s="27" t="n">
        <f aca="false">H46</f>
        <v>325.389747075281</v>
      </c>
    </row>
    <row r="73" customFormat="false" ht="12.75" hidden="false" customHeight="true" outlineLevel="0" collapsed="false">
      <c r="C73" s="6" t="s">
        <v>607</v>
      </c>
      <c r="D73" s="27" t="n">
        <f aca="false">H32</f>
        <v>256.75463207781</v>
      </c>
      <c r="E73" s="27" t="n">
        <f aca="false">H37</f>
        <v>198.65463207781</v>
      </c>
      <c r="F73" s="27" t="n">
        <f aca="false">H42</f>
        <v>290.79213207781</v>
      </c>
      <c r="G73" s="27" t="n">
        <f aca="false">H47</f>
        <v>325.00463207781</v>
      </c>
    </row>
    <row r="74" customFormat="false" ht="12.75" hidden="false" customHeight="true" outlineLevel="0" collapsed="false">
      <c r="C74" s="6" t="s">
        <v>608</v>
      </c>
      <c r="D74" s="27" t="n">
        <f aca="false">H33</f>
        <v>251.398238330972</v>
      </c>
      <c r="E74" s="27" t="n">
        <f aca="false">H38</f>
        <v>193.323238330972</v>
      </c>
      <c r="F74" s="27" t="n">
        <f aca="false">H43</f>
        <v>290.310738330972</v>
      </c>
      <c r="G74" s="27" t="n">
        <f aca="false">H48</f>
        <v>324.523238330972</v>
      </c>
    </row>
    <row r="75" customFormat="false" ht="12.75" hidden="false" customHeight="true" outlineLevel="0" collapsed="false">
      <c r="C75" s="6" t="s">
        <v>609</v>
      </c>
      <c r="D75" s="27" t="n">
        <f aca="false">H34</f>
        <v>251.013123333502</v>
      </c>
      <c r="E75" s="27" t="n">
        <f aca="false">H39</f>
        <v>188.038123333502</v>
      </c>
      <c r="F75" s="27" t="n">
        <f aca="false">H44</f>
        <v>289.925623333502</v>
      </c>
      <c r="G75" s="27" t="n">
        <f aca="false">H49</f>
        <v>324.138123333502</v>
      </c>
    </row>
    <row r="76" customFormat="false" ht="12.75" hidden="false" customHeight="true" outlineLevel="0" collapsed="false">
      <c r="C76" s="6" t="s">
        <v>610</v>
      </c>
      <c r="D76" s="27" t="n">
        <f aca="false">H35</f>
        <v>251.013123333502</v>
      </c>
      <c r="E76" s="27" t="n">
        <f aca="false">H40</f>
        <v>188.038123333502</v>
      </c>
      <c r="F76" s="27" t="n">
        <f aca="false">H45</f>
        <v>289.925623333502</v>
      </c>
      <c r="G76" s="27" t="n">
        <f aca="false">H50</f>
        <v>324.138123333502</v>
      </c>
    </row>
    <row r="77" customFormat="false" ht="12.75" hidden="false" customHeight="true" outlineLevel="0" collapsed="false"/>
    <row r="78" customFormat="false" ht="12.75" hidden="false" customHeight="true" outlineLevel="0" collapsed="false">
      <c r="B78" s="9" t="s">
        <v>611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customFormat="false" ht="12.75" hidden="false" customHeight="true" outlineLevel="0" collapsed="false">
      <c r="C79" s="4" t="s">
        <v>612</v>
      </c>
      <c r="D79" s="20" t="s">
        <v>613</v>
      </c>
      <c r="E79" s="20" t="s">
        <v>614</v>
      </c>
      <c r="F79" s="20" t="s">
        <v>615</v>
      </c>
      <c r="G79" s="20" t="s">
        <v>616</v>
      </c>
      <c r="H79" s="20" t="s">
        <v>617</v>
      </c>
    </row>
    <row r="80" customFormat="false" ht="12.75" hidden="false" customHeight="true" outlineLevel="0" collapsed="false">
      <c r="C80" s="6" t="s">
        <v>606</v>
      </c>
      <c r="D80" s="26" t="n">
        <v>0.2</v>
      </c>
      <c r="E80" s="63" t="n">
        <f aca="false">T31</f>
        <v>-0.157793584892406</v>
      </c>
      <c r="F80" s="83" t="n">
        <f aca="false">S31</f>
        <v>0.446868628906542</v>
      </c>
      <c r="G80" s="27" t="n">
        <f aca="false">R31+Q31</f>
        <v>114.907686212906</v>
      </c>
      <c r="H80" s="69" t="n">
        <f aca="false">W31</f>
        <v>6.76377633561654</v>
      </c>
    </row>
    <row r="81" customFormat="false" ht="12.75" hidden="false" customHeight="true" outlineLevel="0" collapsed="false">
      <c r="C81" s="6" t="s">
        <v>607</v>
      </c>
      <c r="D81" s="26" t="n">
        <v>0.3</v>
      </c>
      <c r="E81" s="63" t="n">
        <f aca="false">T32</f>
        <v>-0.00568361362622708</v>
      </c>
      <c r="F81" s="83" t="n">
        <f aca="false">S32</f>
        <v>0.973781784646959</v>
      </c>
      <c r="G81" s="27" t="n">
        <f aca="false">R32+Q32</f>
        <v>250.022983841103</v>
      </c>
      <c r="H81" s="69" t="n">
        <f aca="false">W32</f>
        <v>7.88924267099871</v>
      </c>
    </row>
    <row r="82" customFormat="false" ht="12.75" hidden="false" customHeight="true" outlineLevel="0" collapsed="false">
      <c r="C82" s="6" t="s">
        <v>608</v>
      </c>
      <c r="D82" s="26" t="n">
        <v>0.3</v>
      </c>
      <c r="E82" s="63" t="n">
        <f aca="false">T33</f>
        <v>0.104373548503802</v>
      </c>
      <c r="F82" s="83" t="n">
        <f aca="false">S33</f>
        <v>1.59296887315372</v>
      </c>
      <c r="G82" s="27" t="n">
        <f aca="false">R33+Q33</f>
        <v>400.469568426921</v>
      </c>
      <c r="H82" s="69" t="n">
        <f aca="false">W33</f>
        <v>9.20407339186173</v>
      </c>
    </row>
    <row r="83" customFormat="false" ht="12.75" hidden="false" customHeight="true" outlineLevel="0" collapsed="false">
      <c r="C83" s="6" t="s">
        <v>609</v>
      </c>
      <c r="D83" s="26" t="n">
        <v>0.15</v>
      </c>
      <c r="E83" s="63" t="n">
        <f aca="false">T34</f>
        <v>0.239168359734197</v>
      </c>
      <c r="F83" s="83" t="n">
        <f aca="false">S34</f>
        <v>2.73666201912865</v>
      </c>
      <c r="G83" s="27" t="n">
        <f aca="false">R34+Q34</f>
        <v>686.938080929651</v>
      </c>
      <c r="H83" s="69" t="n">
        <f aca="false">W34</f>
        <v>11.5261117354279</v>
      </c>
    </row>
    <row r="84" customFormat="false" ht="12.75" hidden="false" customHeight="true" outlineLevel="0" collapsed="false">
      <c r="C84" s="6" t="s">
        <v>610</v>
      </c>
      <c r="D84" s="26" t="n">
        <v>0.05</v>
      </c>
      <c r="E84" s="63" t="n">
        <f aca="false">T35</f>
        <v>0.31705212888903</v>
      </c>
      <c r="F84" s="83" t="n">
        <f aca="false">S35</f>
        <v>3.82847756928247</v>
      </c>
      <c r="G84" s="27" t="n">
        <f aca="false">R35+Q35</f>
        <v>960.998112277845</v>
      </c>
      <c r="H84" s="69" t="n">
        <f aca="false">W35</f>
        <v>13.5058366406021</v>
      </c>
    </row>
    <row r="85" customFormat="false" ht="12.75" hidden="false" customHeight="true" outlineLevel="0" collapsed="false">
      <c r="C85" s="4" t="s">
        <v>618</v>
      </c>
      <c r="D85" s="87" t="n">
        <f aca="false">SUM(D80:D84)</f>
        <v>1</v>
      </c>
      <c r="E85" s="87" t="n">
        <f aca="false">SUMPRODUCT($D80:$D84,E80:E84)</f>
        <v>0.0497761238893723</v>
      </c>
      <c r="F85" s="84" t="n">
        <f aca="false">SUMPRODUCT($D80:$D84,F80:F84)</f>
        <v>1.46132210445493</v>
      </c>
      <c r="G85" s="66" t="n">
        <f aca="false">SUMPRODUCT($D80:$D84,G80:G84)</f>
        <v>369.219920676328</v>
      </c>
      <c r="H85" s="106" t="n">
        <f aca="false">SUMPRODUCT($D80:$D84,H80:H84)</f>
        <v>8.88495867832574</v>
      </c>
      <c r="I85" s="3" t="s">
        <v>619</v>
      </c>
    </row>
    <row r="86" customFormat="false" ht="12.75" hidden="false" customHeight="true" outlineLevel="0" collapsed="false">
      <c r="C86" s="4" t="s">
        <v>620</v>
      </c>
      <c r="D86" s="27" t="n">
        <f aca="false">-SUMPRODUCT($D$80:$D$84,H31:H35)</f>
        <v>-254.076435204391</v>
      </c>
      <c r="E86" s="27" t="n">
        <f aca="false">SUMPRODUCT($D$80:$D$84,Z31:Z35)</f>
        <v>0</v>
      </c>
      <c r="F86" s="27" t="n">
        <f aca="false">SUMPRODUCT($D$80:$D$84,AA31:AA35)</f>
        <v>1.54070526023031</v>
      </c>
      <c r="G86" s="27" t="n">
        <f aca="false">SUMPRODUCT($D$80:$D$84,AB31:AB35)</f>
        <v>31.5955420983057</v>
      </c>
      <c r="H86" s="27" t="n">
        <f aca="false">SUMPRODUCT($D$80:$D$84,AC31:AC35)</f>
        <v>31.5761694606529</v>
      </c>
      <c r="I86" s="27" t="n">
        <f aca="false">SUMPRODUCT($D$80:$D$84,AD31:AD35)+SUMPRODUCT($D$80:$D$84,R31:R35)</f>
        <v>304.507503857139</v>
      </c>
    </row>
    <row r="87" customFormat="false" ht="12.75" hidden="false" customHeight="true" outlineLevel="0" collapsed="false">
      <c r="C87" s="4" t="s">
        <v>621</v>
      </c>
      <c r="D87" s="107" t="n">
        <f aca="false">IFERROR(IRR(D86:I86,0.15),IFERROR(IRR(D86:I86,-0.2),IFERROR(IRR(D86:I86,-0.6),-1)))</f>
        <v>0.0825026678893551</v>
      </c>
      <c r="E87" s="108" t="n">
        <f aca="false">SUM(E86:I86)/-D86</f>
        <v>1.45318443396496</v>
      </c>
    </row>
    <row r="88" customFormat="false" ht="12.75" hidden="false" customHeight="true" outlineLevel="0" collapsed="false"/>
    <row r="89" customFormat="false" ht="12.75" hidden="false" customHeight="true" outlineLevel="0" collapsed="false">
      <c r="B89" s="9" t="s">
        <v>622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customFormat="false" ht="24" hidden="false" customHeight="true" outlineLevel="0" collapsed="false">
      <c r="C90" s="4" t="s">
        <v>571</v>
      </c>
      <c r="E90" s="105" t="s">
        <v>606</v>
      </c>
      <c r="F90" s="105" t="s">
        <v>607</v>
      </c>
      <c r="G90" s="105" t="s">
        <v>608</v>
      </c>
      <c r="H90" s="105" t="s">
        <v>609</v>
      </c>
      <c r="I90" s="105" t="s">
        <v>610</v>
      </c>
      <c r="J90" s="105" t="s">
        <v>623</v>
      </c>
    </row>
    <row r="91" customFormat="false" ht="12.75" hidden="false" customHeight="true" outlineLevel="0" collapsed="false">
      <c r="C91" s="40" t="n">
        <v>9</v>
      </c>
      <c r="D91" s="103" t="n">
        <f aca="false">C91/LBO!$D$18-1</f>
        <v>0.0922330097087378</v>
      </c>
      <c r="E91" s="63" t="n">
        <f aca="false">IF(-AS5&lt;=0,"n.m.",IFERROR(IRR(AS5:AX5,0.15),IFERROR(IRR(AS5:AX5,-0.2),IFERROR(IRR(AS5:AX5,-0.6),-1))))</f>
        <v>-0.0757321136344251</v>
      </c>
      <c r="F91" s="63" t="n">
        <f aca="false">IF(-AS6&lt;=0,"n.m.",IFERROR(IRR(AS6:AX6,0.15),IFERROR(IRR(AS6:AX6,-0.2),IFERROR(IRR(AS6:AX6,-0.6),-1))))</f>
        <v>0.0928375379160348</v>
      </c>
      <c r="G91" s="63" t="n">
        <f aca="false">IF(-AS7&lt;=0,"n.m.",IFERROR(IRR(AS7:AX7,0.15),IFERROR(IRR(AS7:AX7,-0.2),IFERROR(IRR(AS7:AX7,-0.6),-1))))</f>
        <v>0.216777653366026</v>
      </c>
      <c r="H91" s="63" t="n">
        <f aca="false">IF(-AS8&lt;=0,"n.m.",IFERROR(IRR(AS8:AX8,0.15),IFERROR(IRR(AS8:AX8,-0.2),IFERROR(IRR(AS8:AX8,-0.6),-1))))</f>
        <v>0.366572560389363</v>
      </c>
      <c r="I91" s="63" t="n">
        <f aca="false">IF(-AS9&lt;=0,"n.m.",IFERROR(IRR(AS9:AX9,0.15),IFERROR(IRR(AS9:AX9,-0.2),IFERROR(IRR(AS9:AX9,-0.6),-1))))</f>
        <v>0.445754007093987</v>
      </c>
      <c r="J91" s="87" t="n">
        <f aca="false">IFERROR(IRR(AZ91:BE91,0.15),IFERROR(IRR(AZ91:BE91,-0.2),IFERROR(IRR(AZ91:BE91,-0.6),-1)))</f>
        <v>0.190375714129874</v>
      </c>
      <c r="AZ91" s="101" t="n">
        <f aca="false">-($D$80*($C$91*LBO!$D$23*(1+LBO!$D$39)+$Y$31)+$D$81*($C$91*LBO!$D$23*(1+LBO!$D$39)+$Y$32)+$D$82*($C$91*LBO!$D$23*(1+LBO!$D$39)+$Y$33)+$D$83*($C$91*LBO!$D$23*(1+LBO!$D$39)+$Y$34)+$D$84*($C$91*LBO!$D$23*(1+LBO!$D$39)+$Y$35))</f>
        <v>-162.947460204391</v>
      </c>
      <c r="BA91" s="92" t="n">
        <f aca="false">SUMPRODUCT($D$80:$D$84,$Z$31:$Z$35)</f>
        <v>0</v>
      </c>
      <c r="BB91" s="92" t="n">
        <f aca="false">SUMPRODUCT($D$80:$D$84,$AA$31:$AA$35)</f>
        <v>1.54070526023031</v>
      </c>
      <c r="BC91" s="92" t="n">
        <f aca="false">SUMPRODUCT($D$80:$D$84,$AB$31:$AB$35)</f>
        <v>31.5955420983057</v>
      </c>
      <c r="BD91" s="92" t="n">
        <f aca="false">SUMPRODUCT($D$80:$D$84,$AC$31:$AC$35)</f>
        <v>31.5761694606529</v>
      </c>
      <c r="BE91" s="92" t="n">
        <f aca="false">SUMPRODUCT($D$80:$D$84,$AD$31:$AD$35)+SUMPRODUCT($D$80:$D$84,$R$31:$R$35)</f>
        <v>304.507503857139</v>
      </c>
    </row>
    <row r="92" customFormat="false" ht="12.75" hidden="false" customHeight="true" outlineLevel="0" collapsed="false">
      <c r="C92" s="40" t="n">
        <v>9.5</v>
      </c>
      <c r="D92" s="103" t="n">
        <f aca="false">C92/LBO!$D$18-1</f>
        <v>0.152912621359223</v>
      </c>
      <c r="E92" s="63" t="n">
        <f aca="false">IF(-AS10&lt;=0,"n.m.",IFERROR(IRR(AS10:AX10,0.15),IFERROR(IRR(AS10:AX10,-0.2),IFERROR(IRR(AS10:AX10,-0.6),-1))))</f>
        <v>-0.103976622229697</v>
      </c>
      <c r="F92" s="63" t="n">
        <f aca="false">IF(-AS11&lt;=0,"n.m.",IFERROR(IRR(AS11:AX11,0.15),IFERROR(IRR(AS11:AX11,-0.2),IFERROR(IRR(AS11:AX11,-0.6),-1))))</f>
        <v>0.0588763085835176</v>
      </c>
      <c r="G92" s="63" t="n">
        <f aca="false">IF(-AS12&lt;=0,"n.m.",IFERROR(IRR(AS12:AX12,0.15),IFERROR(IRR(AS12:AX12,-0.2),IFERROR(IRR(AS12:AX12,-0.6),-1))))</f>
        <v>0.177841338925895</v>
      </c>
      <c r="H92" s="63" t="n">
        <f aca="false">IF(-AS13&lt;=0,"n.m.",IFERROR(IRR(AS13:AX13,0.15),IFERROR(IRR(AS13:AX13,-0.2),IFERROR(IRR(AS13:AX13,-0.6),-1))))</f>
        <v>0.322369289100722</v>
      </c>
      <c r="I92" s="63" t="n">
        <f aca="false">IF(-AS14&lt;=0,"n.m.",IFERROR(IRR(AS14:AX14,0.15),IFERROR(IRR(AS14:AX14,-0.2),IFERROR(IRR(AS14:AX14,-0.6),-1))))</f>
        <v>0.401297016784228</v>
      </c>
      <c r="J92" s="87" t="n">
        <f aca="false">IFERROR(IRR(AZ92:BE92,0.15),IFERROR(IRR(AZ92:BE92,-0.2),IFERROR(IRR(AZ92:BE92,-0.6),-1)))</f>
        <v>0.15311599655289</v>
      </c>
      <c r="AZ92" s="101" t="n">
        <f aca="false">-($D$80*($C$92*LBO!$D$23*(1+LBO!$D$39)+$Y$31)+$D$81*($C$92*LBO!$D$23*(1+LBO!$D$39)+$Y$32)+$D$82*($C$92*LBO!$D$23*(1+LBO!$D$39)+$Y$33)+$D$83*($C$92*LBO!$D$23*(1+LBO!$D$39)+$Y$34)+$D$84*($C$92*LBO!$D$23*(1+LBO!$D$39)+$Y$35))</f>
        <v>-188.984310204391</v>
      </c>
      <c r="BA92" s="92" t="n">
        <f aca="false">SUMPRODUCT($D$80:$D$84,$Z$31:$Z$35)</f>
        <v>0</v>
      </c>
      <c r="BB92" s="92" t="n">
        <f aca="false">SUMPRODUCT($D$80:$D$84,$AA$31:$AA$35)</f>
        <v>1.54070526023031</v>
      </c>
      <c r="BC92" s="92" t="n">
        <f aca="false">SUMPRODUCT($D$80:$D$84,$AB$31:$AB$35)</f>
        <v>31.5955420983057</v>
      </c>
      <c r="BD92" s="92" t="n">
        <f aca="false">SUMPRODUCT($D$80:$D$84,$AC$31:$AC$35)</f>
        <v>31.5761694606529</v>
      </c>
      <c r="BE92" s="92" t="n">
        <f aca="false">SUMPRODUCT($D$80:$D$84,$AD$31:$AD$35)+SUMPRODUCT($D$80:$D$84,$R$31:$R$35)</f>
        <v>304.507503857139</v>
      </c>
    </row>
    <row r="93" customFormat="false" ht="12.75" hidden="false" customHeight="true" outlineLevel="0" collapsed="false">
      <c r="C93" s="40" t="n">
        <v>10</v>
      </c>
      <c r="D93" s="103" t="n">
        <f aca="false">C93/LBO!$D$18-1</f>
        <v>0.213592233009709</v>
      </c>
      <c r="E93" s="63" t="n">
        <f aca="false">IF(-AS15&lt;=0,"n.m.",IFERROR(IRR(AS15:AX15,0.15),IFERROR(IRR(AS15:AX15,-0.2),IFERROR(IRR(AS15:AX15,-0.6),-1))))</f>
        <v>-0.127861847048349</v>
      </c>
      <c r="F93" s="63" t="n">
        <f aca="false">IF(-AS16&lt;=0,"n.m.",IFERROR(IRR(AS16:AX16,0.15),IFERROR(IRR(AS16:AX16,-0.2),IFERROR(IRR(AS16:AX16,-0.6),-1))))</f>
        <v>0.0301994684917283</v>
      </c>
      <c r="G93" s="63" t="n">
        <f aca="false">IF(-AS17&lt;=0,"n.m.",IFERROR(IRR(AS17:AX17,0.15),IFERROR(IRR(AS17:AX17,-0.2),IFERROR(IRR(AS17:AX17,-0.6),-1))))</f>
        <v>0.14512566594242</v>
      </c>
      <c r="H93" s="63" t="n">
        <f aca="false">IF(-AS18&lt;=0,"n.m.",IFERROR(IRR(AS18:AX18,0.15),IFERROR(IRR(AS18:AX18,-0.2),IFERROR(IRR(AS18:AX18,-0.6),-1))))</f>
        <v>0.285288004392005</v>
      </c>
      <c r="I93" s="63" t="n">
        <f aca="false">IF(-AS19&lt;=0,"n.m.",IFERROR(IRR(AS19:AX19,0.15),IFERROR(IRR(AS19:AX19,-0.2),IFERROR(IRR(AS19:AX19,-0.6),-1))))</f>
        <v>0.363840622390015</v>
      </c>
      <c r="J93" s="87" t="n">
        <f aca="false">IFERROR(IRR(AZ93:BE93,0.15),IFERROR(IRR(AZ93:BE93,-0.2),IFERROR(IRR(AZ93:BE93,-0.6),-1)))</f>
        <v>0.121718454971392</v>
      </c>
      <c r="AZ93" s="101" t="n">
        <f aca="false">-($D$80*($C$93*LBO!$D$23*(1+LBO!$D$39)+$Y$31)+$D$81*($C$93*LBO!$D$23*(1+LBO!$D$39)+$Y$32)+$D$82*($C$93*LBO!$D$23*(1+LBO!$D$39)+$Y$33)+$D$83*($C$93*LBO!$D$23*(1+LBO!$D$39)+$Y$34)+$D$84*($C$93*LBO!$D$23*(1+LBO!$D$39)+$Y$35))</f>
        <v>-215.021160204391</v>
      </c>
      <c r="BA93" s="92" t="n">
        <f aca="false">SUMPRODUCT($D$80:$D$84,$Z$31:$Z$35)</f>
        <v>0</v>
      </c>
      <c r="BB93" s="92" t="n">
        <f aca="false">SUMPRODUCT($D$80:$D$84,$AA$31:$AA$35)</f>
        <v>1.54070526023031</v>
      </c>
      <c r="BC93" s="92" t="n">
        <f aca="false">SUMPRODUCT($D$80:$D$84,$AB$31:$AB$35)</f>
        <v>31.5955420983057</v>
      </c>
      <c r="BD93" s="92" t="n">
        <f aca="false">SUMPRODUCT($D$80:$D$84,$AC$31:$AC$35)</f>
        <v>31.5761694606529</v>
      </c>
      <c r="BE93" s="92" t="n">
        <f aca="false">SUMPRODUCT($D$80:$D$84,$AD$31:$AD$35)+SUMPRODUCT($D$80:$D$84,$R$31:$R$35)</f>
        <v>304.507503857139</v>
      </c>
    </row>
    <row r="94" customFormat="false" ht="12.75" hidden="false" customHeight="true" outlineLevel="0" collapsed="false">
      <c r="C94" s="40" t="n">
        <v>10.5</v>
      </c>
      <c r="D94" s="103" t="n">
        <f aca="false">C94/LBO!$D$18-1</f>
        <v>0.274271844660194</v>
      </c>
      <c r="E94" s="63" t="n">
        <f aca="false">IF(-AS20&lt;=0,"n.m.",IFERROR(IRR(AS20:AX20,0.15),IFERROR(IRR(AS20:AX20,-0.2),IFERROR(IRR(AS20:AX20,-0.6),-1))))</f>
        <v>-0.148475108458179</v>
      </c>
      <c r="F94" s="63" t="n">
        <f aca="false">IF(-AS21&lt;=0,"n.m.",IFERROR(IRR(AS21:AX21,0.15),IFERROR(IRR(AS21:AX21,-0.2),IFERROR(IRR(AS21:AX21,-0.6),-1))))</f>
        <v>0.00548144131942481</v>
      </c>
      <c r="G94" s="63" t="n">
        <f aca="false">IF(-AS22&lt;=0,"n.m.",IFERROR(IRR(AS22:AX22,0.15),IFERROR(IRR(AS22:AX22,-0.2),IFERROR(IRR(AS22:AX22,-0.6),-1))))</f>
        <v>0.117033077983483</v>
      </c>
      <c r="H94" s="63" t="n">
        <f aca="false">IF(-AS23&lt;=0,"n.m.",IFERROR(IRR(AS23:AX23,0.15),IFERROR(IRR(AS23:AX23,-0.2),IFERROR(IRR(AS23:AX23,-0.6),-1))))</f>
        <v>0.25348730119518</v>
      </c>
      <c r="I94" s="63" t="n">
        <f aca="false">IF(-AS24&lt;=0,"n.m.",IFERROR(IRR(AS24:AX24,0.15),IFERROR(IRR(AS24:AX24,-0.2),IFERROR(IRR(AS24:AX24,-0.6),-1))))</f>
        <v>0.331602454500085</v>
      </c>
      <c r="J94" s="87" t="n">
        <f aca="false">IFERROR(IRR(AZ94:BE94,0.15),IFERROR(IRR(AZ94:BE94,-0.2),IFERROR(IRR(AZ94:BE94,-0.6),-1)))</f>
        <v>0.0946968619691691</v>
      </c>
      <c r="AZ94" s="101" t="n">
        <f aca="false">-($D$80*($C$94*LBO!$D$23*(1+LBO!$D$39)+$Y$31)+$D$81*($C$94*LBO!$D$23*(1+LBO!$D$39)+$Y$32)+$D$82*($C$94*LBO!$D$23*(1+LBO!$D$39)+$Y$33)+$D$83*($C$94*LBO!$D$23*(1+LBO!$D$39)+$Y$34)+$D$84*($C$94*LBO!$D$23*(1+LBO!$D$39)+$Y$35))</f>
        <v>-241.058010204391</v>
      </c>
      <c r="BA94" s="92" t="n">
        <f aca="false">SUMPRODUCT($D$80:$D$84,$Z$31:$Z$35)</f>
        <v>0</v>
      </c>
      <c r="BB94" s="92" t="n">
        <f aca="false">SUMPRODUCT($D$80:$D$84,$AA$31:$AA$35)</f>
        <v>1.54070526023031</v>
      </c>
      <c r="BC94" s="92" t="n">
        <f aca="false">SUMPRODUCT($D$80:$D$84,$AB$31:$AB$35)</f>
        <v>31.5955420983057</v>
      </c>
      <c r="BD94" s="92" t="n">
        <f aca="false">SUMPRODUCT($D$80:$D$84,$AC$31:$AC$35)</f>
        <v>31.5761694606529</v>
      </c>
      <c r="BE94" s="92" t="n">
        <f aca="false">SUMPRODUCT($D$80:$D$84,$AD$31:$AD$35)+SUMPRODUCT($D$80:$D$84,$R$31:$R$35)</f>
        <v>304.507503857139</v>
      </c>
    </row>
    <row r="95" customFormat="false" ht="12.75" hidden="false" customHeight="true" outlineLevel="0" collapsed="false">
      <c r="C95" s="40" t="n">
        <v>11</v>
      </c>
      <c r="D95" s="103" t="n">
        <f aca="false">C95/LBO!$D$18-1</f>
        <v>0.33495145631068</v>
      </c>
      <c r="E95" s="63" t="n">
        <f aca="false">IF(-AS25&lt;=0,"n.m.",IFERROR(IRR(AS25:AX25,0.15),IFERROR(IRR(AS25:AX25,-0.2),IFERROR(IRR(AS25:AX25,-0.6),-1))))</f>
        <v>-0.166550057141486</v>
      </c>
      <c r="F95" s="63" t="n">
        <f aca="false">IF(-AS26&lt;=0,"n.m.",IFERROR(IRR(AS26:AX26,0.15),IFERROR(IRR(AS26:AX26,-0.2),IFERROR(IRR(AS26:AX26,-0.6),-1))))</f>
        <v>-0.0161702639734443</v>
      </c>
      <c r="G95" s="63" t="n">
        <f aca="false">IF(-AS27&lt;=0,"n.m.",IFERROR(IRR(AS27:AX27,0.15),IFERROR(IRR(AS27:AX27,-0.2),IFERROR(IRR(AS27:AX27,-0.6),-1))))</f>
        <v>0.0924991234297479</v>
      </c>
      <c r="H95" s="63" t="n">
        <f aca="false">IF(-AS28&lt;=0,"n.m.",IFERROR(IRR(AS28:AX28,0.15),IFERROR(IRR(AS28:AX28,-0.2),IFERROR(IRR(AS28:AX28,-0.6),-1))))</f>
        <v>0.225743722018413</v>
      </c>
      <c r="I95" s="63" t="n">
        <f aca="false">IF(-AS29&lt;=0,"n.m.",IFERROR(IRR(AS29:AX29,0.15),IFERROR(IRR(AS29:AX29,-0.2),IFERROR(IRR(AS29:AX29,-0.6),-1))))</f>
        <v>0.30339135955969</v>
      </c>
      <c r="J95" s="87" t="n">
        <f aca="false">IFERROR(IRR(AZ95:BE95,0.15),IFERROR(IRR(AZ95:BE95,-0.2),IFERROR(IRR(AZ95:BE95,-0.6),-1)))</f>
        <v>0.0710553772573467</v>
      </c>
      <c r="AZ95" s="101" t="n">
        <f aca="false">-($D$80*($C$95*LBO!$D$23*(1+LBO!$D$39)+$Y$31)+$D$81*($C$95*LBO!$D$23*(1+LBO!$D$39)+$Y$32)+$D$82*($C$95*LBO!$D$23*(1+LBO!$D$39)+$Y$33)+$D$83*($C$95*LBO!$D$23*(1+LBO!$D$39)+$Y$34)+$D$84*($C$95*LBO!$D$23*(1+LBO!$D$39)+$Y$35))</f>
        <v>-267.094860204391</v>
      </c>
      <c r="BA95" s="92" t="n">
        <f aca="false">SUMPRODUCT($D$80:$D$84,$Z$31:$Z$35)</f>
        <v>0</v>
      </c>
      <c r="BB95" s="92" t="n">
        <f aca="false">SUMPRODUCT($D$80:$D$84,$AA$31:$AA$35)</f>
        <v>1.54070526023031</v>
      </c>
      <c r="BC95" s="92" t="n">
        <f aca="false">SUMPRODUCT($D$80:$D$84,$AB$31:$AB$35)</f>
        <v>31.5955420983057</v>
      </c>
      <c r="BD95" s="92" t="n">
        <f aca="false">SUMPRODUCT($D$80:$D$84,$AC$31:$AC$35)</f>
        <v>31.5761694606529</v>
      </c>
      <c r="BE95" s="92" t="n">
        <f aca="false">SUMPRODUCT($D$80:$D$84,$AD$31:$AD$35)+SUMPRODUCT($D$80:$D$84,$R$31:$R$35)</f>
        <v>304.507503857139</v>
      </c>
    </row>
    <row r="96" customFormat="false" ht="12.75" hidden="false" customHeight="true" outlineLevel="0" collapsed="false">
      <c r="C96" s="40" t="n">
        <v>11.5</v>
      </c>
      <c r="D96" s="103" t="n">
        <f aca="false">C96/LBO!$D$18-1</f>
        <v>0.395631067961165</v>
      </c>
      <c r="E96" s="63" t="n">
        <f aca="false">IF(-AS30&lt;=0,"n.m.",IFERROR(IRR(AS30:AX30,0.15),IFERROR(IRR(AS30:AX30,-0.2),IFERROR(IRR(AS30:AX30,-0.6),-1))))</f>
        <v>-0.182603622412081</v>
      </c>
      <c r="F96" s="63" t="n">
        <f aca="false">IF(-AS31&lt;=0,"n.m.",IFERROR(IRR(AS31:AX31,0.15),IFERROR(IRR(AS31:AX31,-0.2),IFERROR(IRR(AS31:AX31,-0.6),-1))))</f>
        <v>-0.0353833689739662</v>
      </c>
      <c r="G96" s="63" t="n">
        <f aca="false">IF(-AS32&lt;=0,"n.m.",IFERROR(IRR(AS32:AX32,0.15),IFERROR(IRR(AS32:AX32,-0.2),IFERROR(IRR(AS32:AX32,-0.6),-1))))</f>
        <v>0.070781246761232</v>
      </c>
      <c r="H96" s="63" t="n">
        <f aca="false">IF(-AS33&lt;=0,"n.m.",IFERROR(IRR(AS33:AX33,0.15),IFERROR(IRR(AS33:AX33,-0.2),IFERROR(IRR(AS33:AX33,-0.6),-1))))</f>
        <v>0.201205745599686</v>
      </c>
      <c r="I96" s="63" t="n">
        <f aca="false">IF(-AS34&lt;=0,"n.m.",IFERROR(IRR(AS34:AX34,0.15),IFERROR(IRR(AS34:AX34,-0.2),IFERROR(IRR(AS34:AX34,-0.6),-1))))</f>
        <v>0.278374219028288</v>
      </c>
      <c r="J96" s="87" t="n">
        <f aca="false">IFERROR(IRR(AZ96:BE96,0.15),IFERROR(IRR(AZ96:BE96,-0.2),IFERROR(IRR(AZ96:BE96,-0.6),-1)))</f>
        <v>0.0500962157990735</v>
      </c>
      <c r="AZ96" s="101" t="n">
        <f aca="false">-($D$80*($C$96*LBO!$D$23*(1+LBO!$D$39)+$Y$31)+$D$81*($C$96*LBO!$D$23*(1+LBO!$D$39)+$Y$32)+$D$82*($C$96*LBO!$D$23*(1+LBO!$D$39)+$Y$33)+$D$83*($C$96*LBO!$D$23*(1+LBO!$D$39)+$Y$34)+$D$84*($C$96*LBO!$D$23*(1+LBO!$D$39)+$Y$35))</f>
        <v>-293.131710204391</v>
      </c>
      <c r="BA96" s="92" t="n">
        <f aca="false">SUMPRODUCT($D$80:$D$84,$Z$31:$Z$35)</f>
        <v>0</v>
      </c>
      <c r="BB96" s="92" t="n">
        <f aca="false">SUMPRODUCT($D$80:$D$84,$AA$31:$AA$35)</f>
        <v>1.54070526023031</v>
      </c>
      <c r="BC96" s="92" t="n">
        <f aca="false">SUMPRODUCT($D$80:$D$84,$AB$31:$AB$35)</f>
        <v>31.5955420983057</v>
      </c>
      <c r="BD96" s="92" t="n">
        <f aca="false">SUMPRODUCT($D$80:$D$84,$AC$31:$AC$35)</f>
        <v>31.5761694606529</v>
      </c>
      <c r="BE96" s="92" t="n">
        <f aca="false">SUMPRODUCT($D$80:$D$84,$AD$31:$AD$35)+SUMPRODUCT($D$80:$D$84,$R$31:$R$35)</f>
        <v>304.507503857139</v>
      </c>
    </row>
    <row r="97" customFormat="false" ht="12.75" hidden="false" customHeight="true" outlineLevel="0" collapsed="false">
      <c r="C97" s="40" t="n">
        <v>12</v>
      </c>
      <c r="D97" s="103" t="n">
        <f aca="false">C97/LBO!$D$18-1</f>
        <v>0.456310679611651</v>
      </c>
      <c r="E97" s="63" t="n">
        <f aca="false">IF(-AS35&lt;=0,"n.m.",IFERROR(IRR(AS35:AX35,0.15),IFERROR(IRR(AS35:AX35,-0.2),IFERROR(IRR(AS35:AX35,-0.6),-1))))</f>
        <v>-0.197012868731891</v>
      </c>
      <c r="F97" s="63" t="n">
        <f aca="false">IF(-AS36&lt;=0,"n.m.",IFERROR(IRR(AS36:AX36,0.15),IFERROR(IRR(AS36:AX36,-0.2),IFERROR(IRR(AS36:AX36,-0.6),-1))))</f>
        <v>-0.0526150543414443</v>
      </c>
      <c r="G97" s="63" t="n">
        <f aca="false">IF(-AS37&lt;=0,"n.m.",IFERROR(IRR(AS37:AX37,0.15),IFERROR(IRR(AS37:AX37,-0.2),IFERROR(IRR(AS37:AX37,-0.6),-1))))</f>
        <v>0.0513421987644233</v>
      </c>
      <c r="H97" s="63" t="n">
        <f aca="false">IF(-AS38&lt;=0,"n.m.",IFERROR(IRR(AS38:AX38,0.15),IFERROR(IRR(AS38:AX38,-0.2),IFERROR(IRR(AS38:AX38,-0.6),-1))))</f>
        <v>0.179258455457337</v>
      </c>
      <c r="I97" s="63" t="n">
        <f aca="false">IF(-AS39&lt;=0,"n.m.",IFERROR(IRR(AS39:AX39,0.15),IFERROR(IRR(AS39:AX39,-0.2),IFERROR(IRR(AS39:AX39,-0.6),-1))))</f>
        <v>0.255946862801757</v>
      </c>
      <c r="J97" s="87" t="n">
        <f aca="false">IFERROR(IRR(AZ97:BE97,0.15),IFERROR(IRR(AZ97:BE97,-0.2),IFERROR(IRR(AZ97:BE97,-0.6),-1)))</f>
        <v>0.0313126924265267</v>
      </c>
      <c r="AZ97" s="101" t="n">
        <f aca="false">-($D$80*($C$97*LBO!$D$23*(1+LBO!$D$39)+$Y$31)+$D$81*($C$97*LBO!$D$23*(1+LBO!$D$39)+$Y$32)+$D$82*($C$97*LBO!$D$23*(1+LBO!$D$39)+$Y$33)+$D$83*($C$97*LBO!$D$23*(1+LBO!$D$39)+$Y$34)+$D$84*($C$97*LBO!$D$23*(1+LBO!$D$39)+$Y$35))</f>
        <v>-319.168560204391</v>
      </c>
      <c r="BA97" s="92" t="n">
        <f aca="false">SUMPRODUCT($D$80:$D$84,$Z$31:$Z$35)</f>
        <v>0</v>
      </c>
      <c r="BB97" s="92" t="n">
        <f aca="false">SUMPRODUCT($D$80:$D$84,$AA$31:$AA$35)</f>
        <v>1.54070526023031</v>
      </c>
      <c r="BC97" s="92" t="n">
        <f aca="false">SUMPRODUCT($D$80:$D$84,$AB$31:$AB$35)</f>
        <v>31.5955420983057</v>
      </c>
      <c r="BD97" s="92" t="n">
        <f aca="false">SUMPRODUCT($D$80:$D$84,$AC$31:$AC$35)</f>
        <v>31.5761694606529</v>
      </c>
      <c r="BE97" s="92" t="n">
        <f aca="false">SUMPRODUCT($D$80:$D$84,$AD$31:$AD$35)+SUMPRODUCT($D$80:$D$84,$R$31:$R$35)</f>
        <v>304.507503857139</v>
      </c>
    </row>
    <row r="98" customFormat="false" ht="12.75" hidden="false" customHeight="true" outlineLevel="0" collapsed="false">
      <c r="C98" s="40" t="n">
        <v>12.5</v>
      </c>
      <c r="D98" s="103" t="n">
        <f aca="false">C98/LBO!$D$18-1</f>
        <v>0.516990291262136</v>
      </c>
      <c r="E98" s="63" t="n">
        <f aca="false">IF(-AS40&lt;=0,"n.m.",IFERROR(IRR(AS40:AX40,0.15),IFERROR(IRR(AS40:AX40,-0.2),IFERROR(IRR(AS40:AX40,-0.6),-1))))</f>
        <v>-0.210060748071885</v>
      </c>
      <c r="F98" s="63" t="n">
        <f aca="false">IF(-AS41&lt;=0,"n.m.",IFERROR(IRR(AS41:AX41,0.15),IFERROR(IRR(AS41:AX41,-0.2),IFERROR(IRR(AS41:AX41,-0.6),-1))))</f>
        <v>-0.0682079379061614</v>
      </c>
      <c r="G98" s="63" t="n">
        <f aca="false">IF(-AS42&lt;=0,"n.m.",IFERROR(IRR(AS42:AX42,0.15),IFERROR(IRR(AS42:AX42,-0.2),IFERROR(IRR(AS42:AX42,-0.6),-1))))</f>
        <v>0.0337815478533449</v>
      </c>
      <c r="H98" s="63" t="n">
        <f aca="false">IF(-AS43&lt;=0,"n.m.",IFERROR(IRR(AS43:AX43,0.15),IFERROR(IRR(AS43:AX43,-0.2),IFERROR(IRR(AS43:AX43,-0.6),-1))))</f>
        <v>0.159444267724712</v>
      </c>
      <c r="I98" s="63" t="n">
        <f aca="false">IF(-AS44&lt;=0,"n.m.",IFERROR(IRR(AS44:AX44,0.15),IFERROR(IRR(AS44:AX44,-0.2),IFERROR(IRR(AS44:AX44,-0.6),-1))))</f>
        <v>0.235658046884452</v>
      </c>
      <c r="J98" s="87" t="n">
        <f aca="false">IFERROR(IRR(AZ98:BE98,0.15),IFERROR(IRR(AZ98:BE98,-0.2),IFERROR(IRR(AZ98:BE98,-0.6),-1)))</f>
        <v>0.0143260198438987</v>
      </c>
      <c r="AZ98" s="101" t="n">
        <f aca="false">-($D$80*($C$98*LBO!$D$23*(1+LBO!$D$39)+$Y$31)+$D$81*($C$98*LBO!$D$23*(1+LBO!$D$39)+$Y$32)+$D$82*($C$98*LBO!$D$23*(1+LBO!$D$39)+$Y$33)+$D$83*($C$98*LBO!$D$23*(1+LBO!$D$39)+$Y$34)+$D$84*($C$98*LBO!$D$23*(1+LBO!$D$39)+$Y$35))</f>
        <v>-345.205410204391</v>
      </c>
      <c r="BA98" s="92" t="n">
        <f aca="false">SUMPRODUCT($D$80:$D$84,$Z$31:$Z$35)</f>
        <v>0</v>
      </c>
      <c r="BB98" s="92" t="n">
        <f aca="false">SUMPRODUCT($D$80:$D$84,$AA$31:$AA$35)</f>
        <v>1.54070526023031</v>
      </c>
      <c r="BC98" s="92" t="n">
        <f aca="false">SUMPRODUCT($D$80:$D$84,$AB$31:$AB$35)</f>
        <v>31.5955420983057</v>
      </c>
      <c r="BD98" s="92" t="n">
        <f aca="false">SUMPRODUCT($D$80:$D$84,$AC$31:$AC$35)</f>
        <v>31.5761694606529</v>
      </c>
      <c r="BE98" s="92" t="n">
        <f aca="false">SUMPRODUCT($D$80:$D$84,$AD$31:$AD$35)+SUMPRODUCT($D$80:$D$84,$R$31:$R$35)</f>
        <v>304.507503857139</v>
      </c>
    </row>
    <row r="99" customFormat="false" ht="12.75" hidden="false" customHeight="true" outlineLevel="0" collapsed="false">
      <c r="C99" s="40" t="n">
        <v>13</v>
      </c>
      <c r="D99" s="103" t="n">
        <f aca="false">C99/LBO!$D$18-1</f>
        <v>0.577669902912621</v>
      </c>
      <c r="E99" s="63" t="n">
        <f aca="false">IF(-AS45&lt;=0,"n.m.",IFERROR(IRR(AS45:AX45,0.15),IFERROR(IRR(AS45:AX45,-0.2),IFERROR(IRR(AS45:AX45,-0.6),-1))))</f>
        <v>-0.2219646700381</v>
      </c>
      <c r="F99" s="63" t="n">
        <f aca="false">IF(-AS46&lt;=0,"n.m.",IFERROR(IRR(AS46:AX46,0.15),IFERROR(IRR(AS46:AX46,-0.2),IFERROR(IRR(AS46:AX46,-0.6),-1))))</f>
        <v>-0.0824249684017877</v>
      </c>
      <c r="G99" s="63" t="n">
        <f aca="false">IF(-AS47&lt;=0,"n.m.",IFERROR(IRR(AS47:AX47,0.15),IFERROR(IRR(AS47:AX47,-0.2),IFERROR(IRR(AS47:AX47,-0.6),-1))))</f>
        <v>0.017793378357025</v>
      </c>
      <c r="H99" s="63" t="n">
        <f aca="false">IF(-AS48&lt;=0,"n.m.",IFERROR(IRR(AS48:AX48,0.15),IFERROR(IRR(AS48:AX48,-0.2),IFERROR(IRR(AS48:AX48,-0.6),-1))))</f>
        <v>0.141414085898988</v>
      </c>
      <c r="I99" s="63" t="n">
        <f aca="false">IF(-AS49&lt;=0,"n.m.",IFERROR(IRR(AS49:AX49,0.15),IFERROR(IRR(AS49:AX49,-0.2),IFERROR(IRR(AS49:AX49,-0.6),-1))))</f>
        <v>0.217162391444814</v>
      </c>
      <c r="J99" s="87" t="n">
        <f aca="false">IFERROR(IRR(AZ99:BE99,0.15),IFERROR(IRR(AZ99:BE99,-0.2),IFERROR(IRR(AZ99:BE99,-0.6),-1)))</f>
        <v>-0.00115391819747705</v>
      </c>
      <c r="AZ99" s="101" t="n">
        <f aca="false">-($D$80*($C$99*LBO!$D$23*(1+LBO!$D$39)+$Y$31)+$D$81*($C$99*LBO!$D$23*(1+LBO!$D$39)+$Y$32)+$D$82*($C$99*LBO!$D$23*(1+LBO!$D$39)+$Y$33)+$D$83*($C$99*LBO!$D$23*(1+LBO!$D$39)+$Y$34)+$D$84*($C$99*LBO!$D$23*(1+LBO!$D$39)+$Y$35))</f>
        <v>-371.242260204391</v>
      </c>
      <c r="BA99" s="92" t="n">
        <f aca="false">SUMPRODUCT($D$80:$D$84,$Z$31:$Z$35)</f>
        <v>0</v>
      </c>
      <c r="BB99" s="92" t="n">
        <f aca="false">SUMPRODUCT($D$80:$D$84,$AA$31:$AA$35)</f>
        <v>1.54070526023031</v>
      </c>
      <c r="BC99" s="92" t="n">
        <f aca="false">SUMPRODUCT($D$80:$D$84,$AB$31:$AB$35)</f>
        <v>31.5955420983057</v>
      </c>
      <c r="BD99" s="92" t="n">
        <f aca="false">SUMPRODUCT($D$80:$D$84,$AC$31:$AC$35)</f>
        <v>31.5761694606529</v>
      </c>
      <c r="BE99" s="92" t="n">
        <f aca="false">SUMPRODUCT($D$80:$D$84,$AD$31:$AD$35)+SUMPRODUCT($D$80:$D$84,$R$31:$R$35)</f>
        <v>304.507503857139</v>
      </c>
    </row>
    <row r="100" customFormat="false" ht="12.75" hidden="false" customHeight="true" outlineLevel="0" collapsed="false"/>
    <row r="101" customFormat="false" ht="12.75" hidden="false" customHeight="true" outlineLevel="0" collapsed="false">
      <c r="C101" s="3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084"/>
    <pageSetUpPr fitToPage="fals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5" min="3" style="0" width="12"/>
    <col collapsed="false" customWidth="true" hidden="false" outlineLevel="0" max="7" min="6" style="0" width="2"/>
    <col collapsed="false" customWidth="true" hidden="false" outlineLevel="0" max="8" min="8" style="0" width="6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1" t="s">
        <v>625</v>
      </c>
      <c r="C2" s="2"/>
      <c r="D2" s="2"/>
      <c r="E2" s="2"/>
      <c r="F2" s="2"/>
      <c r="G2" s="2"/>
      <c r="H2" s="2"/>
    </row>
    <row r="3" customFormat="false" ht="12.75" hidden="false" customHeight="true" outlineLevel="0" collapsed="false">
      <c r="B3" s="3" t="s">
        <v>626</v>
      </c>
    </row>
    <row r="4" customFormat="false" ht="12.75" hidden="false" customHeight="true" outlineLevel="0" collapsed="false"/>
    <row r="5" customFormat="false" ht="12.75" hidden="false" customHeight="true" outlineLevel="0" collapsed="false">
      <c r="B5" s="9" t="s">
        <v>627</v>
      </c>
      <c r="C5" s="10"/>
      <c r="D5" s="10"/>
      <c r="E5" s="10"/>
    </row>
    <row r="6" customFormat="false" ht="12.75" hidden="false" customHeight="true" outlineLevel="0" collapsed="false">
      <c r="B6" s="6" t="s">
        <v>272</v>
      </c>
      <c r="C6" s="94" t="n">
        <f aca="false">LBO!D23</f>
        <v>50.68</v>
      </c>
      <c r="H6" s="54" t="s">
        <v>628</v>
      </c>
    </row>
    <row r="7" customFormat="false" ht="12.75" hidden="false" customHeight="true" outlineLevel="0" collapsed="false">
      <c r="B7" s="6" t="s">
        <v>629</v>
      </c>
      <c r="C7" s="95" t="n">
        <f aca="false">LBO!D19</f>
        <v>10.75</v>
      </c>
    </row>
    <row r="8" customFormat="false" ht="12.75" hidden="false" customHeight="true" outlineLevel="0" collapsed="false">
      <c r="B8" s="6" t="s">
        <v>630</v>
      </c>
      <c r="C8" s="40" t="n">
        <v>1</v>
      </c>
    </row>
    <row r="9" customFormat="false" ht="12.75" hidden="false" customHeight="true" outlineLevel="0" collapsed="false">
      <c r="B9" s="6" t="s">
        <v>631</v>
      </c>
      <c r="C9" s="22" t="n">
        <v>90</v>
      </c>
    </row>
    <row r="10" customFormat="false" ht="12.75" hidden="false" customHeight="true" outlineLevel="0" collapsed="false">
      <c r="B10" s="6" t="s">
        <v>632</v>
      </c>
      <c r="C10" s="109" t="n">
        <v>2.25</v>
      </c>
    </row>
    <row r="11" customFormat="false" ht="12.75" hidden="false" customHeight="true" outlineLevel="0" collapsed="false">
      <c r="B11" s="6" t="s">
        <v>633</v>
      </c>
      <c r="C11" s="40" t="n">
        <v>1</v>
      </c>
    </row>
    <row r="12" customFormat="false" ht="12.75" hidden="false" customHeight="true" outlineLevel="0" collapsed="false">
      <c r="B12" s="6" t="s">
        <v>634</v>
      </c>
      <c r="C12" s="26" t="n">
        <v>0.3</v>
      </c>
    </row>
    <row r="13" customFormat="false" ht="12.75" hidden="false" customHeight="true" outlineLevel="0" collapsed="false">
      <c r="B13" s="6" t="s">
        <v>635</v>
      </c>
      <c r="C13" s="109" t="n">
        <v>3</v>
      </c>
    </row>
    <row r="14" customFormat="false" ht="12.75" hidden="false" customHeight="true" outlineLevel="0" collapsed="false">
      <c r="B14" s="6" t="s">
        <v>636</v>
      </c>
      <c r="C14" s="26" t="n">
        <v>0.12</v>
      </c>
    </row>
    <row r="15" customFormat="false" ht="12.75" hidden="false" customHeight="true" outlineLevel="0" collapsed="false"/>
    <row r="16" customFormat="false" ht="12.75" hidden="false" customHeight="true" outlineLevel="0" collapsed="false">
      <c r="B16" s="9" t="s">
        <v>637</v>
      </c>
      <c r="C16" s="10"/>
      <c r="D16" s="10"/>
      <c r="E16" s="10"/>
    </row>
    <row r="17" customFormat="false" ht="12.75" hidden="false" customHeight="true" outlineLevel="0" collapsed="false">
      <c r="B17" s="4" t="s">
        <v>612</v>
      </c>
      <c r="C17" s="20" t="s">
        <v>638</v>
      </c>
      <c r="D17" s="20" t="s">
        <v>639</v>
      </c>
      <c r="E17" s="20" t="s">
        <v>640</v>
      </c>
    </row>
    <row r="18" customFormat="false" ht="12.75" hidden="false" customHeight="true" outlineLevel="0" collapsed="false">
      <c r="B18" s="6" t="s">
        <v>606</v>
      </c>
      <c r="C18" s="71" t="n">
        <f aca="false">Sensitivity!D80</f>
        <v>0.2</v>
      </c>
      <c r="D18" s="67" t="n">
        <f aca="false">Sensitivity!L31</f>
        <v>71.471027264</v>
      </c>
      <c r="E18" s="38" t="n">
        <f aca="false">IF(D18&gt;=$C$9,1,0)</f>
        <v>0</v>
      </c>
    </row>
    <row r="19" customFormat="false" ht="12.75" hidden="false" customHeight="true" outlineLevel="0" collapsed="false">
      <c r="B19" s="6" t="s">
        <v>607</v>
      </c>
      <c r="C19" s="71" t="n">
        <f aca="false">Sensitivity!D81</f>
        <v>0.3</v>
      </c>
      <c r="D19" s="67" t="n">
        <f aca="false">Sensitivity!L32</f>
        <v>80.31718128</v>
      </c>
      <c r="E19" s="38" t="n">
        <f aca="false">IF(D19&gt;=$C$9,1,0)</f>
        <v>0</v>
      </c>
    </row>
    <row r="20" customFormat="false" ht="12.75" hidden="false" customHeight="true" outlineLevel="0" collapsed="false">
      <c r="B20" s="6" t="s">
        <v>608</v>
      </c>
      <c r="C20" s="71" t="n">
        <f aca="false">Sensitivity!D82</f>
        <v>0.3</v>
      </c>
      <c r="D20" s="67" t="n">
        <f aca="false">Sensitivity!L33</f>
        <v>87.739811936</v>
      </c>
      <c r="E20" s="38" t="n">
        <f aca="false">IF(D20&gt;=$C$9,1,0)</f>
        <v>0</v>
      </c>
    </row>
    <row r="21" customFormat="false" ht="12.75" hidden="false" customHeight="true" outlineLevel="0" collapsed="false">
      <c r="B21" s="6" t="s">
        <v>609</v>
      </c>
      <c r="C21" s="71" t="n">
        <f aca="false">Sensitivity!D83</f>
        <v>0.15</v>
      </c>
      <c r="D21" s="67" t="n">
        <f aca="false">Sensitivity!L34</f>
        <v>98.302280048</v>
      </c>
      <c r="E21" s="38" t="n">
        <f aca="false">IF(D21&gt;=$C$9,1,0)</f>
        <v>1</v>
      </c>
    </row>
    <row r="22" customFormat="false" ht="12.75" hidden="false" customHeight="true" outlineLevel="0" collapsed="false">
      <c r="B22" s="6" t="s">
        <v>610</v>
      </c>
      <c r="C22" s="71" t="n">
        <f aca="false">Sensitivity!D84</f>
        <v>0.05</v>
      </c>
      <c r="D22" s="67" t="n">
        <f aca="false">Sensitivity!L35</f>
        <v>98.302280048</v>
      </c>
      <c r="E22" s="38" t="n">
        <f aca="false">IF(D22&gt;=$C$9,1,0)</f>
        <v>1</v>
      </c>
    </row>
    <row r="23" customFormat="false" ht="12.75" hidden="false" customHeight="true" outlineLevel="0" collapsed="false"/>
    <row r="24" customFormat="false" ht="12.75" hidden="false" customHeight="true" outlineLevel="0" collapsed="false">
      <c r="B24" s="9" t="s">
        <v>641</v>
      </c>
      <c r="C24" s="10"/>
      <c r="D24" s="10"/>
      <c r="E24" s="10"/>
    </row>
    <row r="25" customFormat="false" ht="12.75" hidden="false" customHeight="true" outlineLevel="0" collapsed="false">
      <c r="B25" s="6" t="s">
        <v>642</v>
      </c>
      <c r="C25" s="63" t="n">
        <f aca="false">SUMPRODUCT(C18:C22,E18:E22)</f>
        <v>0.2</v>
      </c>
    </row>
    <row r="26" customFormat="false" ht="12.75" hidden="false" customHeight="true" outlineLevel="0" collapsed="false">
      <c r="B26" s="6" t="s">
        <v>643</v>
      </c>
      <c r="C26" s="69" t="n">
        <f aca="false">C8*C25/(1+C14)^C10</f>
        <v>0.15498492042522</v>
      </c>
    </row>
    <row r="27" customFormat="false" ht="12.75" hidden="false" customHeight="true" outlineLevel="0" collapsed="false">
      <c r="B27" s="6" t="s">
        <v>644</v>
      </c>
      <c r="C27" s="69" t="n">
        <f aca="false">C11*C12/(1+C14)^C13</f>
        <v>0.213534074344023</v>
      </c>
    </row>
    <row r="28" customFormat="false" ht="12.75" hidden="false" customHeight="true" outlineLevel="0" collapsed="false">
      <c r="B28" s="4" t="s">
        <v>645</v>
      </c>
      <c r="C28" s="106" t="n">
        <f aca="false">C7+C8+C11</f>
        <v>12.75</v>
      </c>
    </row>
    <row r="29" customFormat="false" ht="12.75" hidden="false" customHeight="true" outlineLevel="0" collapsed="false">
      <c r="B29" s="4" t="s">
        <v>646</v>
      </c>
      <c r="C29" s="106" t="n">
        <f aca="false">C7+C26+C27</f>
        <v>11.1185189947692</v>
      </c>
    </row>
    <row r="30" customFormat="false" ht="12.75" hidden="false" customHeight="true" outlineLevel="0" collapsed="false">
      <c r="B30" s="6" t="s">
        <v>647</v>
      </c>
      <c r="C30" s="27" t="n">
        <f aca="false">(C26+C27)*C6</f>
        <v>18.6765426549053</v>
      </c>
    </row>
    <row r="31" customFormat="false" ht="12.75" hidden="false" customHeight="true" outlineLevel="0" collapsed="false">
      <c r="B31" s="6" t="s">
        <v>648</v>
      </c>
      <c r="C31" s="27" t="n">
        <f aca="false">(C8+C11)*C6</f>
        <v>101.36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2026-09-22T18:41:26Z</dcterms:created>
  <dc:creator>openpyxl</dc:creator>
  <dc:description/>
  <dc:language>en-US</dc:language>
  <cp:lastModifiedBy/>
  <dcterms:modified xsi:type="dcterms:W3CDTF">2026-09-22T18:41:42Z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