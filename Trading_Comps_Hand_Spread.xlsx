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reads" sheetId="1" state="visible" r:id="rId3"/>
    <sheet name="Spread Notes" sheetId="2" state="visible" r:id="rId4"/>
    <sheet name="FX" sheetId="3" state="visible" r:id="rId5"/>
    <sheet name="FactSet vs Hand" sheetId="4" state="visible" r:id="rId6"/>
  </sheets>
  <definedNames>
    <definedName function="false" hidden="true" name="a" vbProcedure="false">{"comp1",#N/A,FALSE,"COMPS";"footnotes",#N/A,FALSE,"COMPS"}</definedName>
    <definedName function="false" hidden="true" name="aa" vbProcedure="false">{#N/A,#N/A,TRUE,"Pro Forma";#N/A,#N/A,TRUE,"PF_Bal";#N/A,#N/A,TRUE,"PF_INC";#N/A,#N/A,TRUE,"CBE";#N/A,#N/A,TRUE,"SWK"}</definedName>
    <definedName function="false" hidden="true" name="aaa" vbProcedure="false">{#N/A,#N/A,TRUE,"financial";#N/A,#N/A,TRUE,"plants"}</definedName>
    <definedName function="false" hidden="true" name="aaaa" vbProcedure="false">{#N/A,#N/A,TRUE,"Pro Forma";#N/A,#N/A,TRUE,"PF_Bal";#N/A,#N/A,TRUE,"PF_INC";#N/A,#N/A,TRUE,"CBE";#N/A,#N/A,TRUE,"SWK"}</definedName>
    <definedName function="false" hidden="true" name="aaaaa" vbProcedure="false">{#N/A,#N/A,TRUE,"financial";#N/A,#N/A,TRUE,"plants"}</definedName>
    <definedName function="false" hidden="true" name="AAA_DOCTOPS" vbProcedure="false">"AAA_SET"</definedName>
    <definedName function="false" hidden="true" name="AAA_duser" vbProcedure="false">"OFF"</definedName>
    <definedName function="false" hidden="true" name="aab" vbProcedure="false">{#N/A,#N/A,FALSE,"Inc";#N/A,#N/A,FALSE,"Prod";#N/A,#N/A,FALSE,"QInc";#N/A,#N/A,FALSE,"QProd"}</definedName>
    <definedName function="false" hidden="true" name="aabcd" vbProcedure="false">{#N/A,#N/A,FALSE,"Inc";#N/A,#N/A,FALSE,"Prod";#N/A,#N/A,FALSE,"QInc";#N/A,#N/A,FALSE,"QProd"}</definedName>
    <definedName function="false" hidden="true" name="AAB_Addin5" vbProcedure="false">"AAB_Description for addin 5,Description for addin 5,Description for addin 5,Description for addin 5,Description for addin 5,Description for addin 5"</definedName>
    <definedName function="false" hidden="true" name="AAB_GSPPG" vbProcedure="false">"AAB_Goldman Sachs PPG Chart Utilities 1.0g"</definedName>
    <definedName function="false" hidden="true" name="ab" vbProcedure="false">{#N/A,#N/A,TRUE,"Pro Forma";#N/A,#N/A,TRUE,"PF_Bal";#N/A,#N/A,TRUE,"PF_INC";#N/A,#N/A,TRUE,"CBE";#N/A,#N/A,TRUE,"SWK"}</definedName>
    <definedName function="false" hidden="true" name="abc" vbProcedure="false">{"cover a","1q",FALSE,"Cover";"Op Earn Mgd Q1",#N/A,FALSE,"Op-Earn (Mng)";"Op Earn Rpt Q1",#N/A,FALSE,"Op-Earn (Rpt)";"Loans",#N/A,FALSE,"Loans";"Credit Costs",#N/A,FALSE,"CCosts";"Net Interest Margin",#N/A,FALSE,"Margin";"Nonint Income",#N/A,FALSE,"NonII";"Nonint Exp",#N/A,FALSE,"NonIE";"Valuation",#N/A,FALSE,"Valuation"}</definedName>
    <definedName function="false" hidden="true" name="abcd" vbProcedure="false">{#N/A,#N/A,FALSE,"Inc";#N/A,#N/A,FALSE,"Prod";#N/A,#N/A,FALSE,"QInc";#N/A,#N/A,FALSE,"QProd"}</definedName>
    <definedName function="false" hidden="true" name="ABRACADABRA" vbProcedure="false">#REF!</definedName>
    <definedName function="false" hidden="true" name="acasowe"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cc" vbProcedure="false">{"Accretion",#N/A,FALSE,"Assum"}</definedName>
    <definedName function="false" hidden="true" name="AccessDatabase" vbProcedure="false">"C:\My Documents\Models\Pricer1.mdb"</definedName>
    <definedName function="false" hidden="true" name="Access_Button" vbProcedure="false">"Data_Tan_担当者別ユーザー別実績表_List"</definedName>
    <definedName function="false" hidden="true" name="ACCOUNTS_PAY" vbProcedure="false">"ACCOUNTS_PAY"</definedName>
    <definedName function="false" hidden="true" name="ACCOUNT_CHANGE" vbProcedure="false">"ACCOUNT_CHANGE"</definedName>
    <definedName function="false" hidden="true" name="ACCRUED_EXP" vbProcedure="false">"ACCRUED_EXP"</definedName>
    <definedName function="false" hidden="true" name="Acdfg" vbProcedure="false">{#N/A,#N/A,FALSE,"CMN_FE"}</definedName>
    <definedName function="false" hidden="true" name="acdfg1" vbProcedure="false">{#N/A,#N/A,FALSE,"CMN_FE"}</definedName>
    <definedName function="false" hidden="true" name="Actual" vbProcedure="false">{#N/A,#N/A,TRUE,"Historicals";#N/A,#N/A,TRUE,"Charts";#N/A,#N/A,TRUE,"Forecasts"}</definedName>
    <definedName function="false" hidden="true" name="ACwvu.BiPolar." vbProcedure="false">#REF!</definedName>
    <definedName function="false" hidden="true" name="ACwvu.Sumnpv." vbProcedure="false">#REF!</definedName>
    <definedName function="false" hidden="true" name="ad" vbProcedure="false">{#N/A,#N/A,FALSE,"AHF"}</definedName>
    <definedName function="false" hidden="true" name="ada" vbProcedure="false">{"'Trend_Total'!$A$7:$V$10","'Trend_Total'!$A$1:$V$4"}</definedName>
    <definedName function="false" hidden="true" name="adasdlspo"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db" vbProcedure="false">{#N/A,#N/A,FALSE,"Inc";#N/A,#N/A,FALSE,"Prod";#N/A,#N/A,FALSE,"QInc";#N/A,#N/A,FALSE,"QProd"}</definedName>
    <definedName function="false" hidden="true" name="adcaldlal"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dd" vbProcedure="false">{#N/A,#N/A,TRUE,"Cover";#N/A,#N/A,TRUE,"Macro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function="false" hidden="true" name="addg" vbProcedure="false">{#N/A,#N/A,FALSE,"CBE";#N/A,#N/A,FALSE,"SWK"}</definedName>
    <definedName function="false" hidden="true" name="addg1" vbProcedure="false">{#N/A,#N/A,FALSE,"CBE";#N/A,#N/A,FALSE,"SWK"}</definedName>
    <definedName function="false" hidden="true" name="ADD_PAID_IN" vbProcedure="false">"ADD_PAID_IN"</definedName>
    <definedName function="false" hidden="true" name="adf" vbProcedure="false">{"'Trend_Total'!$A$7:$V$10","'Trend_Total'!$A$1:$V$4"}</definedName>
    <definedName function="false" hidden="true" name="adlsl"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dsa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dsfadf" vbProcedure="false">{"'Staffing'!$A$1:$D$62"}</definedName>
    <definedName function="false" hidden="true" name="ae" vbProcedure="false">{#N/A,#N/A,FALSE,"Calc";#N/A,#N/A,FALSE,"Sensitivity";#N/A,#N/A,FALSE,"LT Earn.Dil.";#N/A,#N/A,FALSE,"Dil. AVP"}</definedName>
    <definedName function="false" hidden="true" name="AERGTETR"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etna" vbProcedure="false">{"'webcensus'!$A$1:$G$34","'webcensus'!$A$1:$G$33"}</definedName>
    <definedName function="false" hidden="true" name="aewfwe" vbProcedure="false">{#N/A,#N/A,FALSE,"Brad_DCFM";#N/A,#N/A,FALSE,"Nick_DCFM";#N/A,#N/A,FALSE,"Mobile_DCFM"}</definedName>
    <definedName function="false" hidden="true" name="afasdkasdk"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f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FGH" vbProcedure="false">{#N/A,#N/A,FALSE,"SUMMARY"}</definedName>
    <definedName function="false" hidden="true" name="agawefawef" vbProcedure="false">{#N/A,#N/A,TRUE,"Summary";#N/A,#N/A,TRUE,"Detail"}</definedName>
    <definedName function="false" hidden="true" name="AGA_Options" vbProcedure="false">{"assumption 50 50",#N/A,TRUE,"Merger";"has gets cash",#N/A,TRUE,"Merger";"accretion dilution",#N/A,TRUE,"Merger";"comparison credit stats",#N/A,TRUE,"Merger";"pf credit stats",#N/A,TRUE,"Merger";"pf sheets",#N/A,TRUE,"Merger"}</definedName>
    <definedName function="false" hidden="true" name="agffgdfg"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ll" vbProcedure="false">{#N/A,#N/A,TRUE,"Cover";#N/A,#N/A,TRUE,"Macro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function="false" hidden="true" name="Allowance" vbProcedure="false">{"'Trend_Total'!$A$7:$V$10","'Trend_Total'!$A$1:$V$4"}</definedName>
    <definedName function="false" hidden="true" name="alyson" vbProcedure="false">{#N/A,#N/A,FALSE,"Australia";#N/A,#N/A,FALSE,"Austria";#N/A,#N/A,FALSE,"Belgium";#N/A,#N/A,FALSE,"Canada";#N/A,#N/A,FALSE,"France";#N/A,#N/A,FALSE,"Germany";#N/A,#N/A,FALSE,"Hong Kong";#N/A,#N/A,FALSE,"Italy";#N/A,#N/A,FALSE,"Japan";#N/A,#N/A,FALSE,"Korea";#N/A,#N/A,FALSE,"Mexico";#N/A,#N/A,FALSE,"Poland";#N/A,#N/A,FALSE,"Spain";#N/A,#N/A,FALSE,"Switzerland";#N/A,#N/A,FALSE,"UK"}</definedName>
    <definedName function="false" hidden="true" name="Ameesh" vbProcedure="false">{#N/A,#N/A,TRUE,"Pro Forma";#N/A,#N/A,TRUE,"PF_Bal";#N/A,#N/A,TRUE,"PF_INC";#N/A,#N/A,TRUE,"CBE";#N/A,#N/A,TRUE,"SWK"}</definedName>
    <definedName function="false" hidden="true" name="amit" vbProcedure="false">{"Build1",#N/A,FALSE,"Buildup";"Build2",#N/A,FALSE,"Buildup";"Build3",#N/A,FALSE,"Buildup"}</definedName>
    <definedName function="false" hidden="true" name="Amort" vbProcedure="false">{"page1",#N/A,FALSE,"PROFORMA";"page2",#N/A,FALSE,"PROFORMA";"page3",#N/A,FALSE,"PROFORMA";"page4",#N/A,FALSE,"PROFORMA";"page5",#N/A,FALSE,"PROFORMA";"page6",#N/A,FALSE,"PROFORMA";"page7",#N/A,FALSE,"PROFORMA";"page8",#N/A,FALSE,"PROFORMA"}</definedName>
    <definedName function="false" hidden="true" name="AMORTIZATION" vbProcedure="false">"AMORTIZATION"</definedName>
    <definedName function="false" hidden="true" name="Amort_sheet" vbProcedure="false">{"summary1",#N/A,TRUE,"Comps";"summary2",#N/A,TRUE,"Comps";"summary3",#N/A,TRUE,"Comps"}</definedName>
    <definedName function="false" hidden="true" name="anscount" vbProcedure="false">2</definedName>
    <definedName function="false" hidden="true" name="anything" vbProcedure="false">{#N/A,#N/A,FALSE,"Output";#N/A,#N/A,FALSE,"Cover Sheet";#N/A,#N/A,FALSE,"Current Mkt. Projections"}</definedName>
    <definedName function="false" hidden="true" name="aolin1" vbProcedure="false">{#N/A,"Base Case",FALSE,"Revenue";#N/A,"£6.25 Fee",FALSE,"Revenue"}</definedName>
    <definedName function="false" hidden="true" name="aolinc" vbProcedure="false">{#N/A,"Base Case",FALSE,"Revenue";#N/A,"£6.25 Fee",FALSE,"Revenue"}</definedName>
    <definedName function="false" hidden="true" name="APWREFVNUAN" vbProcedure="false">"'f4"</definedName>
    <definedName function="false" hidden="true" name="aq" vbProcedure="false">{#N/A,#N/A,TRUE,"Pro Forma";#N/A,#N/A,TRUE,"PF_Bal";#N/A,#N/A,TRUE,"PF_INC";#N/A,#N/A,TRUE,"CBE";#N/A,#N/A,TRUE,"SWK"}</definedName>
    <definedName function="false" hidden="true" name="aqdfqw"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rgsag" vbProcedure="false">{#N/A,#N/A,TRUE,"Cover His PWC";#N/A,#N/A,TRUE,"P&amp;L";#N/A,#N/A,TRUE,"BS";#N/A,#N/A,TRUE,"Depreciation";#N/A,#N/A,TRUE,"GRAPHS";#N/A,#N/A,TRUE,"DCF EBITDA Multiple";#N/A,#N/A,TRUE,"DCF Perpetual Growth"}</definedName>
    <definedName function="false" hidden="true" name="as" vbProcedure="false">{"comp1",#N/A,FALSE,"COMPS";"footnotes",#N/A,FALSE,"COMPS"}</definedName>
    <definedName function="false" hidden="true" name="AS2DocOpenMode" vbProcedure="false">"AS2DocumentEdit"</definedName>
    <definedName function="false" hidden="true" name="AS2HasNoAutoHeaderFooter" vbProcedure="false">" "</definedName>
    <definedName function="false" hidden="true" name="AS2NamedRange" vbProcedure="false">6</definedName>
    <definedName function="false" hidden="true" name="AS2ReportLS" vbProcedure="false">2</definedName>
    <definedName function="false" hidden="true" name="AS2SyncStepLS" vbProcedure="false">0</definedName>
    <definedName function="false" hidden="true" name="AS2VersionLS" vbProcedure="false">300</definedName>
    <definedName function="false" hidden="true" name="asa"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ad" vbProcedure="false">{"away stand alones",#N/A,FALSE,"Target"}</definedName>
    <definedName function="false" hidden="true" name="asas"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d" vbProcedure="false">{"QTR1",#N/A,FALSE,"WLA";"QTR2",#N/A,FALSE,"WLA";"QTRSALES1",#N/A,FALSE,"QTRSALES";"QTRSALES2",#N/A,FALSE,"QTRSALES";"QTRSALES3",#N/A,FALSE,"QTRSALES";"ANNSALES1",#N/A,FALSE,"ANNSALES";"ANNSALES2",#N/A,FALSE,"ANNSALES";"ANNSALES3",#N/A,FALSE,"ANNSALES";"SEGSMARGIN",#N/A,FALSE,"SEGS-MARGIN";"CASHFLOW",#N/A,FALSE,"CASHFLOW";"NEWPRODS",#N/A,FALSE,"NEWPRODS"}</definedName>
    <definedName function="false" hidden="true" name="asda"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da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dasdlasdl"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dasds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dasdsdasds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dasdwe"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df" vbProcedure="false">{"comp1",#N/A,FALSE,"COMPS";"footnotes",#N/A,FALSE,"COMPS"}</definedName>
    <definedName function="false" hidden="true" name="asdfas" vbProcedure="false">{"comp1",#N/A,FALSE,"COMPS";"footnotes",#N/A,FALSE,"COMPS"}</definedName>
    <definedName function="false" hidden="true" name="asdfasdf" vbProcedure="false">{#N/A,#N/A,FALSE,"CBE";#N/A,#N/A,FALSE,"SWK"}</definedName>
    <definedName function="false" hidden="true" name="asdfasdfasdf" vbProcedure="false">{"comp1",#N/A,FALSE,"COMPS";"footnotes",#N/A,FALSE,"COMPS"}</definedName>
    <definedName function="false" hidden="true" name="asdfasdfsad" vbProcedure="false">{#N/A,#N/A,FALSE,"output";#N/A,#N/A,FALSE,"contrib";#N/A,#N/A,FALSE,"profile";#N/A,#N/A,FALSE,"comps"}</definedName>
    <definedName function="false" hidden="true" name="asdfgdfg" vbProcedure="false">{#N/A,#N/A,TRUE,"Lines";#N/A,#N/A,TRUE,"Stations";#N/A,#N/A,TRUE,"Cap. Expenses";#N/A,#N/A,TRUE,"Land";#N/A,#N/A,TRUE,"Cen Proces Sys";#N/A,#N/A,TRUE,"telecom";#N/A,#N/A,TRUE,"Other"}</definedName>
    <definedName function="false" hidden="true" name="asdfkasdfk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dfsdfsdfds" vbProcedure="false">{#N/A,#N/A,TRUE,"Summary";#N/A,#N/A,TRUE,"Detail"}</definedName>
    <definedName function="false" hidden="true" name="asdfsdlsd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DGERG"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dgfw"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dkaks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dkasdkask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dklasdl"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dkls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dksdksdk"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dlasdas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dlasdkl"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dlasdlsda"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dlasdos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dlsdlsdl"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dsk"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fa" vbProcedure="false">{#N/A,#N/A,FALSE,"MKTSUM95";#N/A,#N/A,FALSE,"MKTADM95";#N/A,#N/A,FALSE,"MKTD&amp;C95";#N/A,#N/A,FALSE,"MKTPRD95";#N/A,#N/A,FALSE,"MKTCHL95"}</definedName>
    <definedName function="false" hidden="true" name="asfa1" vbProcedure="false">{#N/A,#N/A,FALSE,"MKTSUM95";#N/A,#N/A,FALSE,"MKTADM95";#N/A,#N/A,FALSE,"MKTD&amp;C95";#N/A,#N/A,FALSE,"MKTPRD95";#N/A,#N/A,FALSE,"MKTCHL95"}</definedName>
    <definedName function="false" hidden="true" name="asfewe" vbProcedure="false">{#N/A,#N/A,TRUE,"Summary";#N/A,#N/A,TRUE,"Detail"}</definedName>
    <definedName function="false" hidden="true" name="askaskeo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kdha"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S" vbProcedure="false">{#N/A,#N/A,FALSE,"ARCSTEP"}</definedName>
    <definedName function="false" hidden="true" name="ASSET_TURNS" vbProcedure="false">"ASSET_TURNS"</definedName>
    <definedName function="false" hidden="true" name="astr"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TE" vbProcedure="false">{"Header",#N/A,TRUE,"Summary";"ProjectInfo",#N/A,TRUE,"Total Value"}</definedName>
    <definedName function="false" hidden="true" name="att" vbProcedure="false">{#N/A,#N/A,FALSE,"COVER PAGE";#N/A,#N/A,FALSE,"Page 2";#N/A,#N/A,FALSE,"Page 2";#N/A,#N/A,FALSE,"Page 4";#N/A,#N/A,FALSE,"Page5";#N/A,#N/A,FALSE,"Page 6";#N/A,#N/A,FALSE,"Page 7";#N/A,#N/A,FALSE,"Page 8";#N/A,#N/A,FALSE,"Page 10";#N/A,#N/A,FALSE,"Long-Term OCF Mult.";#N/A,#N/A,FALSE,"PCS Comp";#N/A,#N/A,FALSE,"OCS-CAPEX";#N/A,#N/A,FALSE,"Blank"}</definedName>
    <definedName function="false" hidden="true" name="avdd" vbProcedure="false">{#N/A,#N/A,FALSE,"Calc";#N/A,#N/A,FALSE,"Sensitivity";#N/A,#N/A,FALSE,"LT Earn.Dil.";#N/A,#N/A,FALSE,"Dil. AVP"}</definedName>
    <definedName function="false" hidden="true" name="aws" vbProcedure="false">{#N/A,#N/A,FALSE,"CMN_FE"}</definedName>
    <definedName function="false" hidden="true" name="b" vbProcedure="false">{"consolidated",#N/A,FALSE,"Sheet1";"cms",#N/A,FALSE,"Sheet1";"fse",#N/A,FALSE,"Sheet1"}</definedName>
    <definedName function="false" hidden="true" name="BASIC_EPS_EXCL" vbProcedure="false">"BASIC_EPS_EXCL"</definedName>
    <definedName function="false" hidden="true" name="BASIC_EPS_INCL" vbProcedure="false">"BASIC_EPS_INCL"</definedName>
    <definedName function="false" hidden="true" name="BASIC_NORMAL_EPS" vbProcedure="false">"BASIC_NORMAL_EPS"</definedName>
    <definedName function="false" hidden="true" name="BASIC_WEIGHT" vbProcedure="false">"BASIC_WEIGHT"</definedName>
    <definedName function="false" hidden="true" name="bb" vbProcedure="false">{"Header",#N/A,TRUE,"Summary";"ProjectInfo",#N/A,TRUE,"Total Value"}</definedName>
    <definedName function="false" hidden="true" name="bbb" vbProcedure="false">{"execsum",#N/A,FALSE,"ExecSum";"finstatement",#N/A,FALSE,"Fin_St"}</definedName>
    <definedName function="false" hidden="true" name="bcd" vbProcedure="false">{#N/A,#N/A,FALSE,"Inc";#N/A,#N/A,FALSE,"Prod";#N/A,#N/A,FALSE,"QInc";#N/A,#N/A,FALSE,"QProd"}</definedName>
    <definedName function="false" hidden="true" name="bcdf" vbProcedure="false">{#N/A,#N/A,FALSE,"Inc";#N/A,#N/A,FALSE,"Prod";#N/A,#N/A,FALSE,"QInc";#N/A,#N/A,FALSE,"QProd"}</definedName>
    <definedName function="false" hidden="true" name="bei" vbProcedure="false">{#N/A,#N/A,FALSE,"softdraw";#N/A,#N/A,FALSE,"linereclass";"northpint loan",#N/A,FALSE,"LOAN"}</definedName>
    <definedName function="false" hidden="true" name="berry" vbProcedure="false">{#N/A,#N/A,FALSE,"Taxblinc";#N/A,#N/A,FALSE,"Rsvsacls"}</definedName>
    <definedName function="false" hidden="true" name="bg" vbProcedure="false">{"summary",#N/A,FALSE,"Summary";"transaction",#N/A,FALSE,"Transaction";"sales",#N/A,FALSE,"Sales";"sales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function="false" hidden="true" name="bggfssgfsfws"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BG_Del" vbProcedure="false">15</definedName>
    <definedName function="false" hidden="true" name="BG_Ins" vbProcedure="false">4</definedName>
    <definedName function="false" hidden="true" name="BG_Mod" vbProcedure="false">6</definedName>
    <definedName function="false" hidden="true" name="BHGJ" vbProcedure="false">{"stepel",#N/A,FALSE,"AHFSTEP"}</definedName>
    <definedName function="false" hidden="true" name="blh"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BLPH1" vbProcedure="false">#REF!</definedName>
    <definedName function="false" hidden="true" name="BLPH2" vbProcedure="false">#REF!</definedName>
    <definedName function="false" hidden="true" name="BLPH3" vbProcedure="false">#REF!</definedName>
    <definedName function="false" hidden="true" name="BLPH4" vbProcedure="false">#REF!</definedName>
    <definedName function="false" hidden="true" name="BLPH5" vbProcedure="false">#REF!</definedName>
    <definedName function="false" hidden="true" name="BLPH6" vbProcedure="false">#REF!</definedName>
    <definedName function="false" hidden="true" name="BLPH7" vbProcedure="false">#REF!</definedName>
    <definedName function="false" hidden="true" name="BLPH9" vbProcedure="false">#REF!</definedName>
    <definedName function="false" hidden="true" name="BN" vbProcedure="false">{#N/A,#N/A,FALSE,"SUMMARY"}</definedName>
    <definedName function="false" hidden="true" name="bng" vbProcedure="false">{0}</definedName>
    <definedName function="false" hidden="true" name="bnkj" vbProcedure="false">{#N/A,#N/A,FALSE,"output";#N/A,#N/A,FALSE,"contrib";#N/A,#N/A,FALSE,"profile";#N/A,#N/A,FALSE,"comps"}</definedName>
    <definedName function="false" hidden="true" name="bnkj1" vbProcedure="false">{#N/A,#N/A,FALSE,"output";#N/A,#N/A,FALSE,"contrib";#N/A,#N/A,FALSE,"profile";#N/A,#N/A,FALSE,"comps"}</definedName>
    <definedName function="false" hidden="true" name="boh" vbProcedure="false">{"PAGE1",#N/A,FALSE,"Consolidation";"PAGE2",#N/A,FALSE,"Consolidation";"PAGE3",#N/A,FALSE,"Consolidation";"PAGE4",#N/A,FALSE,"Consolidation";"PAGE5",#N/A,FALSE,"Consolidation";"PAGE6",#N/A,FALSE,"Consolidation";"PAGE7",#N/A,FALSE,"Consolidation"}</definedName>
    <definedName function="false" hidden="true" name="BOOK_VALUE" vbProcedure="false">"BOOK_VALUE"</definedName>
    <definedName function="false" hidden="true" name="bs" vbProcedure="false">{"RATIO",#N/A,FALSE,"sch._cs";"FB",#N/A,FALSE,"sch._cs";"SP_MILL_MIX_150PRESS",#N/A,FALSE,"sch._cs"}</definedName>
    <definedName function="false" hidden="true" name="build" vbProcedure="false">{#N/A,#N/A,FALSE,"softdraw";#N/A,#N/A,FALSE,"linereclass";"northpint loan",#N/A,FALSE,"LOAN"}</definedName>
    <definedName function="false" hidden="true" name="bv" vbProcedure="false">{"Build1",#N/A,FALSE,"Buildup";"Build2",#N/A,FALSE,"Buildup";"Build3",#N/A,FALSE,"Buildup"}</definedName>
    <definedName function="false" hidden="true" name="bvc"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BV_OVER_SHARES" vbProcedure="false">"BV_OVER_SHARES"</definedName>
    <definedName function="false" hidden="true" name="Cable" vbProcedure="false">{#N/A,#N/A,FALSE,"Operations";#N/A,#N/A,FALSE,"Financials"}</definedName>
    <definedName function="false" hidden="true" name="Cable2" vbProcedure="false">{#N/A,#N/A,FALSE,"Operations";#N/A,#N/A,FALSE,"Financials"}</definedName>
    <definedName function="false" hidden="true" name="calcutta" vbProcedure="false">{#N/A,#N/A,FALSE,"CMN_FE"}</definedName>
    <definedName function="false" hidden="true" name="calcutta1" vbProcedure="false">{#N/A,#N/A,FALSE,"CMN_FE"}</definedName>
    <definedName function="false" hidden="true" name="CAPITAL_EXPEN" vbProcedure="false">"CAPITAL_EXPEN"</definedName>
    <definedName function="false" hidden="true" name="CAPITAL_LEASE" vbProcedure="false">"CAPITAL_LEASE"</definedName>
    <definedName function="false" hidden="true" name="CASH_DUE_BANKS" vbProcedure="false">"CASH_DUE_BANKS"</definedName>
    <definedName function="false" hidden="true" name="CASH_EQUIV" vbProcedure="false">"CASH_EQUIV"</definedName>
    <definedName function="false" hidden="true" name="CASH_INTEREST" vbProcedure="false">"CASH_INTEREST"</definedName>
    <definedName function="false" hidden="true" name="CASH_ST" vbProcedure="false">"CASH_ST"</definedName>
    <definedName function="false" hidden="true" name="CASH_TAXES" vbProcedure="false">"CASH_TAXES"</definedName>
    <definedName function="false" hidden="true" name="CBWorkbookPriority" vbProcedure="false">-1352570069</definedName>
    <definedName function="false" hidden="true" name="cb_sChart10D6460A_opts" vbProcedure="false">"1, 1, 1, False, 2, True, False, , 0, False, False, 1, 1"</definedName>
    <definedName function="false" hidden="true" name="cb_sChart10D65256_opts" vbProcedure="false">"1, 1, 1, False, 2, True, False, , 0, False, False, 1, 1"</definedName>
    <definedName function="false" hidden="true" name="cb_sChart10D653EB_opts" vbProcedure="false">"1, 1, 1, False, 2, True, False, , 0, False, False, 1, 1"</definedName>
    <definedName function="false" hidden="true" name="cb_sChart10D65893_opts" vbProcedure="false">"1, 1, 1, False, 2, True, False, , 0, False, False, 1, 1"</definedName>
    <definedName function="false" hidden="true" name="cb_sChart13893CA8_opts" vbProcedure="false">"1, 3, 1, False, 2, False, False, , 0, False, True, 1, 1"</definedName>
    <definedName function="false" hidden="true" name="cb_sChart138A89C6_opts" vbProcedure="false">"1, 5, 1, False, 2, True, False, , 0, False, True, 1, 1"</definedName>
    <definedName function="false" hidden="true" name="cb_sChart138A98B2_opts" vbProcedure="false">"1, 3, 1, False, 2, False, False, , 0, False, False, 1, 1"</definedName>
    <definedName function="false" hidden="true" name="cb_sChart138A9A2F_opts" vbProcedure="false">"1, 5, 1, False, 2, False, False, , 0, False, False, 1, 1"</definedName>
    <definedName function="false" hidden="true" name="cb_sChart138B4149_opts" vbProcedure="false">"1, 5, 1, False, 2, False, False, , 0, False, False, 1, 1"</definedName>
    <definedName function="false" hidden="true" name="cb_sChart155036A2_opts" vbProcedure="false">"1, 1, 1, False, 2, True, False, , 0, False, False, 1, 1"</definedName>
    <definedName function="false" hidden="true" name="cb_sChart1DB9B8D4_opts" vbProcedure="false">"1, 10, 1, False, 2, False, False, , 0, False, False, 1, 1"</definedName>
    <definedName function="false" hidden="true" name="cb_sChart1DB9C5CE_opts" vbProcedure="false">"1, 10, 1, False, 2, False, False, , 0, False, False, 1, 1"</definedName>
    <definedName function="false" hidden="true" name="cb_sChart1DBCD0EE_opts" vbProcedure="false">"1, 10, 1, False, 2, False, False, , 0, False, False, 1, 1"</definedName>
    <definedName function="false" hidden="true" name="cb_sChart1DBCD418_opts" vbProcedure="false">"1, 10, 1, False, 2, False, False, , 0, False, False, 1, 1"</definedName>
    <definedName function="false" hidden="true" name="cb_sChart41E9A35_opts" vbProcedure="false">"1, 9, 1, False, 2, False, False, , 0, False, True, 1, 1"</definedName>
    <definedName function="false" hidden="true" name="cb_sChartEE4CE1B_opts" vbProcedure="false">"1, 4, 1, False, 2, False, False, , 0, False, False, 1, 1"</definedName>
    <definedName function="false" hidden="true" name="cb_sChartEE4CF99_opts" vbProcedure="false">"1, 1, 1, False, 2, False, False, , 0, False, False, 1, 1"</definedName>
    <definedName function="false" hidden="true" name="cb_sChartEE4DD06_opts" vbProcedure="false">"1, 1, 1, False, 2, False, False, , 0, False, False, 1, 2"</definedName>
    <definedName function="false" hidden="true" name="cb_sChartEE4E93B_opts" vbProcedure="false">"1, 1, 1, False, 2, False, False, , 0, False, False, 1, 1"</definedName>
    <definedName function="false" hidden="true" name="cb_sChartEE51E95_opts" vbProcedure="false">"1, 1, 1, False, 2, False, False, , 0, False, False, 1, 1"</definedName>
    <definedName function="false" hidden="true" name="cb_sChartEED7645_opts" vbProcedure="false">"1, 1, 1, False, 2, False, False, , 0, False, False, 1, 1"</definedName>
    <definedName function="false" hidden="true" name="cb_sChartEEDA195_opts" vbProcedure="false">"1, 1, 1, False, 2, False, False, , 0, False, False, 1, 1"</definedName>
    <definedName function="false" hidden="true" name="cb_sChartEEDC338_opts" vbProcedure="false">"1, 1, 1, False, 2, False, False, , 0, False, False, 1, 1"</definedName>
    <definedName function="false" hidden="true" name="cb_sChartEEDEDB8_opts" vbProcedure="false">"1, 1, 1, False, 2, False, False, , 0, False, True, 1, 1"</definedName>
    <definedName function="false" hidden="true" name="cb_sChartEEDEE5A_opts" vbProcedure="false">"1, 3, 1, False, 2, True, False, , 0, False, True, 1, 1"</definedName>
    <definedName function="false" hidden="true" name="cb_sChartEEDF178_opts" vbProcedure="false">"1, 3, 1, False, 2, False, False, , 0, False, True, 1, 1"</definedName>
    <definedName function="false" hidden="true" name="cb_sChartF6A6B11_opts" vbProcedure="false">"1, 1, 1, False, 2, True, False, , 0, False, False, 1, 1"</definedName>
    <definedName function="false" hidden="true" name="cb_sChartFD191DC_opts" vbProcedure="false">"1, 3, 1, False, 2, True, False, , 0, False, True, 1, 1"</definedName>
    <definedName function="false" hidden="true" name="cb_sChartFD1A245_opts" vbProcedure="false">"1, 3, 1, False, 2, True, False, , 0, False, True, 1, 1"</definedName>
    <definedName function="false" hidden="true" name="cb_sChartFD3F0E9_opts" vbProcedure="false">"1, 3, 1, False, 2, True, False, , 0, False, False, 1, 1"</definedName>
    <definedName function="false" hidden="true" name="cb_sChartFD3F27E_opts" vbProcedure="false">"1, 3, 1, False, 2, True, False, , 0, False, True, 1, 1"</definedName>
    <definedName function="false" hidden="true" name="cb_sChartFD58483_opts" vbProcedure="false">"1, 1, 1, False, 2, True, False, , 0, False, False, 1, 1"</definedName>
    <definedName function="false" hidden="true" name="cb_sChartFD5C4CD_opts" vbProcedure="false">"1, 1, 1, False, 2, True, False, , 0, False, False, 1, 1"</definedName>
    <definedName function="false" hidden="true" name="cb_sChartFD5D4CE_opts" vbProcedure="false">"1, 1, 1, False, 2, True, False, , 0, False, False, 1, 1"</definedName>
    <definedName function="false" hidden="true" name="cb_sChartFD5DF34_opts" vbProcedure="false">"1, 1, 1, False, 2, True, False, , 0, False, False, 1, 1"</definedName>
    <definedName function="false" hidden="true" name="cb_sChartFD5EFC0_opts" vbProcedure="false">"1, 1, 1, False, 2, True, False, , 0, False, False, 1, 1"</definedName>
    <definedName function="false" hidden="true" name="cb_sChartFD5FDB9_opts" vbProcedure="false">"1, 1, 1, False, 2, True, False, , 0, False, False, 1, 1"</definedName>
    <definedName function="false" hidden="true" name="cb_sChartFE54712_opts" vbProcedure="false">"1, 3, 1, False, 2, True, False, , 0, False, True, 1, 1"</definedName>
    <definedName function="false" hidden="true" name="cc" vbProcedure="false">{#N/A,#N/A,FALSE,"CBE";#N/A,#N/A,FALSE,"SWK"}</definedName>
    <definedName function="false" hidden="true" name="ccc"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name="CDE" vbProcedure="false">{#N/A,#N/A,FALSE,"CMN_FE"}</definedName>
    <definedName function="false" hidden="true" name="CGFBNSDFG"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Change" vbProcedure="false">#N/A</definedName>
    <definedName function="false" hidden="true" name="Change1" vbProcedure="false">#N/A</definedName>
    <definedName function="false" hidden="true" name="Change2" vbProcedure="false">#N/A</definedName>
    <definedName function="false" hidden="true" name="Change3" vbProcedure="false">#N/A</definedName>
    <definedName function="false" hidden="true" name="Change4" vbProcedure="false">#N/A</definedName>
    <definedName function="false" hidden="true" name="Change5" vbProcedure="false">#N/A</definedName>
    <definedName function="false" hidden="true" name="ChangeRange" vbProcedure="false">#REF!</definedName>
    <definedName function="false" hidden="true" name="ChangeRange2" vbProcedure="false">#N/A</definedName>
    <definedName function="false" hidden="true" name="CHANGES_WORK_CAP" vbProcedure="false">"CHANGES_WORK_CAP"</definedName>
    <definedName function="false" hidden="true" name="chik" vbProcedure="false">{#N/A,#N/A,FALSE,"Summary";#N/A,#N/A,FALSE,"1991";#N/A,#N/A,FALSE,"91 AMT";#N/A,#N/A,FALSE,"1992";#N/A,#N/A,FALSE,"92 AMT";#N/A,#N/A,FALSE,"1993";#N/A,#N/A,FALSE,"93 AMT"}</definedName>
    <definedName function="false" hidden="true" name="cioPipeline2" vbProcedure="false">{"'TFC (new)'!$E$1:$K$51"}</definedName>
    <definedName function="false" hidden="true" name="Cipla2"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name="CIQWBGuid" vbProcedure="false">"5f849e89-7bcc-4f83-be19-55401551e610"</definedName>
    <definedName function="false" hidden="true" name="CITY" vbProcedure="false">"CITY"</definedName>
    <definedName function="false" hidden="true" name="COBRA" vbProcedure="false">{#N/A,#N/A,FALSE,"softdraw";#N/A,#N/A,FALSE,"linereclass";"northpint loan",#N/A,FALSE,"LOAN"}</definedName>
    <definedName function="false" hidden="true" name="COBRA1" vbProcedure="false">{#N/A,#N/A,FALSE,"softdraw";#N/A,#N/A,FALSE,"linereclass";"northpint loan",#N/A,FALSE,"LOAN"}</definedName>
    <definedName function="false" hidden="true" name="Combined" vbProcedure="false">{#N/A,#N/A,FALSE,"OnePager"}</definedName>
    <definedName function="false" hidden="true" name="comments" vbProcedure="false">{#N/A,#N/A,FALSE,"NEW FORMAT "}</definedName>
    <definedName function="false" hidden="true" name="Comments1" vbProcedure="false">{#N/A,#N/A,FALSE,"NEW FORMAT "}</definedName>
    <definedName function="false" hidden="true" name="Comments1.1" vbProcedure="false">{#N/A,#N/A,FALSE,"NEW FORMAT "}</definedName>
    <definedName function="false" hidden="true" name="comments1.1.1" vbProcedure="false">{#N/A,#N/A,FALSE,"NEW FORMAT "}</definedName>
    <definedName function="false" hidden="true" name="comments2" vbProcedure="false">{#N/A,#N/A,FALSE,"NEW FORMAT "}</definedName>
    <definedName function="false" hidden="true" name="comments23" vbProcedure="false">{#N/A,#N/A,FALSE,"NEW FORMAT "}</definedName>
    <definedName function="false" hidden="true" name="comments3" vbProcedure="false">{#N/A,#N/A,FALSE,"NEW FORMAT "}</definedName>
    <definedName function="false" hidden="true" name="comments4" vbProcedure="false">{#N/A,#N/A,FALSE,"NEW FORMAT "}</definedName>
    <definedName function="false" hidden="true" name="COMMON_STOCK" vbProcedure="false">"COMMON_STOCK"</definedName>
    <definedName function="false" hidden="true" name="COMPANY_ADDRESS" vbProcedure="false">"COMPANY_ADDRESS"</definedName>
    <definedName function="false" hidden="true" name="COMPANY_PHONE" vbProcedure="false">"COMPANY_PHONE"</definedName>
    <definedName function="false" hidden="true" name="COMPANY_STREET1" vbProcedure="false">"COMPANY_STREET1"</definedName>
    <definedName function="false" hidden="true" name="COMPANY_STREET2" vbProcedure="false">"COMPANY_STREET2"</definedName>
    <definedName function="false" hidden="true" name="COMPANY_TICKER" vbProcedure="false">"COMPANY_TICKER"</definedName>
    <definedName function="false" hidden="true" name="COMPANY_WEBSITE" vbProcedure="false">"COMPANY_WEBSITE"</definedName>
    <definedName function="false" hidden="true" name="COMPANY_ZIP" vbProcedure="false">"COMPANY_ZIP"</definedName>
    <definedName function="false" hidden="true" name="Comparable" vbProcedure="false">{"First Page",#N/A,FALSE,"Surfactants LBO";"Second Page",#N/A,FALSE,"Surfactants LBO"}</definedName>
    <definedName function="false" hidden="true" name="Condensed" vbProcedure="false">{"execsum",#N/A,FALSE,"ExecSum";"finstatement",#N/A,FALSE,"Fin_St"}</definedName>
    <definedName function="false" hidden="true" name="ContentsHelp" vbProcedure="false">#REF!</definedName>
    <definedName function="false" hidden="true" name="cooper2" vbProcedure="false">{#N/A,#N/A,TRUE,"Pro Forma";#N/A,#N/A,TRUE,"PF_Bal";#N/A,#N/A,TRUE,"PF_INC";#N/A,#N/A,TRUE,"CBE";#N/A,#N/A,TRUE,"SWK"}</definedName>
    <definedName function="false" hidden="true" name="copy" vbProcedure="false">{"'Customer Support Trends'!$A$1:$AB$13"}</definedName>
    <definedName function="false" hidden="true" name="copy1" vbProcedure="false">{#N/A,#N/A,TRUE,"Pro Forma";#N/A,#N/A,TRUE,"PF_Bal";#N/A,#N/A,TRUE,"PF_INC";#N/A,#N/A,TRUE,"CBE";#N/A,#N/A,TRUE,"SWK"}</definedName>
    <definedName function="false" hidden="true" name="copy2" vbProcedure="false">{#N/A,#N/A,TRUE,"financial";#N/A,#N/A,TRUE,"plants"}</definedName>
    <definedName function="false" hidden="true" name="copy3" vbProcedure="false">{#N/A,#N/A,TRUE,"Pro Forma";#N/A,#N/A,TRUE,"PF_Bal";#N/A,#N/A,TRUE,"PF_INC";#N/A,#N/A,TRUE,"CBE";#N/A,#N/A,TRUE,"SWK"}</definedName>
    <definedName function="false" hidden="true" name="COST_REVENUE" vbProcedure="false">"COST_REVENUE"</definedName>
    <definedName function="false" hidden="true" name="COUNTRY_NAME" vbProcedure="false">"COUNTRY_NAME"</definedName>
    <definedName function="false" hidden="true" name="CreateTable" vbProcedure="false">#REF!</definedName>
    <definedName function="false" hidden="true" name="CSDCDS" vbProcedure="false">#REF!</definedName>
    <definedName function="false" hidden="true" name="CSG" vbProcedure="false">{"cap_structure",#N/A,FALSE,"Graph-Mkt Cap";"price",#N/A,FALSE,"Graph-Price";"ebit",#N/A,FALSE,"Graph-EBITDA";"ebitda",#N/A,FALSE,"Graph-EBITDA"}</definedName>
    <definedName function="false" hidden="true" name="CURRENT_PORT" vbProcedure="false">"CURRENT_PORT"</definedName>
    <definedName function="false" hidden="true" name="CURRENT_RATIO" vbProcedure="false">"CURRENT_RATIO"</definedName>
    <definedName function="false" hidden="true" name="cv" vbProcedure="false">{"CF_YEARLY",#N/A,FALSE,"CF";"CF_Y1",#N/A,FALSE,"CF";"CF_Y2",#N/A,FALSE,"CF";"CF_Y3",#N/A,FALSE,"CF";"CF_Y4",#N/A,FALSE,"CF";"CF_Y5",#N/A,FALSE,"CF";"CF_Y6",#N/A,FALSE,"CF"}</definedName>
    <definedName function="false" hidden="true" name="CVV" vbProcedure="false">{"CF_YEARLY",#N/A,FALSE,"CF";"CF_Y1",#N/A,FALSE,"CF";"CF_Y2",#N/A,FALSE,"CF";"CF_Y3",#N/A,FALSE,"CF";"CF_Y4",#N/A,FALSE,"CF";"CF_Y5",#N/A,FALSE,"CF";"CF_Y6",#N/A,FALSE,"CF"}</definedName>
    <definedName function="false" hidden="true" name="cx" vbProcedure="false">{"summary",#N/A,FALSE,"Summary";"transaction",#N/A,FALSE,"Transaction";"sales",#N/A,FALSE,"Sales";"sales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function="false" hidden="true" name="cxnn" vbProcedure="false">{0}</definedName>
    <definedName function="false" hidden="true" name="cxvbvcxb" vbProcedure="false">#REF!</definedName>
    <definedName function="false" hidden="true" name="C_40"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name="d" vbProcedure="false">{#N/A,#N/A,FALSE,"COVER PAGE";#N/A,#N/A,FALSE,"Page 2";#N/A,#N/A,FALSE,"Page 2";#N/A,#N/A,FALSE,"Page 4";#N/A,#N/A,FALSE,"Page5";#N/A,#N/A,FALSE,"Page 6";#N/A,#N/A,FALSE,"Page 7";#N/A,#N/A,FALSE,"Page 8";#N/A,#N/A,FALSE,"Page 10";#N/A,#N/A,FALSE,"Long-Term OCF Mult.";#N/A,#N/A,FALSE,"PCS Comp";#N/A,#N/A,FALSE,"OCS-CAPEX";#N/A,#N/A,FALSE,"Blank"}</definedName>
    <definedName function="false" hidden="true" name="dasdg" vbProcedure="false">{#N/A,"Base Case",FALSE,"Revenue";#N/A,"£6.25 Fee",FALSE,"Revenue"}</definedName>
    <definedName function="false" hidden="true" name="DAYS_PAY_OUTST" vbProcedure="false">"DAYS_PAY_OUTST"</definedName>
    <definedName function="false" hidden="true" name="DAYS_SALES_OUTST" vbProcedure="false">"DAYS_SALES_OUTST"</definedName>
    <definedName function="false" hidden="true" name="dc"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true" name="dcseasdsdw"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dd" vbProcedure="false">{"Header",#N/A,TRUE,"Summary";"ProjectInfo",#N/A,TRUE,"Total Value"}</definedName>
    <definedName function="false" hidden="true" name="ddd" vbProcedure="false">{#N/A,#N/A,FALSE,"High Level";#N/A,#N/A,FALSE,"Position Summaries";#N/A,#N/A,FALSE,"Position Listing"}</definedName>
    <definedName function="false" hidden="true" name="ddddd"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dddddd" vbProcedure="false">{"FCB_ALL",#N/A,FALSE,"FCB";"GREY_ALL",#N/A,FALSE,"GREY"}</definedName>
    <definedName function="false" hidden="true" name="ddddddddddddddddddddd" vbProcedure="false">{"fdsup://Directions/FactSet Auditing Viewer?action=AUDIT_VALUE&amp;DB=129&amp;ID1=71693310&amp;VALUEID=02001&amp;SDATE=201003&amp;PERIODTYPE=QTR_STD&amp;window=popup_no_bar&amp;width=385&amp;height=120&amp;START_MAXIMIZED=FALSE&amp;creator=factset&amp;display_string=Audit"}</definedName>
    <definedName function="false" hidden="true" name="dddddddddddddddddddddd" vbProcedure="false">{"fdsup://Directions/FactSet Auditing Viewer?action=AUDIT_VALUE&amp;DB=129&amp;ID1=98411C10&amp;VALUEID=02001&amp;SDATE=201001&amp;PERIODTYPE=QTR_STD&amp;window=popup_no_bar&amp;width=385&amp;height=120&amp;START_MAXIMIZED=FALSE&amp;creator=factset&amp;display_string=Audit"}</definedName>
    <definedName function="false" hidden="true" name="DDF" vbProcedure="false">{#N/A,#N/A,FALSE,"AHF"}</definedName>
    <definedName function="false" hidden="true" name="ded" vbProcedure="false">{#N/A,#N/A,TRUE,"Julio";#N/A,#N/A,TRUE,"Agosto";#N/A,#N/A,TRUE,"BHCo";#N/A,#N/A,TRUE,"Abril";#N/A,#N/A,TRUE,"Pro Forma"}</definedName>
    <definedName function="false" hidden="true" name="Deduct" vbProcedure="false">{"PL_YEARLY",#N/A,FALSE,"PL";"PL_Y1",#N/A,FALSE,"PL";"PL_Y2",#N/A,FALSE,"PL";"PL_Y3",#N/A,FALSE,"PL";"PL_Y4",#N/A,FALSE,"PL";"PL_Y5",#N/A,FALSE,"PL";"PL_Y6",#N/A,FALSE,"PL"}</definedName>
    <definedName function="false" hidden="true" name="DEFC" vbProcedure="false">{#N/A,#N/A,FALSE,"SUMMARY"}</definedName>
    <definedName function="false" hidden="true" name="DEFERRED_INC_TAX" vbProcedure="false">"DEFERRED_INC_TAX"</definedName>
    <definedName function="false" hidden="true" name="DEFERRED_TAXES" vbProcedure="false">"DEFERRED_TAXES"</definedName>
    <definedName function="false" hidden="true" name="defgh" vbProcedure="false">{#N/A,#N/A,TRUE,"Cover";#N/A,#N/A,TRUE,"Valuation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function="false" hidden="true" name="DeleteRange" vbProcedure="false">#REF!</definedName>
    <definedName function="false" hidden="true" name="DeleteTable" vbProcedure="false">#REF!</definedName>
    <definedName function="false" hidden="true" name="dental4" vbProcedure="false">{"'webcensus'!$A$1:$G$34","'webcensus'!$A$1:$G$33"}</definedName>
    <definedName function="false" hidden="true" name="DEPRE_AMORT" vbProcedure="false">"DEPRE_AMORT"</definedName>
    <definedName function="false" hidden="true" name="DEPRE_AMORT_SUPPL" vbProcedure="false">"DEPRE_AMORT_SUPPL"</definedName>
    <definedName function="false" hidden="true" name="DEPRE_DEPLE" vbProcedure="false">"DEPRE_DEPLE"</definedName>
    <definedName function="false" hidden="true" name="DEPRE_SUPP" vbProcedure="false">"DEPRE_SUPP"</definedName>
    <definedName function="false" hidden="true" name="DESCRIPTION_LONG" vbProcedure="false">"DESCRIPTION_LONG"</definedName>
    <definedName function="false" hidden="true" name="df" vbProcedure="false">{#N/A,"Base Case",FALSE,"Revenue";#N/A,"£6.25 Fee",FALSE,"Revenue"}</definedName>
    <definedName function="false" hidden="true" name="dfadfasdf" vbProcedure="false">{#N/A,#N/A,TRUE,"Summary";#N/A,#N/A,TRUE,"Detail"}</definedName>
    <definedName function="false" hidden="true" name="dfd" vbProcedure="false">{"comp1",#N/A,FALSE,"COMPS";"footnotes",#N/A,FALSE,"COMPS"}</definedName>
    <definedName function="false" hidden="true" name="dfdas" vbProcedure="false">{"FCB_ALL",#N/A,FALSE,"FCB";"GREY_ALL",#N/A,FALSE,"GREY"}</definedName>
    <definedName function="false" hidden="true" name="dfdfdfd" vbProcedure="false">{"FCB_ALL",#N/A,FALSE,"FCB"}</definedName>
    <definedName function="false" hidden="true" name="DFFDG" vbProcedure="false">#REF!</definedName>
    <definedName function="false" hidden="true" name="DFGE"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dfhfh" vbProcedure="false">#REF!</definedName>
    <definedName function="false" hidden="true" name="DFHJFGH"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dfi" vbProcedure="false">{"stepel",#N/A,FALSE,"AHFSTEP"}</definedName>
    <definedName function="false" hidden="true" name="DFS" vbProcedure="false">{"stepel",#N/A,FALSE,"AHFSTEP"}</definedName>
    <definedName function="false" hidden="true" name="dfsdfbsfb" vbProcedure="false">{0}</definedName>
    <definedName function="false" hidden="true" name="dgcbndgnfg" vbProcedure="false">{0}</definedName>
    <definedName function="false" hidden="true" name="dgfasgagf"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dgflf"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dgndgndg" vbProcedure="false">{0}</definedName>
    <definedName function="false" hidden="true" name="dgndhgn" vbProcedure="false">#REF!</definedName>
    <definedName function="false" hidden="true" name="DGW" vbProcedure="false">{"'webcensus'!$A$1:$G$34","'webcensus'!$A$1:$G$33"}</definedName>
    <definedName function="false" hidden="true" name="dhberzsnh" vbProcedure="false">{0}</definedName>
    <definedName function="false" hidden="true" name="dhg" vbProcedure="false">{"BS_YEARLY",#N/A,FALSE,"BS";"BS_Y1",#N/A,FALSE,"BS";"BS_Y2",#N/A,FALSE,"BS";"BS_Y3",#N/A,FALSE,"BS";"BS_Y4",#N/A,FALSE,"BS";"BS_Y5",#N/A,FALSE,"BS";"BS_Y6",#N/A,FALSE,"BS"}</definedName>
    <definedName function="false" hidden="true" name="dhgndn" vbProcedure="false">#REF!</definedName>
    <definedName function="false" hidden="true" name="dhshs" vbProcedure="false">{0}</definedName>
    <definedName function="false" hidden="true" name="Did" vbProcedure="false">{"Salesass",#N/A,FALSE,"assumpt"}</definedName>
    <definedName function="false" hidden="true" name="DILUT_ADJUST" vbProcedure="false">"DILUT_ADJUST"</definedName>
    <definedName function="false" hidden="true" name="DILUT_EPS_EXCL" vbProcedure="false">"DILUT_EPS_EXCL"</definedName>
    <definedName function="false" hidden="true" name="DILUT_EPS_INCL" vbProcedure="false">"DILUT_EPS_INCL"</definedName>
    <definedName function="false" hidden="true" name="DILUT_NORMAL_EPS" vbProcedure="false">"DILUT_NORMAL_EPS"</definedName>
    <definedName function="false" hidden="true" name="DILUT_WEIGHT" vbProcedure="false">"DILUT_WEIGHT"</definedName>
    <definedName function="false" hidden="true" name="DISCONT_OPER" vbProcedure="false">"DISCONT_OPER"</definedName>
    <definedName function="false" hidden="true" name="DIVID_SHARE" vbProcedure="false">"DIVID_SHARE"</definedName>
    <definedName function="false" hidden="true" name="dlasdlalsdla"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dqw"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dqwpwp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dre" vbProcedure="false">{"comp1",#N/A,FALSE,"COMPS";"footnotes",#N/A,FALSE,"COMPS"}</definedName>
    <definedName function="false" hidden="true" name="dreyer" vbProcedure="false">{"FCB_ALL",#N/A,FALSE,"FCB"}</definedName>
    <definedName function="false" hidden="true" name="ds" vbProcedure="false">{"Build1",#N/A,FALSE,"Buildup";"Build2",#N/A,FALSE,"Buildup";"Build3",#N/A,FALSE,"Buildup"}</definedName>
    <definedName function="false" hidden="true" name="dsdfsdfsdf" vbProcedure="false">#REF!</definedName>
    <definedName function="false" hidden="true" name="dsds" vbProcedure="false">{#N/A,#N/A,FALSE,"CMN_FE"}</definedName>
    <definedName function="false" hidden="true" name="dsds1" vbProcedure="false">{#N/A,#N/A,FALSE,"CMN_FE"}</definedName>
    <definedName function="false" hidden="true" name="dsf" vbProcedure="false">{"PL_YEARLY",#N/A,FALSE,"PL";"PL_Y1",#N/A,FALSE,"PL";"PL_Y2",#N/A,FALSE,"PL";"PL_Y3",#N/A,FALSE,"PL";"PL_Y4",#N/A,FALSE,"PL";"PL_Y5",#N/A,FALSE,"PL";"PL_Y6",#N/A,FALSE,"PL"}</definedName>
    <definedName function="false" hidden="true" name="dsfkjs" vbProcedure="false">2</definedName>
    <definedName function="false" hidden="true" name="dsjkfh"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dtu" vbProcedure="false">{#N/A,#N/A,TRUE,"financial";#N/A,#N/A,TRUE,"plants"}</definedName>
    <definedName function="false" hidden="true" name="e" vbProcedure="false">{"casespecific",#N/A,FALSE,"Assumptions"}</definedName>
    <definedName function="false" hidden="true" name="e3232rd" vbProcedure="false">{#N/A,#N/A,FALSE,"CMN_FE"}</definedName>
    <definedName function="false" hidden="true" name="e3232rd1" vbProcedure="false">{#N/A,#N/A,FALSE,"CMN_FE"}</definedName>
    <definedName function="false" hidden="true" name="earn"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earns"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EBITDA_10K" vbProcedure="false">"EBITDA_10K"</definedName>
    <definedName function="false" hidden="true" name="EBITDA_10Q" vbProcedure="false">"EBITDA_10Q"</definedName>
    <definedName function="false" hidden="true" name="EBITDA_10Q1" vbProcedure="false">"EBITDA_10Q1"</definedName>
    <definedName function="false" hidden="true" name="EBITDA_CAPEX_OVER_TOTAL_IE" vbProcedure="false">"EBITDA_CAPEX_OVER_TOTAL_IE"</definedName>
    <definedName function="false" hidden="true" name="EBITDA_GROWTH_1" vbProcedure="false">"EBITDA_GROWTH_1"</definedName>
    <definedName function="false" hidden="true" name="EBITDA_GROWTH_2" vbProcedure="false">"EBITDA_GROWTH_2"</definedName>
    <definedName function="false" hidden="true" name="EBITDA_MARGIN" vbProcedure="false">"EBITDA_MARGIN"</definedName>
    <definedName function="false" hidden="true" name="EBITDA_OVER_TOTAL_IE" vbProcedure="false">"EBITDA_OVER_TOTAL_IE"</definedName>
    <definedName function="false" hidden="true" name="EBIT_10K" vbProcedure="false">"EBIT_10K"</definedName>
    <definedName function="false" hidden="true" name="EBIT_10Q" vbProcedure="false">"EBIT_10Q"</definedName>
    <definedName function="false" hidden="true" name="EBIT_10Q1" vbProcedure="false">"EBIT_10Q1"</definedName>
    <definedName function="false" hidden="true" name="EBIT_GROWTH_1" vbProcedure="false">"EBIT_GROWTH_1"</definedName>
    <definedName function="false" hidden="true" name="EBIT_GROWTH_2" vbProcedure="false">"EBIT_GROWTH_2"</definedName>
    <definedName function="false" hidden="true" name="EBIT_MARGIN" vbProcedure="false">"EBIT_MARGIN"</definedName>
    <definedName function="false" hidden="true" name="EBIT_OVER_IE" vbProcedure="false">"EBIT_OVER_IE"</definedName>
    <definedName function="false" hidden="true" name="ed5dyx" vbProcedure="false">{#N/A,#N/A,FALSE,"CBE";#N/A,#N/A,FALSE,"SWK"}</definedName>
    <definedName function="false" hidden="true" name="edghlrl"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edp" vbProcedure="false">{"assumption 50 50",#N/A,TRUE,"Merger";"has gets cash",#N/A,TRUE,"Merger";"accretion dilution",#N/A,TRUE,"Merger";"comparison credit stats",#N/A,TRUE,"Merger";"pf credit stats",#N/A,TRUE,"Merger";"pf sheets",#N/A,TRUE,"Merger"}</definedName>
    <definedName function="false" hidden="true" name="ee" vbProcedure="false">{#N/A,#N/A,FALSE,"Assumps";#N/A,#N/A,FALSE,"Data";#N/A,#N/A,FALSE,"Data (2)";#N/A,#N/A,FALSE,"AcqyrP&amp;L";#N/A,#N/A,FALSE,"Acq+1P&amp;L";#N/A,#N/A,FALSE,"Acq+2P&amp;L";#N/A,#N/A,FALSE,"Cashflow";#N/A,#N/A,FALSE,"BalSheet";#N/A,#N/A,FALSE,"Bidder";#N/A,#N/A,FALSE,"Target";#N/A,#N/A,FALSE,"Tgtann";#N/A,#N/A,FALSE,"Topt";#N/A,#N/A,FALSE,"Disp";#N/A,#N/A,FALSE,"Dann";#N/A,#N/A,FALSE,"Syns"}</definedName>
    <definedName function="false" hidden="true" name="eeee" vbProcedure="false">{#N/A,#N/A,FALSE,"Calc";#N/A,#N/A,FALSE,"Sensitivity";#N/A,#N/A,FALSE,"LT Earn.Dil.";#N/A,#N/A,FALSE,"Dil. AVP"}</definedName>
    <definedName function="false" hidden="true" name="eeeeeeeeeeeeee" vbProcedure="false">{"fdsup://Directions/FactSet Auditing Viewer?action=AUDIT_VALUE&amp;DB=129&amp;ID1=45253H10&amp;VALUEID=02001&amp;SDATE=201003&amp;PERIODTYPE=QTR_STD&amp;window=popup_no_bar&amp;width=385&amp;height=120&amp;START_MAXIMIZED=FALSE&amp;creator=factset&amp;display_string=Audit"}</definedName>
    <definedName function="false" hidden="true" name="eer"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EFFECT_SPECIAL_CHARGE" vbProcedure="false">"EFFECT_SPECIAL_CHARGE"</definedName>
    <definedName function="false" hidden="true" name="efin" vbProcedure="false">{#N/A,#N/A,FALSE,"Output";#N/A,#N/A,FALSE,"Cover Sheet";#N/A,#N/A,FALSE,"Current Mkt. Projections"}</definedName>
    <definedName function="false" hidden="true" name="efn" vbProcedure="false">{#N/A,#N/A,TRUE,"DCF Summary";#N/A,#N/A,TRUE,"Casema";#N/A,#N/A,TRUE,"UK";#N/A,#N/A,TRUE,"RCF";#N/A,#N/A,TRUE,"Intercable CZ";#N/A,#N/A,TRUE,"Interkabel P";#N/A,#N/A,TRUE,"LBO-Total";#N/A,#N/A,TRUE,"LBO-Casema"}</definedName>
    <definedName function="false" hidden="true" name="efweufwbf"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name="emil1" vbProcedure="false">{#N/A,#N/A,FALSE,"Calc";#N/A,#N/A,FALSE,"Sensitivity";#N/A,#N/A,FALSE,"LT Earn.Dil.";#N/A,#N/A,FALSE,"Dil. AVP"}</definedName>
    <definedName function="false" hidden="true" name="emily" vbProcedure="false">{#N/A,#N/A,FALSE,"Calc";#N/A,#N/A,FALSE,"Sensitivity";#N/A,#N/A,FALSE,"LT Earn.Dil.";#N/A,#N/A,FALSE,"Dil. AVP"}</definedName>
    <definedName function="false" hidden="true" name="emily1" vbProcedure="false">{#N/A,#N/A,FALSE,"Calc";#N/A,#N/A,FALSE,"Sensitivity";#N/A,#N/A,FALSE,"LT Earn.Dil.";#N/A,#N/A,FALSE,"Dil. AVP"}</definedName>
    <definedName function="false" hidden="true" name="emily10" vbProcedure="false">{#N/A,#N/A,FALSE,"Calc";#N/A,#N/A,FALSE,"Sensitivity";#N/A,#N/A,FALSE,"LT Earn.Dil.";#N/A,#N/A,FALSE,"Dil. AVP"}</definedName>
    <definedName function="false" hidden="true" name="emily100" vbProcedure="false">{#N/A,#N/A,FALSE,"Calc";#N/A,#N/A,FALSE,"Sensitivity";#N/A,#N/A,FALSE,"LT Earn.Dil.";#N/A,#N/A,FALSE,"Dil. AVP"}</definedName>
    <definedName function="false" hidden="true" name="EMPLOYEES" vbProcedure="false">"EMPLOYEES"</definedName>
    <definedName function="false" hidden="true" name="ENG_BI_EXEC_CMD_ARGS" vbProcedure="false">"03304607806507208207308704104507303704607512708407308306508709109606708806907006606707007008913413206807008909008107306105713012310411911510512709811710606807008806909109506908606607907009109109910009308707608509110409609408806507507404805813412309911"</definedName>
    <definedName function="false" hidden="true" name="ENG_BI_EXEC_CMD_ARGS_1" vbProcedure="false">"03304607808408207608509807807803605007003304907412708906908707207908410406808007306906507206607409812512707306708509308007306605313413009611212310611910211610507306609207808209007408306210312111309609510410011609711210212612809511611910512710611610507"</definedName>
    <definedName function="false" hidden="true" name="ENG_BI_EXEC_CMD_ARGS_2" vbProcedure="false">"71151061220971201060680750740660840740770800760611031030971301341230991171151061220971201060680750920840690910620841021031050560480570941151051191261240991121181101181061231020680750810660880830910840820770700830710870660780620570570640510570660500570"</definedName>
    <definedName function="false" hidden="true" name="ENG_BI_EXEC_CMD_ARGS_2_1" vbProcedure="false">"30670680690840690810790800681000981061221261280951161191051271061161050730670860870690860660831061101020510570490861201011181301231041211141091230981171050680700850650920900880790910690620880670860700770670590490540640500530550590530560530680570540590"</definedName>
    <definedName function="false" hidden="true" name="ENG_BI_EXEC_CMD_ARGS_3" vbProcedure="false">"68058060054048061064049064057059056061060050055053063058050068056052055068055058064049057056059059058049063055050050063050057055059058062050059058055051064051059064050057068049061062060050053052063054051060066050051057060050055050129128095121126098112"</definedName>
    <definedName function="false" hidden="true" name="ENG_BI_EXEC_CMD_ARGS_3_1" vbProcedure="false">"61055060055049054064050059064059054053060050058050063054055062066050055061060058061059053053052068063054063054056060054053063054050057066057057068050050057059054054057068066055063054055055063049057062059058061058125132096113122098112110099085074078075"</definedName>
    <definedName function="false" hidden="true" name="ENG_BI_EXEC_CMD_ARGS_4" vbProcedure="false">"11010007706907807507207907707606210111912612410011212110310811410806507107208106607106807008908908907606205313412409611711710211310510807406707108506606808007907508407809409007008207006606908207308213012308809106807308707006908406508607007709206805012"</definedName>
    <definedName function="false" hidden="true" name="ENG_BI_EXEC_CMD_ARGS_4_1" vbProcedure="false">"072080069073061105115125132102113117107109106104065071072080074076068070089090081073061057130123104119118098117106100070067071085065076085079075084079086087069086066084087078086089078079126128079086073069091078068084070083066081083065054125"</definedName>
    <definedName function="false" hidden="true" name="ENG_BI_EXEC_CMD_ARGS_5" vbProcedure="false">"1058126"</definedName>
    <definedName function="false" hidden="true" name="ENG_BI_EXE_NAME" vbProcedure="false">"BICORE.EXE"</definedName>
    <definedName function="false" hidden="true" name="ENG_BI_GEN_LIC" vbProcedure="false">"0"</definedName>
    <definedName function="false" hidden="true" name="ENG_BI_GEN_LIC_WS" vbProcedure="false">"True"</definedName>
    <definedName function="false" hidden="true" name="ENG_BI_LANG_CODE" vbProcedure="false">"en"</definedName>
    <definedName function="false" hidden="true" name="ENG_BI_LBI" vbProcedure="false">"JXRLU1PPG6"</definedName>
    <definedName function="false" hidden="true" name="ENG_BI_LBI_1" vbProcedure="false">"XC5Y8G33UL"</definedName>
    <definedName function="false" hidden="true" name="ENG_BI_PROFILE_PATH" vbProcedure="false">"C:\ProgramData\Alchemex\AlchemexSmartReporting\MetaData\Demonstration Report Designer S300SQL 1-0-0\BICORE_profiler_20130606_122453.csv"</definedName>
    <definedName function="false" hidden="true" name="ENG_BI_REPOS_FILE" vbProcedure="false">"\\NEW-NET-SAGE01\Sage300data\BXDATA\SQL\alchemex.svd"</definedName>
    <definedName function="false" hidden="true" name="ENG_BI_REPOS_FILE_1" vbProcedure="false">"\\cym-sage\apps\sage\sage300data\BXDATA\SQL\alchemex.svd"</definedName>
    <definedName function="false" hidden="true" name="ENG_BI_REPOS_PATH" vbProcedure="false">"\\NEW-NET-SAGE01\Sage300data\BXDATA\SQL\"</definedName>
    <definedName function="false" hidden="true" name="ENG_BI_REPOS_PATH_1" vbProcedure="false">"\\cym-sage\apps\sage\sage300data\BXDATA\SQL\"</definedName>
    <definedName function="false" hidden="true" name="ENG_BI_TLA" vbProcedure="false">"168;185;242;112;195;58;159;215;206;235;115;12;28;142;250;214;266;56;49;112;118;215;197;168;154;93;180;182;224;264;233;34"</definedName>
    <definedName function="false" hidden="true" name="ENG_BI_TLA2" vbProcedure="false">"198;91;10;156;28;51;244;247;36;63;111;189;172;112;109;216;188;229;43;143;71;235;74;28;78;22;101;212;232;196;243;105"</definedName>
    <definedName function="false" hidden="true" name="ENG_BI_TLA2_1" vbProcedure="false">"200;173;12;245;218;130;24;206;132;11;200;20;41;179;6;10;33;164;181;154;110;197;159;153;139;182;79;150;249;109;225;109"</definedName>
    <definedName function="false" hidden="true" name="ENG_BI_TLA_1" vbProcedure="false">"43;192;150;222;194;198;95;241;140;96;32;159;203;122;264;185;219;35;227;63;230;162;43;266;28;215;70;244;130;73;35;255"</definedName>
    <definedName function="false" hidden="true" name="EPMWorkbookOptions_2" vbProcedure="false">"q3vjqr64u7ezs3v39/7i+evpPF9k28WyabPlNP/IvjW7+a2PqNc0ffwqP6/zZv7l8stVvjw6z8omf3w3/JDbnZR5Vj/N2uzL5evsMjctux9zWzOWl3XV5tM2n5nW/S/C9lez9K58dNb8ZFYX2aTMv8jrCweh9zmRzoJV2h39P45h/1l2AQAA"</definedName>
    <definedName function="false" hidden="true" name="EPS_10K" vbProcedure="false">"EPS_10K"</definedName>
    <definedName function="false" hidden="true" name="EPS_10Q" vbProcedure="false">"EPS_10Q"</definedName>
    <definedName function="false" hidden="true" name="EPS_10Q1" vbProcedure="false">"EPS_10Q1"</definedName>
    <definedName function="false" hidden="true" name="EPS_EST" vbProcedure="false">"EPS_EST"</definedName>
    <definedName function="false" hidden="true" name="EPS_EST_1" vbProcedure="false">"EPS_EST_1"</definedName>
    <definedName function="false" hidden="true" name="eq" vbProcedure="false">{"fdsup://directions/FAT Viewer?action=UPDATE&amp;creator=factset&amp;DYN_ARGS=TRUE&amp;DOC_NAME=FAT:FQL_AUDITING_CLIENT_TEMPLATE.FAT&amp;display_string=Audit&amp;VAR:KEY=FAPQHUDGNA&amp;VAR:QUERY=RkZfRU5UUlBSX1ZBTF9EQUlMWSg0MDIyMSwsLCwsJ0RJTCcp&amp;WINDOW=FIRST_POPUP&amp;HEIGHT=450&amp;WIDTH=","450&amp;START_MAXIMIZED=FALSE&amp;VAR:CALENDAR=US&amp;VAR:SYMBOL=ZGEN&amp;VAR:INDEX=0"}</definedName>
    <definedName function="false" hidden="true" name="EQUITY_AFFIL" vbProcedure="false">"EQUITY_AFFIL"</definedName>
    <definedName function="false" hidden="true" name="EQUITY_MARKET_VAL" vbProcedure="false">"EQUITY_MARKET_VAL"</definedName>
    <definedName function="false" hidden="true" name="EQV_OVER_BV" vbProcedure="false">"EQV_OVER_BV"</definedName>
    <definedName function="false" hidden="true" name="EQV_OVER_LTM_PRETAX_INC" vbProcedure="false">"EQV_OVER_LTM_PRETAX_INC"</definedName>
    <definedName function="false" hidden="true" name="er" vbProcedure="false">{"sales",#N/A,FALSE,"Sales";"sales existing",#N/A,FALSE,"Sales";"sales rd1",#N/A,FALSE,"Sales";"sales rd2",#N/A,FALSE,"Sales"}</definedName>
    <definedName function="false" hidden="true" name="ererer" vbProcedure="false">#REF!</definedName>
    <definedName function="false" hidden="true" name="erfe"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name="erhethet" vbProcedure="false">{0}</definedName>
    <definedName function="false" hidden="true" name="ert"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ERTY" vbProcedure="false">#REF!</definedName>
    <definedName function="false" hidden="true" name="esnrc100c1_values" vbProcedure="false">{"FTSE100","COMPANIES",TRUE}</definedName>
    <definedName function="false" hidden="true" name="esnrc14c1_values" vbProcedure="false">{"FTSE44","COMPANIES",TRUE}</definedName>
    <definedName function="false" hidden="true" name="esnrc1c1_values" vbProcedure="false">{"HUBAN","COMPANIES",TRUE}</definedName>
    <definedName function="false" hidden="true" name="esnrc33c1_values" vbProcedure="false">{"EUMOT","COMPANIES",TRUE}</definedName>
    <definedName function="false" hidden="true" name="esnrc46c1_values" vbProcedure="false">{"PL","COMPANIES",TRUE}</definedName>
    <definedName function="false" hidden="true" name="esnrc4c1_values" vbProcedure="false">{"GRBAN","COMPANIES",TRUE}</definedName>
    <definedName function="false" hidden="true" name="esnrc56c1_values" vbProcedure="false">{"ASCONGRP","COMPANIES",TRUE}</definedName>
    <definedName function="false" hidden="true" name="esnrc63c1_values" vbProcedure="false">{"EUUTIGRP","COMPANIES",TRUE}</definedName>
    <definedName function="false" hidden="true" name="esnrc6c1_values" vbProcedure="false">{"350FTSE44","COMPANIES",TRUE}</definedName>
    <definedName function="false" hidden="true" name="esnrc91c1_values" vbProcedure="false">{"EUUTI","COMPANIES",TRUE}</definedName>
    <definedName function="false" hidden="true" name="ESOP_DEBT" vbProcedure="false">"ESOP_DEBT"</definedName>
    <definedName function="false" hidden="true" name="et" vbProcedure="false">{0}</definedName>
    <definedName function="false" hidden="true" name="ev.Calculation" vbProcedure="false">-4105</definedName>
    <definedName function="false" hidden="true" name="ev.Initialized" vbProcedure="false">FALSE()</definedName>
    <definedName function="false" hidden="true" name="EV_OVER_EMPLOYEE" vbProcedure="false">"EV_OVER_EMPLOYEE"</definedName>
    <definedName function="false" hidden="true" name="EV_OVER_LTM_EBIT" vbProcedure="false">"EV_OVER_LTM_EBIT"</definedName>
    <definedName function="false" hidden="true" name="EV_OVER_LTM_EBITDA" vbProcedure="false">"EV_OVER_LTM_EBITDA"</definedName>
    <definedName function="false" hidden="true" name="EV_OVER_LTM_REVENUE" vbProcedure="false">"EV_OVER_LTM_REVENUE"</definedName>
    <definedName function="false" hidden="true" name="EV_OVER_REVENUE_EST" vbProcedure="false">"EV_OVER_REVENUE_EST"</definedName>
    <definedName function="false" hidden="true" name="EV_OVER_REVENUE_EST_1" vbProcedure="false">"EV_OVER_REVENUE_EST_1"</definedName>
    <definedName function="false" hidden="true" name="EV__ALLOWSTOPEXPAND__" vbProcedure="false">1</definedName>
    <definedName function="false" hidden="true" name="EV__CVPARAMS__" vbProcedure="false">"Periodic!$B$17:$C$27;"</definedName>
    <definedName function="false" hidden="true" name="EV__DECIMALSYMBOL__" vbProcedure="false">"."</definedName>
    <definedName function="false" hidden="true" name="EV__EVCOM_OPTIONS__" vbProcedure="false">8</definedName>
    <definedName function="false" hidden="true" name="EV__EXPOPTIONS__" vbProcedure="false">0</definedName>
    <definedName function="false" hidden="true" name="EV__LASTREFTIME__" vbProcedure="false">40101.682962963</definedName>
    <definedName function="false" hidden="true" name="EV__LASTREFTIME___1" vbProcedure="false">40406.4995949074</definedName>
    <definedName function="false" hidden="true" name="EV__LOCKEDCVW__AGNADMIN" vbProcedure="false">"AE.001.000,AI.000,ACTUAL,E.NONE,AGN_Total,NO.TIMEDY,TH.0000,PERIODIC,"</definedName>
    <definedName function="false" hidden="true" name="EV__LOCKEDCVW__ASSET" vbProcedure="false">"7550,NewExpend,All_LineItems,OP_PLAN,Finance,TC_Rptg_Entity,All_Fixed_Assets,All_AllocDepts,All_ObjectGroups,LC,2009.TOTAL,Periodic,"</definedName>
    <definedName function="false" hidden="true" name="EV__LOCKEDCVW__CAPEX" vbProcedure="false">"TotalAsset,CapitalExpenses,WorkingPlan,Alloc2,AllDeptOpExp,AllProjects,USD,All.Time,PERIODIC,"</definedName>
    <definedName function="false" hidden="true" name="EV__LOCKEDCVW__CONSOLIDATION" vbProcedure="false">"IncomeStatement,ACTNBR,AllCostCenters,TOTALADJ,AGN_Total,No_FuncAcct,All_InterCo,TOTAGNOT,All_Products,USD,2010.TOTAL,PERIODIC,"</definedName>
    <definedName function="false" hidden="true" name="EV__LOCKEDCVW__DASHBOARD" vbProcedure="false">"AA_D_PL_REVENUE,PYACTUAL_CYPlanFx,CO_NoCompany,DASHSUM_DSBM,DC_DASH_WW1,PC_DASH_ALL,USD,2011.OCT.10,MTD,"</definedName>
    <definedName function="false" hidden="true" name="EV__LOCKEDCVW__DSBM" vbProcedure="false">"AA_NetInc,ACTUAL,CO_WW1,CC_CustID,TotalCorpIFRS,DC_WW1,PC_CareStreamTotal,USD,2011.APR.12,MTD,"</definedName>
    <definedName function="false" hidden="true" name="EV__LOCKEDCVW__FINANCE" vbProcedure="false">"Trial_Balance,OP_PLAN_FINAL,TotDataSrc,Rsch_Dev_MGMT,TC_Rptg_Entity,All_Fixed_Assets,All_Interco,AllProjects,LC,AllTerritory,2009.FEB,Periodic,"</definedName>
    <definedName function="false" hidden="true" name="EV__LOCKEDCVW__HCM" vbProcedure="false">"OP_PLAN,FuncMGMT_DEPT,AllNewHires,TC_Rptg_Entity,Personnel,No_HCMCode,Input,No_Project,LC,2009.TOTAL,Periodic,"</definedName>
    <definedName function="false" hidden="true" name="EV__LOCKEDCVW__INC_STMT" vbProcedure="false">"BUDGET_BASE,630600,us26s02900,TOTALADJ,US26,All_FuncArea,ALL_TP,TOTAL_PC,lc,fy2012.jan,ytd,"</definedName>
    <definedName function="false" hidden="true" name="EV__LOCKEDCVW__OPEX" vbProcedure="false">"OP_PLAN,Rsch_Dev_MGMT,TC_Rptg_Entity,Operating_Expenses,TotDataSrc,All_LineItems,AllProjects,LC,2009.TOTAL,Periodic,"</definedName>
    <definedName function="false" hidden="true" name="EV__LOCKEDCVW__PLANNING" vbProcedure="false">"AA_NETINC,OutlookApr_AOPFx,CO_NoCompany,Total_Mgmt,DC_450,Trade,PC_P0T7.TOTAL,USD,2012.TOTAL,Periodic,"</definedName>
    <definedName function="false" hidden="true" name="EV__LOCKEDCVW__RATE" vbProcedure="false">"ACTUAL,EUR,AVG,RateInput,xxxx.Anl,Periodic,"</definedName>
    <definedName function="false" hidden="true" name="EV__LOCKEDCVW__REPORTING" vbProcedure="false">"AA_NetInc,ACTUAL,CO_WW1,Total_DS_GAAP,DC_WW1,All_Interco_Trade,PC_CareStreamTotal,USD,2010.DEC,YTD,"</definedName>
    <definedName function="false" hidden="true" name="EV__LOCKEDCVW__ROLLFORWARD" vbProcedure="false">"AllRFAccounts,AllCostCenters,TOTALADJ,AGN_Total,AllFlow,All_InterCo,TOTAGN,All_Products,USD,2003.TOTAL,ACTUAL,PERIODIC,"</definedName>
    <definedName function="false" hidden="true" name="EV__LOCKEDCVW__SALARY" vbProcedure="false">"Actual,DeptView,All_Employees,AllDeptOpExp,AllProjects,USD,EmpDrivers,All.Time,PERIODIC,"</definedName>
    <definedName function="false" hidden="true" name="EV__LOCKEDCVW__SALES" vbProcedure="false">"ACTUAL,No_Customer,Misc_DataSrc,No_Entity,All_Interco,AllProducts,USD,StdGrossMargin,xxxx.Anl,Periodic,"</definedName>
    <definedName function="false" hidden="true" name="EV__LOCKSTATUS__" vbProcedure="false">4</definedName>
    <definedName function="false" hidden="true" name="EV__MAXEXPCOLS__" vbProcedure="false">100</definedName>
    <definedName function="false" hidden="true" name="EV__MAXEXPROWS__" vbProcedure="false">20000</definedName>
    <definedName function="false" hidden="true" name="EV__MEMORYCVW__" vbProcedure="false">0</definedName>
    <definedName function="false" hidden="true" name="EV__MEMORYCVW__081308_CAPITAL_EXPENSE_INPUT.XLS" vbProcedure="false">"FINANCE"</definedName>
    <definedName function="false" hidden="true" name="EV__MEMORYCVW__081308_CAPITAL_EXPENSE_INPUT.XLS_ACCOUNT" vbProcedure="false">"TotExp"</definedName>
    <definedName function="false" hidden="true" name="EV__MEMORYCVW__081308_CAPITAL_EXPENSE_INPUT.XLS_ACTIVEAPPLICATION" vbProcedure="false">"FINANCE"</definedName>
    <definedName function="false" hidden="true" name="EV__MEMORYCVW__081308_CAPITAL_EXPENSE_INPUT.XLS_CATEGORY" vbProcedure="false">"WorkingPlan"</definedName>
    <definedName function="false" hidden="true" name="EV__MEMORYCVW__081308_CAPITAL_EXPENSE_INPUT.XLS_DATASRC" vbProcedure="false">"Alloc2"</definedName>
    <definedName function="false" hidden="true" name="EV__MEMORYCVW__081308_CAPITAL_EXPENSE_INPUT.XLS_ENTITY" vbProcedure="false">"CorpDevlpmt"</definedName>
    <definedName function="false" hidden="true" name="EV__MEMORYCVW__081308_CAPITAL_EXPENSE_INPUT.XLS_LINEITEM" vbProcedure="false">"AllItems"</definedName>
    <definedName function="false" hidden="true" name="EV__MEMORYCVW__081308_CAPITAL_EXPENSE_INPUT.XLS_MEASURES" vbProcedure="false">"PERIODIC"</definedName>
    <definedName function="false" hidden="true" name="EV__MEMORYCVW__081308_CAPITAL_EXPENSE_INPUT.XLS_PROJECT" vbProcedure="false">"AllProjects"</definedName>
    <definedName function="false" hidden="true" name="EV__MEMORYCVW__081308_CAPITAL_EXPENSE_INPUT.XLS_RPTCURRENCY" vbProcedure="false">"USD"</definedName>
    <definedName function="false" hidden="true" name="EV__MEMORYCVW__081308_CAPITAL_EXPENSE_INPUT.XLS_TIME" vbProcedure="false">"2009.Year"</definedName>
    <definedName function="false" hidden="true" name="EV__MEMORYCVW__091009_COPY_OF_AUG_09_ACT_TO_WP.XLS" vbProcedure="false">"SALARY"</definedName>
    <definedName function="false" hidden="true" name="EV__MEMORYCVW__091009_COPY_OF_AUG_09_ACT_TO_WP.XLS_ACTIVEAPPLICATION" vbProcedure="false">"SALARY"</definedName>
    <definedName function="false" hidden="true" name="EV__MEMORYCVW__091009_COPY_OF_AUG_09_ACT_TO_WP.XLS_CATEGORY" vbProcedure="false">"WorkingPlan"</definedName>
    <definedName function="false" hidden="true" name="EV__MEMORYCVW__091009_COPY_OF_AUG_09_ACT_TO_WP.XLS_DATASRC" vbProcedure="false">"Alloc2"</definedName>
    <definedName function="false" hidden="true" name="EV__MEMORYCVW__091009_COPY_OF_AUG_09_ACT_TO_WP.XLS_EMPLOYEES" vbProcedure="false">"All_Employees"</definedName>
    <definedName function="false" hidden="true" name="EV__MEMORYCVW__091009_COPY_OF_AUG_09_ACT_TO_WP.XLS_ENTITY" vbProcedure="false">"IM"</definedName>
    <definedName function="false" hidden="true" name="EV__MEMORYCVW__091009_COPY_OF_AUG_09_ACT_TO_WP.XLS_MEASURES" vbProcedure="false">"PERIODIC"</definedName>
    <definedName function="false" hidden="true" name="EV__MEMORYCVW__091009_COPY_OF_AUG_09_ACT_TO_WP.XLS_PROJECT" vbProcedure="false">"AllProjects"</definedName>
    <definedName function="false" hidden="true" name="EV__MEMORYCVW__091009_COPY_OF_AUG_09_ACT_TO_WP.XLS_RPTCURRENCY" vbProcedure="false">"USD"</definedName>
    <definedName function="false" hidden="true" name="EV__MEMORYCVW__091009_COPY_OF_AUG_09_ACT_TO_WP.XLS_SALARYACCT" vbProcedure="false">"Salary"</definedName>
    <definedName function="false" hidden="true" name="EV__MEMORYCVW__091009_COPY_OF_AUG_09_ACT_TO_WP.XLS_TIME" vbProcedure="false">"2009.Year"</definedName>
    <definedName function="false" hidden="true" name="EV__MEMORYCVW__BOOK3" vbProcedure="false">"FINANCE"</definedName>
    <definedName function="false" hidden="true" name="EV__MEMORYCVW__BOOK3.XLS" vbProcedure="false">"FINANCE"</definedName>
    <definedName function="false" hidden="true" name="EV__MEMORYCVW__BOOK3.XLS_ACCOUNT" vbProcedure="false">"TotExp"</definedName>
    <definedName function="false" hidden="true" name="EV__MEMORYCVW__BOOK3.XLS_ACTIVEAPPLICATION" vbProcedure="false">"FINANCE"</definedName>
    <definedName function="false" hidden="true" name="EV__MEMORYCVW__BOOK3.XLS_CATEGORY" vbProcedure="false">"WorkingPlan"</definedName>
    <definedName function="false" hidden="true" name="EV__MEMORYCVW__BOOK3.XLS_DATASRC" vbProcedure="false">"Alloc2"</definedName>
    <definedName function="false" hidden="true" name="EV__MEMORYCVW__BOOK3.XLS_ENTITY" vbProcedure="false">"AllDeptOpExp"</definedName>
    <definedName function="false" hidden="true" name="EV__MEMORYCVW__BOOK3.XLS_LINEITEM" vbProcedure="false">"AllItems"</definedName>
    <definedName function="false" hidden="true" name="EV__MEMORYCVW__BOOK3.XLS_MEASURES" vbProcedure="false">"PERIODIC"</definedName>
    <definedName function="false" hidden="true" name="EV__MEMORYCVW__BOOK3.XLS_PROJECT" vbProcedure="false">"AllProjects"</definedName>
    <definedName function="false" hidden="true" name="EV__MEMORYCVW__BOOK3.XLS_RPTCURRENCY" vbProcedure="false">"USD"</definedName>
    <definedName function="false" hidden="true" name="EV__MEMORYCVW__BOOK3.XLS_TIME" vbProcedure="false">"2009.Year"</definedName>
    <definedName function="false" hidden="true" name="EV__MEMORYCVW__BOOK3_ACCOUNT" vbProcedure="false">"TotExp"</definedName>
    <definedName function="false" hidden="true" name="EV__MEMORYCVW__BOOK3_ACTIVEAPPLICATION" vbProcedure="false">"FINANCE"</definedName>
    <definedName function="false" hidden="true" name="EV__MEMORYCVW__BOOK3_CATEGORY" vbProcedure="false">"WorkingPlan"</definedName>
    <definedName function="false" hidden="true" name="EV__MEMORYCVW__BOOK3_DATASRC" vbProcedure="false">"Alloc2"</definedName>
    <definedName function="false" hidden="true" name="EV__MEMORYCVW__BOOK3_ENTITY" vbProcedure="false">"HR.ME"</definedName>
    <definedName function="false" hidden="true" name="EV__MEMORYCVW__BOOK3_LINEITEM" vbProcedure="false">"AllItems"</definedName>
    <definedName function="false" hidden="true" name="EV__MEMORYCVW__BOOK3_MEASURES" vbProcedure="false">"PERIODIC"</definedName>
    <definedName function="false" hidden="true" name="EV__MEMORYCVW__BOOK3_PROJECT" vbProcedure="false">"AllProjects"</definedName>
    <definedName function="false" hidden="true" name="EV__MEMORYCVW__BOOK3_RPTCURRENCY" vbProcedure="false">"USD"</definedName>
    <definedName function="false" hidden="true" name="EV__MEMORYCVW__BOOK3_TIME" vbProcedure="false">"2009.Year"</definedName>
    <definedName function="false" hidden="true" name="EV__MEMORYCVW__BOOK4" vbProcedure="false">"SALARY"</definedName>
    <definedName function="false" hidden="true" name="EV__MEMORYCVW__BOOK4_ACCOUNT" vbProcedure="false">"TotExp"</definedName>
    <definedName function="false" hidden="true" name="EV__MEMORYCVW__BOOK4_ACTIVEAPPLICATION" vbProcedure="false">"SALARY"</definedName>
    <definedName function="false" hidden="true" name="EV__MEMORYCVW__BOOK4_CATEGORY" vbProcedure="false">"WorkingPlan"</definedName>
    <definedName function="false" hidden="true" name="EV__MEMORYCVW__BOOK4_DATASRC" vbProcedure="false">"Alloc2"</definedName>
    <definedName function="false" hidden="true" name="EV__MEMORYCVW__BOOK4_ENTITY" vbProcedure="false">"AllDeptOpExp"</definedName>
    <definedName function="false" hidden="true" name="EV__MEMORYCVW__BOOK4_LINEITEM" vbProcedure="false">"AllItems"</definedName>
    <definedName function="false" hidden="true" name="EV__MEMORYCVW__BOOK4_MEASURES" vbProcedure="false">"PERIODIC"</definedName>
    <definedName function="false" hidden="true" name="EV__MEMORYCVW__BOOK4_PROJECT" vbProcedure="false">"AllProjects"</definedName>
    <definedName function="false" hidden="true" name="EV__MEMORYCVW__BOOK4_RPTCURRENCY" vbProcedure="false">"USD"</definedName>
    <definedName function="false" hidden="true" name="EV__MEMORYCVW__BOOK4_TIME" vbProcedure="false">"2009.Year"</definedName>
    <definedName function="false" hidden="true" name="EV__MEMORYCVW__FTE_SCHEDULE.XLT" vbProcedure="false">"FINANCE"</definedName>
    <definedName function="false" hidden="true" name="EV__MEMORYCVW__FTE_SCHEDULE.XLT_ACCOUNT" vbProcedure="false">"TotExp"</definedName>
    <definedName function="false" hidden="true" name="EV__MEMORYCVW__FTE_SCHEDULE.XLT_ACTIVEAPPLICATION" vbProcedure="false">"FINANCE"</definedName>
    <definedName function="false" hidden="true" name="EV__MEMORYCVW__FTE_SCHEDULE.XLT_CATEGORY" vbProcedure="false">"WorkingPlan"</definedName>
    <definedName function="false" hidden="true" name="EV__MEMORYCVW__FTE_SCHEDULE.XLT_DATASRC" vbProcedure="false">"Alloc2"</definedName>
    <definedName function="false" hidden="true" name="EV__MEMORYCVW__FTE_SCHEDULE.XLT_ENTITY" vbProcedure="false">"AllDeptOpExp"</definedName>
    <definedName function="false" hidden="true" name="EV__MEMORYCVW__FTE_SCHEDULE.XLT_LINEITEM" vbProcedure="false">"AllItems"</definedName>
    <definedName function="false" hidden="true" name="EV__MEMORYCVW__FTE_SCHEDULE.XLT_MEASURES" vbProcedure="false">"PERIODIC"</definedName>
    <definedName function="false" hidden="true" name="EV__MEMORYCVW__FTE_SCHEDULE.XLT_PROJECT" vbProcedure="false">"AllProjects"</definedName>
    <definedName function="false" hidden="true" name="EV__MEMORYCVW__FTE_SCHEDULE.XLT_RPTCURRENCY" vbProcedure="false">"USD"</definedName>
    <definedName function="false" hidden="true" name="EV__MEMORYCVW__FTE_SCHEDULE.XLT_TIME" vbProcedure="false">"2009.Year"</definedName>
    <definedName function="false" hidden="true" name="EV__MEMORYCVW__OPEXP_BY_ACCOUNT1" vbProcedure="false">"SALARY"</definedName>
    <definedName function="false" hidden="true" name="EV__MEMORYCVW__OPEXP_BY_ACCOUNT1_ACTIVEAPPLICATION" vbProcedure="false">"SALARY"</definedName>
    <definedName function="false" hidden="true" name="EV__MEMORYCVW__OPEXP_BY_ACCOUNT1_CATEGORY" vbProcedure="false">"WorkingPlan"</definedName>
    <definedName function="false" hidden="true" name="EV__MEMORYCVW__OPEXP_BY_ACCOUNT1_DATASRC" vbProcedure="false">"Alloc2"</definedName>
    <definedName function="false" hidden="true" name="EV__MEMORYCVW__OPEXP_BY_ACCOUNT1_EMPLOYEES" vbProcedure="false">"All_Employees"</definedName>
    <definedName function="false" hidden="true" name="EV__MEMORYCVW__OPEXP_BY_ACCOUNT1_ENTITY" vbProcedure="false">"CorpOps_BU"</definedName>
    <definedName function="false" hidden="true" name="EV__MEMORYCVW__OPEXP_BY_ACCOUNT1_MEASURES" vbProcedure="false">"PERIODIC"</definedName>
    <definedName function="false" hidden="true" name="EV__MEMORYCVW__OPEXP_BY_ACCOUNT1_PROJECT" vbProcedure="false">"AllProjects"</definedName>
    <definedName function="false" hidden="true" name="EV__MEMORYCVW__OPEXP_BY_ACCOUNT1_RPTCURRENCY" vbProcedure="false">"LC"</definedName>
    <definedName function="false" hidden="true" name="EV__MEMORYCVW__OPEXP_BY_ACCOUNT1_SALARYACCT" vbProcedure="false">"Salary"</definedName>
    <definedName function="false" hidden="true" name="EV__MEMORYCVW__OPEXP_BY_ACCOUNT1_TIME" vbProcedure="false">"2009.Year"</definedName>
    <definedName function="false" hidden="true" name="EV__MEMORYCVW__OPEXP_BY_DEPT1" vbProcedure="false">"FINANCE"</definedName>
    <definedName function="false" hidden="true" name="EV__MEMORYCVW__OPEXP_BY_DEPT1_ACCOUNT" vbProcedure="false">"TotExp"</definedName>
    <definedName function="false" hidden="true" name="EV__MEMORYCVW__OPEXP_BY_DEPT1_ACTIVEAPPLICATION" vbProcedure="false">"FINANCE"</definedName>
    <definedName function="false" hidden="true" name="EV__MEMORYCVW__OPEXP_BY_DEPT1_CATEGORY" vbProcedure="false">"WorkingPlan"</definedName>
    <definedName function="false" hidden="true" name="EV__MEMORYCVW__OPEXP_BY_DEPT1_DATASRC" vbProcedure="false">"Alloc2"</definedName>
    <definedName function="false" hidden="true" name="EV__MEMORYCVW__OPEXP_BY_DEPT1_ENTITY" vbProcedure="false">"CorpDev"</definedName>
    <definedName function="false" hidden="true" name="EV__MEMORYCVW__OPEXP_BY_DEPT1_LINEITEM" vbProcedure="false">"AllItems"</definedName>
    <definedName function="false" hidden="true" name="EV__MEMORYCVW__OPEXP_BY_DEPT1_MEASURES" vbProcedure="false">"PERIODIC"</definedName>
    <definedName function="false" hidden="true" name="EV__MEMORYCVW__OPEXP_BY_DEPT1_PROJECT" vbProcedure="false">"AllProjects"</definedName>
    <definedName function="false" hidden="true" name="EV__MEMORYCVW__OPEXP_BY_DEPT1_RPTCURRENCY" vbProcedure="false">"USD"</definedName>
    <definedName function="false" hidden="true" name="EV__MEMORYCVW__OPEXP_BY_DEPT1_TIME" vbProcedure="false">"2009.Year"</definedName>
    <definedName function="false" hidden="true" name="EV__MEMORYCVW__OPEXP_INPUT.XLT" vbProcedure="false">"FINANCE"</definedName>
    <definedName function="false" hidden="true" name="EV__MEMORYCVW__OPEXP_INPUT1" vbProcedure="false">"FINANCE"</definedName>
    <definedName function="false" hidden="true" name="EV__MEMORYCVW__OPEXP_INPUT_2009_08_05.XLT" vbProcedure="false">"FINANCE"</definedName>
    <definedName function="false" hidden="true" name="EV__MEMORYCVW__PROCESSMENUBUDGET1_EMPLOYEES" vbProcedure="false">"All_Employees"</definedName>
    <definedName function="false" hidden="true" name="EV__MEMORYCVW__PROCESSMENUBUDGET1_SALARYACCT" vbProcedure="false">"FTE.Input"</definedName>
    <definedName function="false" hidden="true" name="EV__MEMORYCVW__PROCESSMENUDFO1" vbProcedure="false">"FINANCE"</definedName>
    <definedName function="false" hidden="true" name="EV__MEMORYCVW__PROCESSMENUDFO1_ACCOUNT" vbProcedure="false">"TotExp"</definedName>
    <definedName function="false" hidden="true" name="EV__MEMORYCVW__PROCESSMENUDFO1_ACTIVEAPPLICATION" vbProcedure="false">"FINANCE"</definedName>
    <definedName function="false" hidden="true" name="EV__MEMORYCVW__PROCESSMENUDFO1_CATEGORY" vbProcedure="false">"WorkingPlan"</definedName>
    <definedName function="false" hidden="true" name="EV__MEMORYCVW__PROCESSMENUDFO1_DATASRC" vbProcedure="false">"Alloc3"</definedName>
    <definedName function="false" hidden="true" name="EV__MEMORYCVW__PROCESSMENUDFO1_ENTITY" vbProcedure="false">"AllDeptOpExp"</definedName>
    <definedName function="false" hidden="true" name="EV__MEMORYCVW__PROCESSMENUDFO1_LINEITEM" vbProcedure="false">"AllItems"</definedName>
    <definedName function="false" hidden="true" name="EV__MEMORYCVW__PROCESSMENUDFO1_MEASURES" vbProcedure="false">"PERIODIC"</definedName>
    <definedName function="false" hidden="true" name="EV__MEMORYCVW__PROCESSMENUDFO1_PROJECT" vbProcedure="false">"AllPU"</definedName>
    <definedName function="false" hidden="true" name="EV__MEMORYCVW__PROCESSMENUDFO1_RPTCURRENCY" vbProcedure="false">"USD"</definedName>
    <definedName function="false" hidden="true" name="EV__MEMORYCVW__PROCESSMENUDFO1_TIME" vbProcedure="false">"2009.Year"</definedName>
    <definedName function="false" hidden="true" name="EV__MEMORYCVW__PROPOSED_ST_MGMT_COSTS_ENTERED_INTO_EVEREST.XLS" vbProcedure="false">"FINANCE"</definedName>
    <definedName function="false" hidden="true" name="EV__MEMORYCVW__PROPOSED_ST_MGMT_COSTS_ENTERED_INTO_EVEREST.XLS_ACCOUNT" vbProcedure="false">"TotExp"</definedName>
    <definedName function="false" hidden="true" name="EV__MEMORYCVW__PROPOSED_ST_MGMT_COSTS_ENTERED_INTO_EVEREST.XLS_ACTIVEAPPLICATION" vbProcedure="false">"FINANCE"</definedName>
    <definedName function="false" hidden="true" name="EV__MEMORYCVW__PROPOSED_ST_MGMT_COSTS_ENTERED_INTO_EVEREST.XLS_CATEGORY" vbProcedure="false">"WorkingPlan"</definedName>
    <definedName function="false" hidden="true" name="EV__MEMORYCVW__PROPOSED_ST_MGMT_COSTS_ENTERED_INTO_EVEREST.XLS_DATASRC" vbProcedure="false">"Input"</definedName>
    <definedName function="false" hidden="true" name="EV__MEMORYCVW__PROPOSED_ST_MGMT_COSTS_ENTERED_INTO_EVEREST.XLS_ENTITY" vbProcedure="false">"StratBrndMgmt.ME"</definedName>
    <definedName function="false" hidden="true" name="EV__MEMORYCVW__PROPOSED_ST_MGMT_COSTS_ENTERED_INTO_EVEREST.XLS_LINEITEM" vbProcedure="false">"AllItems"</definedName>
    <definedName function="false" hidden="true" name="EV__MEMORYCVW__PROPOSED_ST_MGMT_COSTS_ENTERED_INTO_EVEREST.XLS_MEASURES" vbProcedure="false">"PERIODIC"</definedName>
    <definedName function="false" hidden="true" name="EV__MEMORYCVW__PROPOSED_ST_MGMT_COSTS_ENTERED_INTO_EVEREST.XLS_PROJECT" vbProcedure="false">"AllProjects"</definedName>
    <definedName function="false" hidden="true" name="EV__MEMORYCVW__PROPOSED_ST_MGMT_COSTS_ENTERED_INTO_EVEREST.XLS_RPTCURRENCY" vbProcedure="false">"LC"</definedName>
    <definedName function="false" hidden="true" name="EV__MEMORYCVW__PROPOSED_ST_MGMT_COSTS_ENTERED_INTO_EVEREST.XLS_TIME" vbProcedure="false">"2009.Year"</definedName>
    <definedName function="false" hidden="true" name="EV__MEMORYCVW__REPORTING_PACKAGE.XLS_EMPLOYEES" vbProcedure="false">"All_Employees"</definedName>
    <definedName function="false" hidden="true" name="EV__MEMORYCVW__REPORTING_PACKAGE.XLS_SALARYACCT" vbProcedure="false">"Salary"</definedName>
    <definedName function="false" hidden="true" name="EV__MEMORYCVW__REPORTING_PACKAGE1" vbProcedure="false">"FINANCE"</definedName>
    <definedName function="false" hidden="true" name="EV__MEMORYCVW__REPORTING_PACKAGE_ACT_VS_BUD.XLT" vbProcedure="false">"FINANCE"</definedName>
    <definedName function="false" hidden="true" name="EV__MEMORYCVW__REPORTING_PACKAGE_ACT_VS_BUD1" vbProcedure="false">"FINANCE"</definedName>
    <definedName function="false" hidden="true" name="EV__MEMORYCVW__REPORTING_PACKAGE_ACT_VS_BUD_CY.XLS" vbProcedure="false">"FINANCE"</definedName>
    <definedName function="false" hidden="true" name="EV__MEMORYCVW__REPORTING_PACKAGE_SP6.XLS" vbProcedure="false">"FINANCE"</definedName>
    <definedName function="false" hidden="true" name="EV__MEMORYCVW__REPORTING_PACKAGE_SP6.XLS_ASSET" vbProcedure="false">"NonIT"</definedName>
    <definedName function="false" hidden="true" name="EV__MEMORYCVW__REPORTING_PACKAGE_SP6.XLS_CAPEXACCT" vbProcedure="false">"CapitalExpenses"</definedName>
    <definedName function="false" hidden="true" name="EV__MEMORYCVW__REPORTING_PACKAGE_SP6_AGAIN.XLS" vbProcedure="false">"FINANCE"</definedName>
    <definedName function="false" hidden="true" name="EV__MEMORYCVW__REPORTING_PACKAGE_SP6_AGAIN2.XLS" vbProcedure="false">"FINANCE"</definedName>
    <definedName function="false" hidden="true" name="EV__MEMORYCVW__REPORTING_PACKAGE_SP6_AGAIN3.XLS" vbProcedure="false">"FINANCE"</definedName>
    <definedName function="false" hidden="true" name="EV__MEMORYCVW__REPORTING_PACKAGE_SP6_AGAIN3.XLS_ACCOUNT" vbProcedure="false">"TotExp"</definedName>
    <definedName function="false" hidden="true" name="EV__MEMORYCVW__REPORTING_PACKAGE_SP6_AGAIN3.XLS_ACTIVEAPPLICATION" vbProcedure="false">"FINANCE"</definedName>
    <definedName function="false" hidden="true" name="EV__MEMORYCVW__REPORTING_PACKAGE_SP6_AGAIN3.XLS_CATEGORY" vbProcedure="false">"WorkingPlan"</definedName>
    <definedName function="false" hidden="true" name="EV__MEMORYCVW__REPORTING_PACKAGE_SP6_AGAIN3.XLS_DATASRC" vbProcedure="false">"Alloc2"</definedName>
    <definedName function="false" hidden="true" name="EV__MEMORYCVW__REPORTING_PACKAGE_SP6_AGAIN3.XLS_ENTITY" vbProcedure="false">"AllDeptOpExp"</definedName>
    <definedName function="false" hidden="true" name="EV__MEMORYCVW__REPORTING_PACKAGE_SP6_AGAIN3.XLS_LINEITEM" vbProcedure="false">"AllItems"</definedName>
    <definedName function="false" hidden="true" name="EV__MEMORYCVW__REPORTING_PACKAGE_SP6_AGAIN3.XLS_MEASURES" vbProcedure="false">"PERIODIC"</definedName>
    <definedName function="false" hidden="true" name="EV__MEMORYCVW__REPORTING_PACKAGE_SP6_AGAIN3.XLS_PROJECT" vbProcedure="false">"AllProjects"</definedName>
    <definedName function="false" hidden="true" name="EV__MEMORYCVW__REPORTING_PACKAGE_SP6_AGAIN3.XLS_RPTCURRENCY" vbProcedure="false">"USD"</definedName>
    <definedName function="false" hidden="true" name="EV__MEMORYCVW__REPORTING_PACKAGE_SP6_AGAIN3.XLS_TIME" vbProcedure="false">"2009.Year"</definedName>
    <definedName function="false" hidden="true" name="EV__MEMORYCVW__REPORTING_PACKAGE_SP6_AGAIN31" vbProcedure="false">"FINANCE"</definedName>
    <definedName function="false" hidden="true" name="EV__MEMORYCVW__REPORTING_PACKAGE_SP6_AGAIN41" vbProcedure="false">"FINANCE"</definedName>
    <definedName function="false" hidden="true" name="EV__MEMORYCVW__REPORTING_PACKAGE_SP6_FULL_YEAR.XLS" vbProcedure="false">"FINANCE"</definedName>
    <definedName function="false" hidden="true" name="EV__MEMORYCVW__REPORTING_PACKAGE_SP6_FULL_YEAR.XLS_ASSET" vbProcedure="false">2009</definedName>
    <definedName function="false" hidden="true" name="EV__MEMORYCVW__REPORTING_PACKAGE_SP6_FULL_YEAR.XLS_CAPEXACCT" vbProcedure="false">"CapitalExpenses"</definedName>
    <definedName function="false" hidden="true" name="EV__MEMORYCVW__REPORTING_PACKAGE_SP6_OFF_LINE_DIST.XLS" vbProcedure="false">"FINANCE"</definedName>
    <definedName function="false" hidden="true" name="EV__MEMORYCVW__REPORTING_PACKAGE_SP6_OFF_LINE_DIST.XLT" vbProcedure="false">"FINANCE"</definedName>
    <definedName function="false" hidden="true" name="EV__MEMORYCVW__REPORTING_PACKAGE_SP6_OFF_LINE_DIST1" vbProcedure="false">"FINANCE"</definedName>
    <definedName function="false" hidden="true" name="EV__MEMORYCVW__REPORTING_PACKAGE_SP6_OFF_LINE_DISTR_FULL_YEAR.XLS" vbProcedure="false">"FINANCE"</definedName>
    <definedName function="false" hidden="true" name="EV__MEMORYCVW__REPORTING_PACKAGE_SP6_OFF_LINE_DIST_012010_UPDATE.XLS" vbProcedure="false">"FINANCE"</definedName>
    <definedName function="false" hidden="true" name="EV__MEMORYCVW__REPORTING_PACKAGE_TEST_011910.XLS" vbProcedure="false">"FINANCE"</definedName>
    <definedName function="false" hidden="true" name="EV__MEMORYCVW__REPORTING_PACKAGE_TEST_011910.XLS_ACCOUNT" vbProcedure="false">"TotExp"</definedName>
    <definedName function="false" hidden="true" name="EV__MEMORYCVW__REPORTING_PACKAGE_TEST_011910.XLS_ACTIVEAPPLICATION" vbProcedure="false">"FINANCE"</definedName>
    <definedName function="false" hidden="true" name="EV__MEMORYCVW__REPORTING_PACKAGE_TEST_011910.XLS_CATEGORY" vbProcedure="false">"WorkingPlan"</definedName>
    <definedName function="false" hidden="true" name="EV__MEMORYCVW__REPORTING_PACKAGE_TEST_011910.XLS_DATASRC" vbProcedure="false">"Alloc2"</definedName>
    <definedName function="false" hidden="true" name="EV__MEMORYCVW__REPORTING_PACKAGE_TEST_011910.XLS_ENTITY" vbProcedure="false">"ArdsleyConsol.AR"</definedName>
    <definedName function="false" hidden="true" name="EV__MEMORYCVW__REPORTING_PACKAGE_TEST_011910.XLS_LINEITEM" vbProcedure="false">"AllItems"</definedName>
    <definedName function="false" hidden="true" name="EV__MEMORYCVW__REPORTING_PACKAGE_TEST_011910.XLS_MEASURES" vbProcedure="false">"PERIODIC"</definedName>
    <definedName function="false" hidden="true" name="EV__MEMORYCVW__REPORTING_PACKAGE_TEST_011910.XLS_PROJECT" vbProcedure="false">"AllProjects"</definedName>
    <definedName function="false" hidden="true" name="EV__MEMORYCVW__REPORTING_PACKAGE_TEST_011910.XLS_RPTCURRENCY" vbProcedure="false">"USD"</definedName>
    <definedName function="false" hidden="true" name="EV__MEMORYCVW__REPORTING_PACKAGE_TEST_011910.XLS_TIME" vbProcedure="false">"2009.Year"</definedName>
    <definedName function="false" hidden="true" name="EV__MEMORYCVW__SALARY_ACCT_BY_MONTH1" vbProcedure="false">"FINANCE"</definedName>
    <definedName function="false" hidden="true" name="EV__MEMORYCVW__SALARY_ACCT_BY_MONTH1_ACCOUNT" vbProcedure="false">"TotExp"</definedName>
    <definedName function="false" hidden="true" name="EV__MEMORYCVW__SALARY_ACCT_BY_MONTH1_ACTIVEAPPLICATION" vbProcedure="false">"FINANCE"</definedName>
    <definedName function="false" hidden="true" name="EV__MEMORYCVW__SALARY_ACCT_BY_MONTH1_CATEGORY" vbProcedure="false">"WorkingPlan"</definedName>
    <definedName function="false" hidden="true" name="EV__MEMORYCVW__SALARY_ACCT_BY_MONTH1_DATASRC" vbProcedure="false">"Alloc2"</definedName>
    <definedName function="false" hidden="true" name="EV__MEMORYCVW__SALARY_ACCT_BY_MONTH1_ENTITY" vbProcedure="false">"EMTBio.FA"</definedName>
    <definedName function="false" hidden="true" name="EV__MEMORYCVW__SALARY_ACCT_BY_MONTH1_LINEITEM" vbProcedure="false">"AllItems"</definedName>
    <definedName function="false" hidden="true" name="EV__MEMORYCVW__SALARY_ACCT_BY_MONTH1_MEASURES" vbProcedure="false">"PERIODIC"</definedName>
    <definedName function="false" hidden="true" name="EV__MEMORYCVW__SALARY_ACCT_BY_MONTH1_PROJECT" vbProcedure="false">"AllProjects"</definedName>
    <definedName function="false" hidden="true" name="EV__MEMORYCVW__SALARY_ACCT_BY_MONTH1_RPTCURRENCY" vbProcedure="false">"USD"</definedName>
    <definedName function="false" hidden="true" name="EV__MEMORYCVW__SALARY_ACCT_BY_MONTH1_TIME" vbProcedure="false">"2010.Year"</definedName>
    <definedName function="false" hidden="true" name="EV__USERCHANGEOPTIONS__" vbProcedure="false">1</definedName>
    <definedName function="false" hidden="true" name="EV__WBEVMODE__" vbProcedure="false">0</definedName>
    <definedName function="false" hidden="true" name="EV__WBREFOPTIONS__" vbProcedure="false">134217728</definedName>
    <definedName function="false" hidden="true" name="EV__WBVERSION__" vbProcedure="false">0</definedName>
    <definedName function="false" hidden="true" name="EV__WSINFO__" vbProcedure="false">12345</definedName>
    <definedName function="false" hidden="true" name="ew" vbProcedure="false">{"fdsup://Directions/FactSet Auditing Viewer?action=AUDIT_VALUE&amp;DB=129&amp;ID1=92824110&amp;VALUEID=02001&amp;SDATE=201004&amp;PERIODTYPE=QTR_STD&amp;window=popup_no_bar&amp;width=385&amp;height=120&amp;START_MAXIMIZED=FALSE&amp;creator=factset&amp;display_string=Audit"}</definedName>
    <definedName function="false" hidden="true" name="ewdfs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ExactAddinConnection" vbProcedure="false">"001"</definedName>
    <definedName function="false" hidden="true" name="ExactAddinConnection.001" vbProcedure="false">"XANO-FIN-2;001;ajohnson;1"</definedName>
    <definedName function="false" hidden="true" name="ExactAddinReports" vbProcedure="false">1</definedName>
    <definedName function="false" hidden="true" name="EXCHANGE" vbProcedure="false">"EXCHANGE"</definedName>
    <definedName function="false" hidden="true" name="EXTRA_ITEMS" vbProcedure="false">"EXTRA_ITEMS"</definedName>
    <definedName function="false" hidden="true" name="eyr" vbProcedure="false">{"hiden",#N/A,FALSE,"14";"hidden",#N/A,FALSE,"16";"hidden",#N/A,FALSE,"18";"hidden",#N/A,FALSE,"20"}</definedName>
    <definedName function="false" hidden="true" name="ez" vbProcedure="false">{"Build1",#N/A,FALSE,"Buildup";"Build2",#N/A,FALSE,"Buildup";"Build3",#N/A,FALSE,"Buildup"}</definedName>
    <definedName function="false" hidden="true" name="ezdrthn" vbProcedure="false">{0}</definedName>
    <definedName function="false" hidden="true" name="ezrtezr" vbProcedure="false">#REF!</definedName>
    <definedName function="false" hidden="true" name="ezrtrezt" vbProcedure="false">#REF!</definedName>
    <definedName function="false" hidden="true" name="eztezrt" vbProcedure="false">#REF!</definedName>
    <definedName function="false" hidden="true" name="fa" vbProcedure="false">{"CF_YEARLY",#N/A,FALSE,"CF";"CF_Y1",#N/A,FALSE,"CF";"CF_Y2",#N/A,FALSE,"CF";"CF_Y3",#N/A,FALSE,"CF";"CF_Y4",#N/A,FALSE,"CF";"CF_Y5",#N/A,FALSE,"CF";"CF_Y6",#N/A,FALSE,"CF"}</definedName>
    <definedName function="false" hidden="true" name="fafs" vbProcedure="false">{#N/A,#N/A,FALSE,"Brad BANM_S";#N/A,#N/A,FALSE,"Brad SAM_BANM";#N/A,#N/A,FALSE,"Brad_LD";#N/A,#N/A,FALSE,"BANM-&gt;S";#N/A,#N/A,FALSE,"BANM_S";#N/A,#N/A,FALSE,"S-&gt;BANM";#N/A,#N/A,FALSE,"SAM_BANM";#N/A,#N/A,FALSE,"BANM";#N/A,#N/A,FALSE,"Sam"}</definedName>
    <definedName function="false" hidden="true" name="fd" vbProcedure="false">{"fdsup://Directions/FactSet Auditing Viewer?action=AUDIT_VALUE&amp;DB=129&amp;ID1=53245710&amp;VALUEID=05376&amp;SDATE=2007&amp;PERIODTYPE=ANN_STD&amp;window=popup_no_bar&amp;width=385&amp;height=120&amp;START_MAXIMIZED=FALSE&amp;creator=factset&amp;display_string=Audit"}</definedName>
    <definedName function="false" hidden="true" name="FDA" vbProcedure="false">#REF!</definedName>
    <definedName function="false" hidden="true" name="FDC_0_0" vbProcedure="false">"#"</definedName>
    <definedName function="false" hidden="true" name="FDC_10_0" vbProcedure="false">"#"</definedName>
    <definedName function="false" hidden="true" name="FDC_10_1" vbProcedure="false">"#"</definedName>
    <definedName function="false" hidden="true" name="FDC_10_2" vbProcedure="false">"#"</definedName>
    <definedName function="false" hidden="true" name="FDC_10_3" vbProcedure="false">"#"</definedName>
    <definedName function="false" hidden="true" name="FDC_11_0" vbProcedure="false">"#"</definedName>
    <definedName function="false" hidden="true" name="FDC_11_1" vbProcedure="false">"#"</definedName>
    <definedName function="false" hidden="true" name="FDC_11_2" vbProcedure="false">"#"</definedName>
    <definedName function="false" hidden="true" name="FDC_11_3" vbProcedure="false">"#"</definedName>
    <definedName function="false" hidden="true" name="FDC_12_0" vbProcedure="false">"#"</definedName>
    <definedName function="false" hidden="true" name="FDC_12_1" vbProcedure="false">"#"</definedName>
    <definedName function="false" hidden="true" name="FDC_12_2" vbProcedure="false">"#"</definedName>
    <definedName function="false" hidden="true" name="FDC_12_3" vbProcedure="false">"#"</definedName>
    <definedName function="false" hidden="true" name="FDC_13_0" vbProcedure="false">"#"</definedName>
    <definedName function="false" hidden="true" name="FDC_13_1" vbProcedure="false">"#"</definedName>
    <definedName function="false" hidden="true" name="FDC_13_2" vbProcedure="false">"#"</definedName>
    <definedName function="false" hidden="true" name="FDC_13_3" vbProcedure="false">"#"</definedName>
    <definedName function="false" hidden="true" name="FDC_14_0" vbProcedure="false">"#"</definedName>
    <definedName function="false" hidden="true" name="FDC_14_1" vbProcedure="false">"#"</definedName>
    <definedName function="false" hidden="true" name="FDC_14_2" vbProcedure="false">"#"</definedName>
    <definedName function="false" hidden="true" name="FDC_14_3" vbProcedure="false">"#"</definedName>
    <definedName function="false" hidden="true" name="FDC_15_0" vbProcedure="false">"#"</definedName>
    <definedName function="false" hidden="true" name="FDC_16_0" vbProcedure="false">"#"</definedName>
    <definedName function="false" hidden="true" name="FDC_17_0" vbProcedure="false">"#"</definedName>
    <definedName function="false" hidden="true" name="FDC_18_0" vbProcedure="false">"#"</definedName>
    <definedName function="false" hidden="true" name="FDC_19_0" vbProcedure="false">"#"</definedName>
    <definedName function="false" hidden="true" name="FDC_19_1" vbProcedure="false">"#"</definedName>
    <definedName function="false" hidden="true" name="FDC_19_2" vbProcedure="false">"#"</definedName>
    <definedName function="false" hidden="true" name="FDC_19_3" vbProcedure="false">"#"</definedName>
    <definedName function="false" hidden="true" name="FDC_1_0" vbProcedure="false">"#"</definedName>
    <definedName function="false" hidden="true" name="FDC_20_0" vbProcedure="false">"#"</definedName>
    <definedName function="false" hidden="true" name="FDC_21_0" vbProcedure="false">"#"</definedName>
    <definedName function="false" hidden="true" name="FDC_21_1" vbProcedure="false">"#"</definedName>
    <definedName function="false" hidden="true" name="FDC_21_2" vbProcedure="false">"#"</definedName>
    <definedName function="false" hidden="true" name="FDC_21_3" vbProcedure="false">"#"</definedName>
    <definedName function="false" hidden="true" name="FDC_22_0" vbProcedure="false">"#"</definedName>
    <definedName function="false" hidden="true" name="FDC_23_0" vbProcedure="false">"#"</definedName>
    <definedName function="false" hidden="true" name="FDC_24_0" vbProcedure="false">"#"</definedName>
    <definedName function="false" hidden="true" name="FDC_25_0" vbProcedure="false">"#"</definedName>
    <definedName function="false" hidden="true" name="FDC_25_1" vbProcedure="false">"#"</definedName>
    <definedName function="false" hidden="true" name="FDC_25_2" vbProcedure="false">"#"</definedName>
    <definedName function="false" hidden="true" name="FDC_25_3" vbProcedure="false">"#"</definedName>
    <definedName function="false" hidden="true" name="FDC_26_0" vbProcedure="false">"#"</definedName>
    <definedName function="false" hidden="true" name="FDC_26_1" vbProcedure="false">"#"</definedName>
    <definedName function="false" hidden="true" name="FDC_26_2" vbProcedure="false">"#"</definedName>
    <definedName function="false" hidden="true" name="FDC_26_3" vbProcedure="false">"#"</definedName>
    <definedName function="false" hidden="true" name="FDC_27_0" vbProcedure="false">"#"</definedName>
    <definedName function="false" hidden="true" name="FDC_28_0" vbProcedure="false">"#"</definedName>
    <definedName function="false" hidden="true" name="FDC_28_1" vbProcedure="false">"#"</definedName>
    <definedName function="false" hidden="true" name="FDC_28_2" vbProcedure="false">"#"</definedName>
    <definedName function="false" hidden="true" name="FDC_28_3" vbProcedure="false">"#"</definedName>
    <definedName function="false" hidden="true" name="FDC_29_0" vbProcedure="false">"#"</definedName>
    <definedName function="false" hidden="true" name="FDC_29_1" vbProcedure="false">"#"</definedName>
    <definedName function="false" hidden="true" name="FDC_29_2" vbProcedure="false">"#"</definedName>
    <definedName function="false" hidden="true" name="FDC_29_3" vbProcedure="false">"#"</definedName>
    <definedName function="false" hidden="true" name="FDC_2_0" vbProcedure="false">"#"</definedName>
    <definedName function="false" hidden="true" name="FDC_30_0" vbProcedure="false">"#"</definedName>
    <definedName function="false" hidden="true" name="FDC_31_0" vbProcedure="false">"#"</definedName>
    <definedName function="false" hidden="true" name="FDC_32_0" vbProcedure="false">"#"</definedName>
    <definedName function="false" hidden="true" name="FDC_33_0" vbProcedure="false">"#"</definedName>
    <definedName function="false" hidden="true" name="FDC_34_0" vbProcedure="false">"#"</definedName>
    <definedName function="false" hidden="true" name="FDC_35_0" vbProcedure="false">"#"</definedName>
    <definedName function="false" hidden="true" name="FDC_36_0" vbProcedure="false">"#"</definedName>
    <definedName function="false" hidden="true" name="FDC_37_0" vbProcedure="false">"#"</definedName>
    <definedName function="false" hidden="true" name="FDC_38_0" vbProcedure="false">"#"</definedName>
    <definedName function="false" hidden="true" name="FDC_39_0" vbProcedure="false">"#"</definedName>
    <definedName function="false" hidden="true" name="FDC_3_0" vbProcedure="false">"#"</definedName>
    <definedName function="false" hidden="true" name="FDC_40_0" vbProcedure="false">"#"</definedName>
    <definedName function="false" hidden="true" name="FDC_41_0" vbProcedure="false">"#"</definedName>
    <definedName function="false" hidden="true" name="FDC_41_1" vbProcedure="false">"#"</definedName>
    <definedName function="false" hidden="true" name="FDC_41_2" vbProcedure="false">"#"</definedName>
    <definedName function="false" hidden="true" name="FDC_41_3" vbProcedure="false">"#"</definedName>
    <definedName function="false" hidden="true" name="FDC_42_0" vbProcedure="false">"#"</definedName>
    <definedName function="false" hidden="true" name="FDC_42_1" vbProcedure="false">"#"</definedName>
    <definedName function="false" hidden="true" name="FDC_42_2" vbProcedure="false">"#"</definedName>
    <definedName function="false" hidden="true" name="FDC_42_3" vbProcedure="false">"#"</definedName>
    <definedName function="false" hidden="true" name="FDC_43_0" vbProcedure="false">"#"</definedName>
    <definedName function="false" hidden="true" name="FDC_43_1" vbProcedure="false">"#"</definedName>
    <definedName function="false" hidden="true" name="FDC_43_2" vbProcedure="false">"#"</definedName>
    <definedName function="false" hidden="true" name="FDC_43_3" vbProcedure="false">"#"</definedName>
    <definedName function="false" hidden="true" name="FDC_44_0" vbProcedure="false">"#"</definedName>
    <definedName function="false" hidden="true" name="FDC_45_0" vbProcedure="false">"#"</definedName>
    <definedName function="false" hidden="true" name="FDC_45_1" vbProcedure="false">"#"</definedName>
    <definedName function="false" hidden="true" name="FDC_45_2" vbProcedure="false">"#"</definedName>
    <definedName function="false" hidden="true" name="FDC_45_3" vbProcedure="false">"#"</definedName>
    <definedName function="false" hidden="true" name="FDC_46_0" vbProcedure="false">"#"</definedName>
    <definedName function="false" hidden="true" name="FDC_46_1" vbProcedure="false">"#"</definedName>
    <definedName function="false" hidden="true" name="FDC_46_2" vbProcedure="false">"#"</definedName>
    <definedName function="false" hidden="true" name="FDC_46_3" vbProcedure="false">"#"</definedName>
    <definedName function="false" hidden="true" name="FDC_47_0" vbProcedure="false">"#"</definedName>
    <definedName function="false" hidden="true" name="FDC_47_1" vbProcedure="false">"#"</definedName>
    <definedName function="false" hidden="true" name="FDC_47_2" vbProcedure="false">"#"</definedName>
    <definedName function="false" hidden="true" name="FDC_47_3" vbProcedure="false">"#"</definedName>
    <definedName function="false" hidden="true" name="FDC_48_0" vbProcedure="false">"#"</definedName>
    <definedName function="false" hidden="true" name="FDC_48_1" vbProcedure="false">"#"</definedName>
    <definedName function="false" hidden="true" name="FDC_48_2" vbProcedure="false">"#"</definedName>
    <definedName function="false" hidden="true" name="FDC_48_3" vbProcedure="false">"#"</definedName>
    <definedName function="false" hidden="true" name="FDC_49_0" vbProcedure="false">"#"</definedName>
    <definedName function="false" hidden="true" name="FDC_49_1" vbProcedure="false">"#"</definedName>
    <definedName function="false" hidden="true" name="FDC_49_2" vbProcedure="false">"#"</definedName>
    <definedName function="false" hidden="true" name="FDC_49_3" vbProcedure="false">"#"</definedName>
    <definedName function="false" hidden="true" name="FDC_4_0" vbProcedure="false">"#"</definedName>
    <definedName function="false" hidden="true" name="FDC_50_0" vbProcedure="false">"#"</definedName>
    <definedName function="false" hidden="true" name="FDC_50_1" vbProcedure="false">"#"</definedName>
    <definedName function="false" hidden="true" name="FDC_50_2" vbProcedure="false">"#"</definedName>
    <definedName function="false" hidden="true" name="FDC_50_3" vbProcedure="false">"#"</definedName>
    <definedName function="false" hidden="true" name="FDC_51_0" vbProcedure="false">"#"</definedName>
    <definedName function="false" hidden="true" name="FDC_51_1" vbProcedure="false">"#"</definedName>
    <definedName function="false" hidden="true" name="FDC_51_2" vbProcedure="false">"#"</definedName>
    <definedName function="false" hidden="true" name="FDC_51_3" vbProcedure="false">"#"</definedName>
    <definedName function="false" hidden="true" name="FDC_52_0" vbProcedure="false">"#"</definedName>
    <definedName function="false" hidden="true" name="FDC_52_1" vbProcedure="false">"#"</definedName>
    <definedName function="false" hidden="true" name="FDC_52_2" vbProcedure="false">"#"</definedName>
    <definedName function="false" hidden="true" name="FDC_52_3" vbProcedure="false">"#"</definedName>
    <definedName function="false" hidden="true" name="FDC_53_0" vbProcedure="false">"#"</definedName>
    <definedName function="false" hidden="true" name="FDC_53_1" vbProcedure="false">"#"</definedName>
    <definedName function="false" hidden="true" name="FDC_53_2" vbProcedure="false">"#"</definedName>
    <definedName function="false" hidden="true" name="FDC_53_3" vbProcedure="false">"#"</definedName>
    <definedName function="false" hidden="true" name="FDC_54_0" vbProcedure="false">"#"</definedName>
    <definedName function="false" hidden="true" name="FDC_54_1" vbProcedure="false">"#"</definedName>
    <definedName function="false" hidden="true" name="FDC_54_2" vbProcedure="false">"#"</definedName>
    <definedName function="false" hidden="true" name="FDC_54_3" vbProcedure="false">"#"</definedName>
    <definedName function="false" hidden="true" name="FDC_55_0" vbProcedure="false">"#"</definedName>
    <definedName function="false" hidden="true" name="FDC_55_1" vbProcedure="false">"#"</definedName>
    <definedName function="false" hidden="true" name="FDC_55_2" vbProcedure="false">"#"</definedName>
    <definedName function="false" hidden="true" name="FDC_55_3" vbProcedure="false">"#"</definedName>
    <definedName function="false" hidden="true" name="FDC_56_0" vbProcedure="false">"#"</definedName>
    <definedName function="false" hidden="true" name="FDC_57_0" vbProcedure="false">"#"</definedName>
    <definedName function="false" hidden="true" name="FDC_58_0" vbProcedure="false">"#"</definedName>
    <definedName function="false" hidden="true" name="FDC_58_1" vbProcedure="false">"#"</definedName>
    <definedName function="false" hidden="true" name="FDC_58_10" vbProcedure="false">"#"</definedName>
    <definedName function="false" hidden="true" name="FDC_58_100" vbProcedure="false">"#"</definedName>
    <definedName function="false" hidden="true" name="FDC_58_101" vbProcedure="false">"#"</definedName>
    <definedName function="false" hidden="true" name="FDC_58_102" vbProcedure="false">"#"</definedName>
    <definedName function="false" hidden="true" name="FDC_58_103" vbProcedure="false">"#"</definedName>
    <definedName function="false" hidden="true" name="FDC_58_104" vbProcedure="false">"#"</definedName>
    <definedName function="false" hidden="true" name="FDC_58_105" vbProcedure="false">"#"</definedName>
    <definedName function="false" hidden="true" name="FDC_58_106" vbProcedure="false">"#"</definedName>
    <definedName function="false" hidden="true" name="FDC_58_107" vbProcedure="false">"#"</definedName>
    <definedName function="false" hidden="true" name="FDC_58_108" vbProcedure="false">"#"</definedName>
    <definedName function="false" hidden="true" name="FDC_58_109" vbProcedure="false">"#"</definedName>
    <definedName function="false" hidden="true" name="FDC_58_11" vbProcedure="false">"#"</definedName>
    <definedName function="false" hidden="true" name="FDC_58_110" vbProcedure="false">"#"</definedName>
    <definedName function="false" hidden="true" name="FDC_58_111" vbProcedure="false">"#"</definedName>
    <definedName function="false" hidden="true" name="FDC_58_112" vbProcedure="false">"#"</definedName>
    <definedName function="false" hidden="true" name="FDC_58_113" vbProcedure="false">"#"</definedName>
    <definedName function="false" hidden="true" name="FDC_58_114" vbProcedure="false">"#"</definedName>
    <definedName function="false" hidden="true" name="FDC_58_115" vbProcedure="false">"#"</definedName>
    <definedName function="false" hidden="true" name="FDC_58_116" vbProcedure="false">"#"</definedName>
    <definedName function="false" hidden="true" name="FDC_58_117" vbProcedure="false">"#"</definedName>
    <definedName function="false" hidden="true" name="FDC_58_118" vbProcedure="false">"#"</definedName>
    <definedName function="false" hidden="true" name="FDC_58_119" vbProcedure="false">"#"</definedName>
    <definedName function="false" hidden="true" name="FDC_58_12" vbProcedure="false">"#"</definedName>
    <definedName function="false" hidden="true" name="FDC_58_120" vbProcedure="false">"#"</definedName>
    <definedName function="false" hidden="true" name="FDC_58_121" vbProcedure="false">"#"</definedName>
    <definedName function="false" hidden="true" name="FDC_58_122" vbProcedure="false">"#"</definedName>
    <definedName function="false" hidden="true" name="FDC_58_123" vbProcedure="false">"#"</definedName>
    <definedName function="false" hidden="true" name="FDC_58_124" vbProcedure="false">"#"</definedName>
    <definedName function="false" hidden="true" name="FDC_58_125" vbProcedure="false">"#"</definedName>
    <definedName function="false" hidden="true" name="FDC_58_126" vbProcedure="false">"#"</definedName>
    <definedName function="false" hidden="true" name="FDC_58_127" vbProcedure="false">"#"</definedName>
    <definedName function="false" hidden="true" name="FDC_58_128" vbProcedure="false">"#"</definedName>
    <definedName function="false" hidden="true" name="FDC_58_129" vbProcedure="false">"#"</definedName>
    <definedName function="false" hidden="true" name="FDC_58_13" vbProcedure="false">"#"</definedName>
    <definedName function="false" hidden="true" name="FDC_58_130" vbProcedure="false">"#"</definedName>
    <definedName function="false" hidden="true" name="FDC_58_131" vbProcedure="false">"#"</definedName>
    <definedName function="false" hidden="true" name="FDC_58_132" vbProcedure="false">"#"</definedName>
    <definedName function="false" hidden="true" name="FDC_58_133" vbProcedure="false">"#"</definedName>
    <definedName function="false" hidden="true" name="FDC_58_134" vbProcedure="false">"#"</definedName>
    <definedName function="false" hidden="true" name="FDC_58_135" vbProcedure="false">"#"</definedName>
    <definedName function="false" hidden="true" name="FDC_58_136" vbProcedure="false">"#"</definedName>
    <definedName function="false" hidden="true" name="FDC_58_137" vbProcedure="false">"#"</definedName>
    <definedName function="false" hidden="true" name="FDC_58_138" vbProcedure="false">"#"</definedName>
    <definedName function="false" hidden="true" name="FDC_58_139" vbProcedure="false">"#"</definedName>
    <definedName function="false" hidden="true" name="FDC_58_14" vbProcedure="false">"#"</definedName>
    <definedName function="false" hidden="true" name="FDC_58_140" vbProcedure="false">"#"</definedName>
    <definedName function="false" hidden="true" name="FDC_58_141" vbProcedure="false">"#"</definedName>
    <definedName function="false" hidden="true" name="FDC_58_142" vbProcedure="false">"#"</definedName>
    <definedName function="false" hidden="true" name="FDC_58_143" vbProcedure="false">"#"</definedName>
    <definedName function="false" hidden="true" name="FDC_58_144" vbProcedure="false">"#"</definedName>
    <definedName function="false" hidden="true" name="FDC_58_145" vbProcedure="false">"#"</definedName>
    <definedName function="false" hidden="true" name="FDC_58_146" vbProcedure="false">"#"</definedName>
    <definedName function="false" hidden="true" name="FDC_58_147" vbProcedure="false">"#"</definedName>
    <definedName function="false" hidden="true" name="FDC_58_148" vbProcedure="false">"#"</definedName>
    <definedName function="false" hidden="true" name="FDC_58_149" vbProcedure="false">"#"</definedName>
    <definedName function="false" hidden="true" name="FDC_58_15" vbProcedure="false">"#"</definedName>
    <definedName function="false" hidden="true" name="FDC_58_150" vbProcedure="false">"#"</definedName>
    <definedName function="false" hidden="true" name="FDC_58_151" vbProcedure="false">"#"</definedName>
    <definedName function="false" hidden="true" name="FDC_58_152" vbProcedure="false">"#"</definedName>
    <definedName function="false" hidden="true" name="FDC_58_153" vbProcedure="false">"#"</definedName>
    <definedName function="false" hidden="true" name="FDC_58_154" vbProcedure="false">"#"</definedName>
    <definedName function="false" hidden="true" name="FDC_58_155" vbProcedure="false">"#"</definedName>
    <definedName function="false" hidden="true" name="FDC_58_156" vbProcedure="false">"#"</definedName>
    <definedName function="false" hidden="true" name="FDC_58_157" vbProcedure="false">"#"</definedName>
    <definedName function="false" hidden="true" name="FDC_58_158" vbProcedure="false">"#"</definedName>
    <definedName function="false" hidden="true" name="FDC_58_159" vbProcedure="false">"#"</definedName>
    <definedName function="false" hidden="true" name="FDC_58_16" vbProcedure="false">"#"</definedName>
    <definedName function="false" hidden="true" name="FDC_58_160" vbProcedure="false">"#"</definedName>
    <definedName function="false" hidden="true" name="FDC_58_161" vbProcedure="false">"#"</definedName>
    <definedName function="false" hidden="true" name="FDC_58_162" vbProcedure="false">"#"</definedName>
    <definedName function="false" hidden="true" name="FDC_58_163" vbProcedure="false">"#"</definedName>
    <definedName function="false" hidden="true" name="FDC_58_164" vbProcedure="false">"#"</definedName>
    <definedName function="false" hidden="true" name="FDC_58_165" vbProcedure="false">"#"</definedName>
    <definedName function="false" hidden="true" name="FDC_58_166" vbProcedure="false">"#"</definedName>
    <definedName function="false" hidden="true" name="FDC_58_167" vbProcedure="false">"#"</definedName>
    <definedName function="false" hidden="true" name="FDC_58_168" vbProcedure="false">"#"</definedName>
    <definedName function="false" hidden="true" name="FDC_58_169" vbProcedure="false">"#"</definedName>
    <definedName function="false" hidden="true" name="FDC_58_17" vbProcedure="false">"#"</definedName>
    <definedName function="false" hidden="true" name="FDC_58_170" vbProcedure="false">"#"</definedName>
    <definedName function="false" hidden="true" name="FDC_58_171" vbProcedure="false">"#"</definedName>
    <definedName function="false" hidden="true" name="FDC_58_172" vbProcedure="false">"#"</definedName>
    <definedName function="false" hidden="true" name="FDC_58_173" vbProcedure="false">"#"</definedName>
    <definedName function="false" hidden="true" name="FDC_58_174" vbProcedure="false">"#"</definedName>
    <definedName function="false" hidden="true" name="FDC_58_175" vbProcedure="false">"#"</definedName>
    <definedName function="false" hidden="true" name="FDC_58_176" vbProcedure="false">"#"</definedName>
    <definedName function="false" hidden="true" name="FDC_58_177" vbProcedure="false">"#"</definedName>
    <definedName function="false" hidden="true" name="FDC_58_178" vbProcedure="false">"#"</definedName>
    <definedName function="false" hidden="true" name="FDC_58_179" vbProcedure="false">"#"</definedName>
    <definedName function="false" hidden="true" name="FDC_58_18" vbProcedure="false">"#"</definedName>
    <definedName function="false" hidden="true" name="FDC_58_180" vbProcedure="false">"#"</definedName>
    <definedName function="false" hidden="true" name="FDC_58_181" vbProcedure="false">"#"</definedName>
    <definedName function="false" hidden="true" name="FDC_58_182" vbProcedure="false">"#"</definedName>
    <definedName function="false" hidden="true" name="FDC_58_183" vbProcedure="false">"#"</definedName>
    <definedName function="false" hidden="true" name="FDC_58_184" vbProcedure="false">"#"</definedName>
    <definedName function="false" hidden="true" name="FDC_58_185" vbProcedure="false">"#"</definedName>
    <definedName function="false" hidden="true" name="FDC_58_186" vbProcedure="false">"#"</definedName>
    <definedName function="false" hidden="true" name="FDC_58_187" vbProcedure="false">"#"</definedName>
    <definedName function="false" hidden="true" name="FDC_58_188" vbProcedure="false">"#"</definedName>
    <definedName function="false" hidden="true" name="FDC_58_189" vbProcedure="false">"#"</definedName>
    <definedName function="false" hidden="true" name="FDC_58_19" vbProcedure="false">"#"</definedName>
    <definedName function="false" hidden="true" name="FDC_58_190" vbProcedure="false">"#"</definedName>
    <definedName function="false" hidden="true" name="FDC_58_191" vbProcedure="false">"#"</definedName>
    <definedName function="false" hidden="true" name="FDC_58_192" vbProcedure="false">"#"</definedName>
    <definedName function="false" hidden="true" name="FDC_58_193" vbProcedure="false">"#"</definedName>
    <definedName function="false" hidden="true" name="FDC_58_194" vbProcedure="false">"#"</definedName>
    <definedName function="false" hidden="true" name="FDC_58_195" vbProcedure="false">"#"</definedName>
    <definedName function="false" hidden="true" name="FDC_58_196" vbProcedure="false">"#"</definedName>
    <definedName function="false" hidden="true" name="FDC_58_197" vbProcedure="false">"#"</definedName>
    <definedName function="false" hidden="true" name="FDC_58_198" vbProcedure="false">"#"</definedName>
    <definedName function="false" hidden="true" name="FDC_58_199" vbProcedure="false">"#"</definedName>
    <definedName function="false" hidden="true" name="FDC_58_2" vbProcedure="false">"#"</definedName>
    <definedName function="false" hidden="true" name="FDC_58_20" vbProcedure="false">"#"</definedName>
    <definedName function="false" hidden="true" name="FDC_58_200" vbProcedure="false">"#"</definedName>
    <definedName function="false" hidden="true" name="FDC_58_201" vbProcedure="false">"#"</definedName>
    <definedName function="false" hidden="true" name="FDC_58_202" vbProcedure="false">"#"</definedName>
    <definedName function="false" hidden="true" name="FDC_58_203" vbProcedure="false">"#"</definedName>
    <definedName function="false" hidden="true" name="FDC_58_204" vbProcedure="false">"#"</definedName>
    <definedName function="false" hidden="true" name="FDC_58_205" vbProcedure="false">"#"</definedName>
    <definedName function="false" hidden="true" name="FDC_58_206" vbProcedure="false">"#"</definedName>
    <definedName function="false" hidden="true" name="FDC_58_207" vbProcedure="false">"#"</definedName>
    <definedName function="false" hidden="true" name="FDC_58_208" vbProcedure="false">"#"</definedName>
    <definedName function="false" hidden="true" name="FDC_58_209" vbProcedure="false">"#"</definedName>
    <definedName function="false" hidden="true" name="FDC_58_21" vbProcedure="false">"#"</definedName>
    <definedName function="false" hidden="true" name="FDC_58_210" vbProcedure="false">"#"</definedName>
    <definedName function="false" hidden="true" name="FDC_58_211" vbProcedure="false">"#"</definedName>
    <definedName function="false" hidden="true" name="FDC_58_212" vbProcedure="false">"#"</definedName>
    <definedName function="false" hidden="true" name="FDC_58_213" vbProcedure="false">"#"</definedName>
    <definedName function="false" hidden="true" name="FDC_58_214" vbProcedure="false">"#"</definedName>
    <definedName function="false" hidden="true" name="FDC_58_215" vbProcedure="false">"#"</definedName>
    <definedName function="false" hidden="true" name="FDC_58_216" vbProcedure="false">"#"</definedName>
    <definedName function="false" hidden="true" name="FDC_58_217" vbProcedure="false">"#"</definedName>
    <definedName function="false" hidden="true" name="FDC_58_218" vbProcedure="false">"#"</definedName>
    <definedName function="false" hidden="true" name="FDC_58_219" vbProcedure="false">"#"</definedName>
    <definedName function="false" hidden="true" name="FDC_58_22" vbProcedure="false">"#"</definedName>
    <definedName function="false" hidden="true" name="FDC_58_220" vbProcedure="false">"#"</definedName>
    <definedName function="false" hidden="true" name="FDC_58_221" vbProcedure="false">"#"</definedName>
    <definedName function="false" hidden="true" name="FDC_58_222" vbProcedure="false">"#"</definedName>
    <definedName function="false" hidden="true" name="FDC_58_223" vbProcedure="false">"#"</definedName>
    <definedName function="false" hidden="true" name="FDC_58_224" vbProcedure="false">"#"</definedName>
    <definedName function="false" hidden="true" name="FDC_58_225" vbProcedure="false">"#"</definedName>
    <definedName function="false" hidden="true" name="FDC_58_226" vbProcedure="false">"#"</definedName>
    <definedName function="false" hidden="true" name="FDC_58_227" vbProcedure="false">"#"</definedName>
    <definedName function="false" hidden="true" name="FDC_58_228" vbProcedure="false">"#"</definedName>
    <definedName function="false" hidden="true" name="FDC_58_229" vbProcedure="false">"#"</definedName>
    <definedName function="false" hidden="true" name="FDC_58_23" vbProcedure="false">"#"</definedName>
    <definedName function="false" hidden="true" name="FDC_58_230" vbProcedure="false">"#"</definedName>
    <definedName function="false" hidden="true" name="FDC_58_231" vbProcedure="false">"#"</definedName>
    <definedName function="false" hidden="true" name="FDC_58_232" vbProcedure="false">"#"</definedName>
    <definedName function="false" hidden="true" name="FDC_58_233" vbProcedure="false">"#"</definedName>
    <definedName function="false" hidden="true" name="FDC_58_234" vbProcedure="false">"#"</definedName>
    <definedName function="false" hidden="true" name="FDC_58_235" vbProcedure="false">"#"</definedName>
    <definedName function="false" hidden="true" name="FDC_58_236" vbProcedure="false">"#"</definedName>
    <definedName function="false" hidden="true" name="FDC_58_237" vbProcedure="false">"#"</definedName>
    <definedName function="false" hidden="true" name="FDC_58_238" vbProcedure="false">"#"</definedName>
    <definedName function="false" hidden="true" name="FDC_58_239" vbProcedure="false">"#"</definedName>
    <definedName function="false" hidden="true" name="FDC_58_24" vbProcedure="false">"#"</definedName>
    <definedName function="false" hidden="true" name="FDC_58_240" vbProcedure="false">"#"</definedName>
    <definedName function="false" hidden="true" name="FDC_58_241" vbProcedure="false">"#"</definedName>
    <definedName function="false" hidden="true" name="FDC_58_242" vbProcedure="false">"#"</definedName>
    <definedName function="false" hidden="true" name="FDC_58_243" vbProcedure="false">"#"</definedName>
    <definedName function="false" hidden="true" name="FDC_58_244" vbProcedure="false">"#"</definedName>
    <definedName function="false" hidden="true" name="FDC_58_245" vbProcedure="false">"#"</definedName>
    <definedName function="false" hidden="true" name="FDC_58_246" vbProcedure="false">"#"</definedName>
    <definedName function="false" hidden="true" name="FDC_58_247" vbProcedure="false">"#"</definedName>
    <definedName function="false" hidden="true" name="FDC_58_248" vbProcedure="false">"#"</definedName>
    <definedName function="false" hidden="true" name="FDC_58_249" vbProcedure="false">"#"</definedName>
    <definedName function="false" hidden="true" name="FDC_58_25" vbProcedure="false">"#"</definedName>
    <definedName function="false" hidden="true" name="FDC_58_250" vbProcedure="false">"#"</definedName>
    <definedName function="false" hidden="true" name="FDC_58_251" vbProcedure="false">"#"</definedName>
    <definedName function="false" hidden="true" name="FDC_58_252" vbProcedure="false">"#"</definedName>
    <definedName function="false" hidden="true" name="FDC_58_253" vbProcedure="false">"#"</definedName>
    <definedName function="false" hidden="true" name="FDC_58_254" vbProcedure="false">"#"</definedName>
    <definedName function="false" hidden="true" name="FDC_58_255" vbProcedure="false">"#"</definedName>
    <definedName function="false" hidden="true" name="FDC_58_256" vbProcedure="false">"#"</definedName>
    <definedName function="false" hidden="true" name="FDC_58_257" vbProcedure="false">"#"</definedName>
    <definedName function="false" hidden="true" name="FDC_58_258" vbProcedure="false">"#"</definedName>
    <definedName function="false" hidden="true" name="FDC_58_259" vbProcedure="false">"#"</definedName>
    <definedName function="false" hidden="true" name="FDC_58_26" vbProcedure="false">"#"</definedName>
    <definedName function="false" hidden="true" name="FDC_58_260" vbProcedure="false">"#"</definedName>
    <definedName function="false" hidden="true" name="FDC_58_261" vbProcedure="false">"#"</definedName>
    <definedName function="false" hidden="true" name="FDC_58_27" vbProcedure="false">"#"</definedName>
    <definedName function="false" hidden="true" name="FDC_58_28" vbProcedure="false">"#"</definedName>
    <definedName function="false" hidden="true" name="FDC_58_29" vbProcedure="false">"#"</definedName>
    <definedName function="false" hidden="true" name="FDC_58_3" vbProcedure="false">"#"</definedName>
    <definedName function="false" hidden="true" name="FDC_58_30" vbProcedure="false">"#"</definedName>
    <definedName function="false" hidden="true" name="FDC_58_31" vbProcedure="false">"#"</definedName>
    <definedName function="false" hidden="true" name="FDC_58_32" vbProcedure="false">"#"</definedName>
    <definedName function="false" hidden="true" name="FDC_58_33" vbProcedure="false">"#"</definedName>
    <definedName function="false" hidden="true" name="FDC_58_34" vbProcedure="false">"#"</definedName>
    <definedName function="false" hidden="true" name="FDC_58_35" vbProcedure="false">"#"</definedName>
    <definedName function="false" hidden="true" name="FDC_58_36" vbProcedure="false">"#"</definedName>
    <definedName function="false" hidden="true" name="FDC_58_37" vbProcedure="false">"#"</definedName>
    <definedName function="false" hidden="true" name="FDC_58_38" vbProcedure="false">"#"</definedName>
    <definedName function="false" hidden="true" name="FDC_58_39" vbProcedure="false">"#"</definedName>
    <definedName function="false" hidden="true" name="FDC_58_4" vbProcedure="false">"#"</definedName>
    <definedName function="false" hidden="true" name="FDC_58_40" vbProcedure="false">"#"</definedName>
    <definedName function="false" hidden="true" name="FDC_58_41" vbProcedure="false">"#"</definedName>
    <definedName function="false" hidden="true" name="FDC_58_42" vbProcedure="false">"#"</definedName>
    <definedName function="false" hidden="true" name="FDC_58_43" vbProcedure="false">"#"</definedName>
    <definedName function="false" hidden="true" name="FDC_58_44" vbProcedure="false">"#"</definedName>
    <definedName function="false" hidden="true" name="FDC_58_45" vbProcedure="false">"#"</definedName>
    <definedName function="false" hidden="true" name="FDC_58_46" vbProcedure="false">"#"</definedName>
    <definedName function="false" hidden="true" name="FDC_58_47" vbProcedure="false">"#"</definedName>
    <definedName function="false" hidden="true" name="FDC_58_48" vbProcedure="false">"#"</definedName>
    <definedName function="false" hidden="true" name="FDC_58_49" vbProcedure="false">"#"</definedName>
    <definedName function="false" hidden="true" name="FDC_58_5" vbProcedure="false">"#"</definedName>
    <definedName function="false" hidden="true" name="FDC_58_50" vbProcedure="false">"#"</definedName>
    <definedName function="false" hidden="true" name="FDC_58_51" vbProcedure="false">"#"</definedName>
    <definedName function="false" hidden="true" name="FDC_58_52" vbProcedure="false">"#"</definedName>
    <definedName function="false" hidden="true" name="FDC_58_53" vbProcedure="false">"#"</definedName>
    <definedName function="false" hidden="true" name="FDC_58_54" vbProcedure="false">"#"</definedName>
    <definedName function="false" hidden="true" name="FDC_58_55" vbProcedure="false">"#"</definedName>
    <definedName function="false" hidden="true" name="FDC_58_56" vbProcedure="false">"#"</definedName>
    <definedName function="false" hidden="true" name="FDC_58_57" vbProcedure="false">"#"</definedName>
    <definedName function="false" hidden="true" name="FDC_58_58" vbProcedure="false">"#"</definedName>
    <definedName function="false" hidden="true" name="FDC_58_59" vbProcedure="false">"#"</definedName>
    <definedName function="false" hidden="true" name="FDC_58_6" vbProcedure="false">"#"</definedName>
    <definedName function="false" hidden="true" name="FDC_58_60" vbProcedure="false">"#"</definedName>
    <definedName function="false" hidden="true" name="FDC_58_61" vbProcedure="false">"#"</definedName>
    <definedName function="false" hidden="true" name="FDC_58_62" vbProcedure="false">"#"</definedName>
    <definedName function="false" hidden="true" name="FDC_58_63" vbProcedure="false">"#"</definedName>
    <definedName function="false" hidden="true" name="FDC_58_64" vbProcedure="false">"#"</definedName>
    <definedName function="false" hidden="true" name="FDC_58_65" vbProcedure="false">"#"</definedName>
    <definedName function="false" hidden="true" name="FDC_58_66" vbProcedure="false">"#"</definedName>
    <definedName function="false" hidden="true" name="FDC_58_67" vbProcedure="false">"#"</definedName>
    <definedName function="false" hidden="true" name="FDC_58_68" vbProcedure="false">"#"</definedName>
    <definedName function="false" hidden="true" name="FDC_58_69" vbProcedure="false">"#"</definedName>
    <definedName function="false" hidden="true" name="FDC_58_7" vbProcedure="false">"#"</definedName>
    <definedName function="false" hidden="true" name="FDC_58_70" vbProcedure="false">"#"</definedName>
    <definedName function="false" hidden="true" name="FDC_58_71" vbProcedure="false">"#"</definedName>
    <definedName function="false" hidden="true" name="FDC_58_72" vbProcedure="false">"#"</definedName>
    <definedName function="false" hidden="true" name="FDC_58_73" vbProcedure="false">"#"</definedName>
    <definedName function="false" hidden="true" name="FDC_58_74" vbProcedure="false">"#"</definedName>
    <definedName function="false" hidden="true" name="FDC_58_75" vbProcedure="false">"#"</definedName>
    <definedName function="false" hidden="true" name="FDC_58_76" vbProcedure="false">"#"</definedName>
    <definedName function="false" hidden="true" name="FDC_58_77" vbProcedure="false">"#"</definedName>
    <definedName function="false" hidden="true" name="FDC_58_78" vbProcedure="false">"#"</definedName>
    <definedName function="false" hidden="true" name="FDC_58_79" vbProcedure="false">"#"</definedName>
    <definedName function="false" hidden="true" name="FDC_58_8" vbProcedure="false">"#"</definedName>
    <definedName function="false" hidden="true" name="FDC_58_80" vbProcedure="false">"#"</definedName>
    <definedName function="false" hidden="true" name="FDC_58_81" vbProcedure="false">"#"</definedName>
    <definedName function="false" hidden="true" name="FDC_58_82" vbProcedure="false">"#"</definedName>
    <definedName function="false" hidden="true" name="FDC_58_83" vbProcedure="false">"#"</definedName>
    <definedName function="false" hidden="true" name="FDC_58_84" vbProcedure="false">"#"</definedName>
    <definedName function="false" hidden="true" name="FDC_58_85" vbProcedure="false">"#"</definedName>
    <definedName function="false" hidden="true" name="FDC_58_86" vbProcedure="false">"#"</definedName>
    <definedName function="false" hidden="true" name="FDC_58_87" vbProcedure="false">"#"</definedName>
    <definedName function="false" hidden="true" name="FDC_58_88" vbProcedure="false">"#"</definedName>
    <definedName function="false" hidden="true" name="FDC_58_89" vbProcedure="false">"#"</definedName>
    <definedName function="false" hidden="true" name="FDC_58_9" vbProcedure="false">"#"</definedName>
    <definedName function="false" hidden="true" name="FDC_58_90" vbProcedure="false">"#"</definedName>
    <definedName function="false" hidden="true" name="FDC_58_91" vbProcedure="false">"#"</definedName>
    <definedName function="false" hidden="true" name="FDC_58_92" vbProcedure="false">"#"</definedName>
    <definedName function="false" hidden="true" name="FDC_58_93" vbProcedure="false">"#"</definedName>
    <definedName function="false" hidden="true" name="FDC_58_94" vbProcedure="false">"#"</definedName>
    <definedName function="false" hidden="true" name="FDC_58_95" vbProcedure="false">"#"</definedName>
    <definedName function="false" hidden="true" name="FDC_58_96" vbProcedure="false">"#"</definedName>
    <definedName function="false" hidden="true" name="FDC_58_97" vbProcedure="false">"#"</definedName>
    <definedName function="false" hidden="true" name="FDC_58_98" vbProcedure="false">"#"</definedName>
    <definedName function="false" hidden="true" name="FDC_58_99" vbProcedure="false">"#"</definedName>
    <definedName function="false" hidden="true" name="FDC_59_0" vbProcedure="false">"#"</definedName>
    <definedName function="false" hidden="true" name="FDC_59_1" vbProcedure="false">"#"</definedName>
    <definedName function="false" hidden="true" name="FDC_59_10" vbProcedure="false">"#"</definedName>
    <definedName function="false" hidden="true" name="FDC_59_100" vbProcedure="false">"#"</definedName>
    <definedName function="false" hidden="true" name="FDC_59_101" vbProcedure="false">"#"</definedName>
    <definedName function="false" hidden="true" name="FDC_59_102" vbProcedure="false">"#"</definedName>
    <definedName function="false" hidden="true" name="FDC_59_103" vbProcedure="false">"#"</definedName>
    <definedName function="false" hidden="true" name="FDC_59_104" vbProcedure="false">"#"</definedName>
    <definedName function="false" hidden="true" name="FDC_59_105" vbProcedure="false">"#"</definedName>
    <definedName function="false" hidden="true" name="FDC_59_106" vbProcedure="false">"#"</definedName>
    <definedName function="false" hidden="true" name="FDC_59_107" vbProcedure="false">"#"</definedName>
    <definedName function="false" hidden="true" name="FDC_59_108" vbProcedure="false">"#"</definedName>
    <definedName function="false" hidden="true" name="FDC_59_109" vbProcedure="false">"#"</definedName>
    <definedName function="false" hidden="true" name="FDC_59_11" vbProcedure="false">"#"</definedName>
    <definedName function="false" hidden="true" name="FDC_59_110" vbProcedure="false">"#"</definedName>
    <definedName function="false" hidden="true" name="FDC_59_111" vbProcedure="false">"#"</definedName>
    <definedName function="false" hidden="true" name="FDC_59_112" vbProcedure="false">"#"</definedName>
    <definedName function="false" hidden="true" name="FDC_59_113" vbProcedure="false">"#"</definedName>
    <definedName function="false" hidden="true" name="FDC_59_114" vbProcedure="false">"#"</definedName>
    <definedName function="false" hidden="true" name="FDC_59_115" vbProcedure="false">"#"</definedName>
    <definedName function="false" hidden="true" name="FDC_59_116" vbProcedure="false">"#"</definedName>
    <definedName function="false" hidden="true" name="FDC_59_117" vbProcedure="false">"#"</definedName>
    <definedName function="false" hidden="true" name="FDC_59_118" vbProcedure="false">"#"</definedName>
    <definedName function="false" hidden="true" name="FDC_59_119" vbProcedure="false">"#"</definedName>
    <definedName function="false" hidden="true" name="FDC_59_12" vbProcedure="false">"#"</definedName>
    <definedName function="false" hidden="true" name="FDC_59_120" vbProcedure="false">"#"</definedName>
    <definedName function="false" hidden="true" name="FDC_59_121" vbProcedure="false">"#"</definedName>
    <definedName function="false" hidden="true" name="FDC_59_122" vbProcedure="false">"#"</definedName>
    <definedName function="false" hidden="true" name="FDC_59_123" vbProcedure="false">"#"</definedName>
    <definedName function="false" hidden="true" name="FDC_59_124" vbProcedure="false">"#"</definedName>
    <definedName function="false" hidden="true" name="FDC_59_125" vbProcedure="false">"#"</definedName>
    <definedName function="false" hidden="true" name="FDC_59_126" vbProcedure="false">"#"</definedName>
    <definedName function="false" hidden="true" name="FDC_59_127" vbProcedure="false">"#"</definedName>
    <definedName function="false" hidden="true" name="FDC_59_128" vbProcedure="false">"#"</definedName>
    <definedName function="false" hidden="true" name="FDC_59_129" vbProcedure="false">"#"</definedName>
    <definedName function="false" hidden="true" name="FDC_59_13" vbProcedure="false">"#"</definedName>
    <definedName function="false" hidden="true" name="FDC_59_130" vbProcedure="false">"#"</definedName>
    <definedName function="false" hidden="true" name="FDC_59_131" vbProcedure="false">"#"</definedName>
    <definedName function="false" hidden="true" name="FDC_59_132" vbProcedure="false">"#"</definedName>
    <definedName function="false" hidden="true" name="FDC_59_133" vbProcedure="false">"#"</definedName>
    <definedName function="false" hidden="true" name="FDC_59_134" vbProcedure="false">"#"</definedName>
    <definedName function="false" hidden="true" name="FDC_59_135" vbProcedure="false">"#"</definedName>
    <definedName function="false" hidden="true" name="FDC_59_136" vbProcedure="false">"#"</definedName>
    <definedName function="false" hidden="true" name="FDC_59_137" vbProcedure="false">"#"</definedName>
    <definedName function="false" hidden="true" name="FDC_59_138" vbProcedure="false">"#"</definedName>
    <definedName function="false" hidden="true" name="FDC_59_139" vbProcedure="false">"#"</definedName>
    <definedName function="false" hidden="true" name="FDC_59_14" vbProcedure="false">"#"</definedName>
    <definedName function="false" hidden="true" name="FDC_59_140" vbProcedure="false">"#"</definedName>
    <definedName function="false" hidden="true" name="FDC_59_141" vbProcedure="false">"#"</definedName>
    <definedName function="false" hidden="true" name="FDC_59_142" vbProcedure="false">"#"</definedName>
    <definedName function="false" hidden="true" name="FDC_59_143" vbProcedure="false">"#"</definedName>
    <definedName function="false" hidden="true" name="FDC_59_144" vbProcedure="false">"#"</definedName>
    <definedName function="false" hidden="true" name="FDC_59_145" vbProcedure="false">"#"</definedName>
    <definedName function="false" hidden="true" name="FDC_59_146" vbProcedure="false">"#"</definedName>
    <definedName function="false" hidden="true" name="FDC_59_147" vbProcedure="false">"#"</definedName>
    <definedName function="false" hidden="true" name="FDC_59_148" vbProcedure="false">"#"</definedName>
    <definedName function="false" hidden="true" name="FDC_59_149" vbProcedure="false">"#"</definedName>
    <definedName function="false" hidden="true" name="FDC_59_15" vbProcedure="false">"#"</definedName>
    <definedName function="false" hidden="true" name="FDC_59_150" vbProcedure="false">"#"</definedName>
    <definedName function="false" hidden="true" name="FDC_59_151" vbProcedure="false">"#"</definedName>
    <definedName function="false" hidden="true" name="FDC_59_152" vbProcedure="false">"#"</definedName>
    <definedName function="false" hidden="true" name="FDC_59_153" vbProcedure="false">"#"</definedName>
    <definedName function="false" hidden="true" name="FDC_59_154" vbProcedure="false">"#"</definedName>
    <definedName function="false" hidden="true" name="FDC_59_155" vbProcedure="false">"#"</definedName>
    <definedName function="false" hidden="true" name="FDC_59_156" vbProcedure="false">"#"</definedName>
    <definedName function="false" hidden="true" name="FDC_59_157" vbProcedure="false">"#"</definedName>
    <definedName function="false" hidden="true" name="FDC_59_158" vbProcedure="false">"#"</definedName>
    <definedName function="false" hidden="true" name="FDC_59_159" vbProcedure="false">"#"</definedName>
    <definedName function="false" hidden="true" name="FDC_59_16" vbProcedure="false">"#"</definedName>
    <definedName function="false" hidden="true" name="FDC_59_160" vbProcedure="false">"#"</definedName>
    <definedName function="false" hidden="true" name="FDC_59_161" vbProcedure="false">"#"</definedName>
    <definedName function="false" hidden="true" name="FDC_59_162" vbProcedure="false">"#"</definedName>
    <definedName function="false" hidden="true" name="FDC_59_163" vbProcedure="false">"#"</definedName>
    <definedName function="false" hidden="true" name="FDC_59_164" vbProcedure="false">"#"</definedName>
    <definedName function="false" hidden="true" name="FDC_59_165" vbProcedure="false">"#"</definedName>
    <definedName function="false" hidden="true" name="FDC_59_166" vbProcedure="false">"#"</definedName>
    <definedName function="false" hidden="true" name="FDC_59_167" vbProcedure="false">"#"</definedName>
    <definedName function="false" hidden="true" name="FDC_59_168" vbProcedure="false">"#"</definedName>
    <definedName function="false" hidden="true" name="FDC_59_169" vbProcedure="false">"#"</definedName>
    <definedName function="false" hidden="true" name="FDC_59_17" vbProcedure="false">"#"</definedName>
    <definedName function="false" hidden="true" name="FDC_59_170" vbProcedure="false">"#"</definedName>
    <definedName function="false" hidden="true" name="FDC_59_171" vbProcedure="false">"#"</definedName>
    <definedName function="false" hidden="true" name="FDC_59_172" vbProcedure="false">"#"</definedName>
    <definedName function="false" hidden="true" name="FDC_59_173" vbProcedure="false">"#"</definedName>
    <definedName function="false" hidden="true" name="FDC_59_174" vbProcedure="false">"#"</definedName>
    <definedName function="false" hidden="true" name="FDC_59_175" vbProcedure="false">"#"</definedName>
    <definedName function="false" hidden="true" name="FDC_59_176" vbProcedure="false">"#"</definedName>
    <definedName function="false" hidden="true" name="FDC_59_177" vbProcedure="false">"#"</definedName>
    <definedName function="false" hidden="true" name="FDC_59_178" vbProcedure="false">"#"</definedName>
    <definedName function="false" hidden="true" name="FDC_59_179" vbProcedure="false">"#"</definedName>
    <definedName function="false" hidden="true" name="FDC_59_18" vbProcedure="false">"#"</definedName>
    <definedName function="false" hidden="true" name="FDC_59_180" vbProcedure="false">"#"</definedName>
    <definedName function="false" hidden="true" name="FDC_59_181" vbProcedure="false">"#"</definedName>
    <definedName function="false" hidden="true" name="FDC_59_182" vbProcedure="false">"#"</definedName>
    <definedName function="false" hidden="true" name="FDC_59_183" vbProcedure="false">"#"</definedName>
    <definedName function="false" hidden="true" name="FDC_59_184" vbProcedure="false">"#"</definedName>
    <definedName function="false" hidden="true" name="FDC_59_185" vbProcedure="false">"#"</definedName>
    <definedName function="false" hidden="true" name="FDC_59_186" vbProcedure="false">"#"</definedName>
    <definedName function="false" hidden="true" name="FDC_59_187" vbProcedure="false">"#"</definedName>
    <definedName function="false" hidden="true" name="FDC_59_188" vbProcedure="false">"#"</definedName>
    <definedName function="false" hidden="true" name="FDC_59_189" vbProcedure="false">"#"</definedName>
    <definedName function="false" hidden="true" name="FDC_59_19" vbProcedure="false">"#"</definedName>
    <definedName function="false" hidden="true" name="FDC_59_190" vbProcedure="false">"#"</definedName>
    <definedName function="false" hidden="true" name="FDC_59_191" vbProcedure="false">"#"</definedName>
    <definedName function="false" hidden="true" name="FDC_59_192" vbProcedure="false">"#"</definedName>
    <definedName function="false" hidden="true" name="FDC_59_193" vbProcedure="false">"#"</definedName>
    <definedName function="false" hidden="true" name="FDC_59_194" vbProcedure="false">"#"</definedName>
    <definedName function="false" hidden="true" name="FDC_59_195" vbProcedure="false">"#"</definedName>
    <definedName function="false" hidden="true" name="FDC_59_196" vbProcedure="false">"#"</definedName>
    <definedName function="false" hidden="true" name="FDC_59_197" vbProcedure="false">"#"</definedName>
    <definedName function="false" hidden="true" name="FDC_59_198" vbProcedure="false">"#"</definedName>
    <definedName function="false" hidden="true" name="FDC_59_199" vbProcedure="false">"#"</definedName>
    <definedName function="false" hidden="true" name="FDC_59_2" vbProcedure="false">"#"</definedName>
    <definedName function="false" hidden="true" name="FDC_59_20" vbProcedure="false">"#"</definedName>
    <definedName function="false" hidden="true" name="FDC_59_200" vbProcedure="false">"#"</definedName>
    <definedName function="false" hidden="true" name="FDC_59_201" vbProcedure="false">"#"</definedName>
    <definedName function="false" hidden="true" name="FDC_59_202" vbProcedure="false">"#"</definedName>
    <definedName function="false" hidden="true" name="FDC_59_203" vbProcedure="false">"#"</definedName>
    <definedName function="false" hidden="true" name="FDC_59_204" vbProcedure="false">"#"</definedName>
    <definedName function="false" hidden="true" name="FDC_59_205" vbProcedure="false">"#"</definedName>
    <definedName function="false" hidden="true" name="FDC_59_206" vbProcedure="false">"#"</definedName>
    <definedName function="false" hidden="true" name="FDC_59_207" vbProcedure="false">"#"</definedName>
    <definedName function="false" hidden="true" name="FDC_59_208" vbProcedure="false">"#"</definedName>
    <definedName function="false" hidden="true" name="FDC_59_209" vbProcedure="false">"#"</definedName>
    <definedName function="false" hidden="true" name="FDC_59_21" vbProcedure="false">"#"</definedName>
    <definedName function="false" hidden="true" name="FDC_59_210" vbProcedure="false">"#"</definedName>
    <definedName function="false" hidden="true" name="FDC_59_211" vbProcedure="false">"#"</definedName>
    <definedName function="false" hidden="true" name="FDC_59_212" vbProcedure="false">"#"</definedName>
    <definedName function="false" hidden="true" name="FDC_59_213" vbProcedure="false">"#"</definedName>
    <definedName function="false" hidden="true" name="FDC_59_214" vbProcedure="false">"#"</definedName>
    <definedName function="false" hidden="true" name="FDC_59_215" vbProcedure="false">"#"</definedName>
    <definedName function="false" hidden="true" name="FDC_59_216" vbProcedure="false">"#"</definedName>
    <definedName function="false" hidden="true" name="FDC_59_217" vbProcedure="false">"#"</definedName>
    <definedName function="false" hidden="true" name="FDC_59_218" vbProcedure="false">"#"</definedName>
    <definedName function="false" hidden="true" name="FDC_59_219" vbProcedure="false">"#"</definedName>
    <definedName function="false" hidden="true" name="FDC_59_22" vbProcedure="false">"#"</definedName>
    <definedName function="false" hidden="true" name="FDC_59_220" vbProcedure="false">"#"</definedName>
    <definedName function="false" hidden="true" name="FDC_59_221" vbProcedure="false">"#"</definedName>
    <definedName function="false" hidden="true" name="FDC_59_222" vbProcedure="false">"#"</definedName>
    <definedName function="false" hidden="true" name="FDC_59_223" vbProcedure="false">"#"</definedName>
    <definedName function="false" hidden="true" name="FDC_59_224" vbProcedure="false">"#"</definedName>
    <definedName function="false" hidden="true" name="FDC_59_225" vbProcedure="false">"#"</definedName>
    <definedName function="false" hidden="true" name="FDC_59_226" vbProcedure="false">"#"</definedName>
    <definedName function="false" hidden="true" name="FDC_59_227" vbProcedure="false">"#"</definedName>
    <definedName function="false" hidden="true" name="FDC_59_228" vbProcedure="false">"#"</definedName>
    <definedName function="false" hidden="true" name="FDC_59_229" vbProcedure="false">"#"</definedName>
    <definedName function="false" hidden="true" name="FDC_59_23" vbProcedure="false">"#"</definedName>
    <definedName function="false" hidden="true" name="FDC_59_230" vbProcedure="false">"#"</definedName>
    <definedName function="false" hidden="true" name="FDC_59_231" vbProcedure="false">"#"</definedName>
    <definedName function="false" hidden="true" name="FDC_59_232" vbProcedure="false">"#"</definedName>
    <definedName function="false" hidden="true" name="FDC_59_233" vbProcedure="false">"#"</definedName>
    <definedName function="false" hidden="true" name="FDC_59_234" vbProcedure="false">"#"</definedName>
    <definedName function="false" hidden="true" name="FDC_59_235" vbProcedure="false">"#"</definedName>
    <definedName function="false" hidden="true" name="FDC_59_236" vbProcedure="false">"#"</definedName>
    <definedName function="false" hidden="true" name="FDC_59_237" vbProcedure="false">"#"</definedName>
    <definedName function="false" hidden="true" name="FDC_59_238" vbProcedure="false">"#"</definedName>
    <definedName function="false" hidden="true" name="FDC_59_239" vbProcedure="false">"#"</definedName>
    <definedName function="false" hidden="true" name="FDC_59_24" vbProcedure="false">"#"</definedName>
    <definedName function="false" hidden="true" name="FDC_59_240" vbProcedure="false">"#"</definedName>
    <definedName function="false" hidden="true" name="FDC_59_241" vbProcedure="false">"#"</definedName>
    <definedName function="false" hidden="true" name="FDC_59_242" vbProcedure="false">"#"</definedName>
    <definedName function="false" hidden="true" name="FDC_59_243" vbProcedure="false">"#"</definedName>
    <definedName function="false" hidden="true" name="FDC_59_244" vbProcedure="false">"#"</definedName>
    <definedName function="false" hidden="true" name="FDC_59_245" vbProcedure="false">"#"</definedName>
    <definedName function="false" hidden="true" name="FDC_59_246" vbProcedure="false">"#"</definedName>
    <definedName function="false" hidden="true" name="FDC_59_247" vbProcedure="false">"#"</definedName>
    <definedName function="false" hidden="true" name="FDC_59_248" vbProcedure="false">"#"</definedName>
    <definedName function="false" hidden="true" name="FDC_59_249" vbProcedure="false">"#"</definedName>
    <definedName function="false" hidden="true" name="FDC_59_25" vbProcedure="false">"#"</definedName>
    <definedName function="false" hidden="true" name="FDC_59_250" vbProcedure="false">"#"</definedName>
    <definedName function="false" hidden="true" name="FDC_59_251" vbProcedure="false">"#"</definedName>
    <definedName function="false" hidden="true" name="FDC_59_252" vbProcedure="false">"#"</definedName>
    <definedName function="false" hidden="true" name="FDC_59_253" vbProcedure="false">"#"</definedName>
    <definedName function="false" hidden="true" name="FDC_59_254" vbProcedure="false">"#"</definedName>
    <definedName function="false" hidden="true" name="FDC_59_255" vbProcedure="false">"#"</definedName>
    <definedName function="false" hidden="true" name="FDC_59_256" vbProcedure="false">"#"</definedName>
    <definedName function="false" hidden="true" name="FDC_59_257" vbProcedure="false">"#"</definedName>
    <definedName function="false" hidden="true" name="FDC_59_258" vbProcedure="false">"#"</definedName>
    <definedName function="false" hidden="true" name="FDC_59_259" vbProcedure="false">"#"</definedName>
    <definedName function="false" hidden="true" name="FDC_59_26" vbProcedure="false">"#"</definedName>
    <definedName function="false" hidden="true" name="FDC_59_260" vbProcedure="false">"#"</definedName>
    <definedName function="false" hidden="true" name="FDC_59_261" vbProcedure="false">"#"</definedName>
    <definedName function="false" hidden="true" name="FDC_59_27" vbProcedure="false">"#"</definedName>
    <definedName function="false" hidden="true" name="FDC_59_28" vbProcedure="false">"#"</definedName>
    <definedName function="false" hidden="true" name="FDC_59_29" vbProcedure="false">"#"</definedName>
    <definedName function="false" hidden="true" name="FDC_59_3" vbProcedure="false">"#"</definedName>
    <definedName function="false" hidden="true" name="FDC_59_30" vbProcedure="false">"#"</definedName>
    <definedName function="false" hidden="true" name="FDC_59_31" vbProcedure="false">"#"</definedName>
    <definedName function="false" hidden="true" name="FDC_59_32" vbProcedure="false">"#"</definedName>
    <definedName function="false" hidden="true" name="FDC_59_33" vbProcedure="false">"#"</definedName>
    <definedName function="false" hidden="true" name="FDC_59_34" vbProcedure="false">"#"</definedName>
    <definedName function="false" hidden="true" name="FDC_59_35" vbProcedure="false">"#"</definedName>
    <definedName function="false" hidden="true" name="FDC_59_36" vbProcedure="false">"#"</definedName>
    <definedName function="false" hidden="true" name="FDC_59_37" vbProcedure="false">"#"</definedName>
    <definedName function="false" hidden="true" name="FDC_59_38" vbProcedure="false">"#"</definedName>
    <definedName function="false" hidden="true" name="FDC_59_39" vbProcedure="false">"#"</definedName>
    <definedName function="false" hidden="true" name="FDC_59_4" vbProcedure="false">"#"</definedName>
    <definedName function="false" hidden="true" name="FDC_59_40" vbProcedure="false">"#"</definedName>
    <definedName function="false" hidden="true" name="FDC_59_41" vbProcedure="false">"#"</definedName>
    <definedName function="false" hidden="true" name="FDC_59_42" vbProcedure="false">"#"</definedName>
    <definedName function="false" hidden="true" name="FDC_59_43" vbProcedure="false">"#"</definedName>
    <definedName function="false" hidden="true" name="FDC_59_44" vbProcedure="false">"#"</definedName>
    <definedName function="false" hidden="true" name="FDC_59_45" vbProcedure="false">"#"</definedName>
    <definedName function="false" hidden="true" name="FDC_59_46" vbProcedure="false">"#"</definedName>
    <definedName function="false" hidden="true" name="FDC_59_47" vbProcedure="false">"#"</definedName>
    <definedName function="false" hidden="true" name="FDC_59_48" vbProcedure="false">"#"</definedName>
    <definedName function="false" hidden="true" name="FDC_59_49" vbProcedure="false">"#"</definedName>
    <definedName function="false" hidden="true" name="FDC_59_5" vbProcedure="false">"#"</definedName>
    <definedName function="false" hidden="true" name="FDC_59_50" vbProcedure="false">"#"</definedName>
    <definedName function="false" hidden="true" name="FDC_59_51" vbProcedure="false">"#"</definedName>
    <definedName function="false" hidden="true" name="FDC_59_52" vbProcedure="false">"#"</definedName>
    <definedName function="false" hidden="true" name="FDC_59_53" vbProcedure="false">"#"</definedName>
    <definedName function="false" hidden="true" name="FDC_59_54" vbProcedure="false">"#"</definedName>
    <definedName function="false" hidden="true" name="FDC_59_55" vbProcedure="false">"#"</definedName>
    <definedName function="false" hidden="true" name="FDC_59_56" vbProcedure="false">"#"</definedName>
    <definedName function="false" hidden="true" name="FDC_59_57" vbProcedure="false">"#"</definedName>
    <definedName function="false" hidden="true" name="FDC_59_58" vbProcedure="false">"#"</definedName>
    <definedName function="false" hidden="true" name="FDC_59_59" vbProcedure="false">"#"</definedName>
    <definedName function="false" hidden="true" name="FDC_59_6" vbProcedure="false">"#"</definedName>
    <definedName function="false" hidden="true" name="FDC_59_60" vbProcedure="false">"#"</definedName>
    <definedName function="false" hidden="true" name="FDC_59_61" vbProcedure="false">"#"</definedName>
    <definedName function="false" hidden="true" name="FDC_59_62" vbProcedure="false">"#"</definedName>
    <definedName function="false" hidden="true" name="FDC_59_63" vbProcedure="false">"#"</definedName>
    <definedName function="false" hidden="true" name="FDC_59_64" vbProcedure="false">"#"</definedName>
    <definedName function="false" hidden="true" name="FDC_59_65" vbProcedure="false">"#"</definedName>
    <definedName function="false" hidden="true" name="FDC_59_66" vbProcedure="false">"#"</definedName>
    <definedName function="false" hidden="true" name="FDC_59_67" vbProcedure="false">"#"</definedName>
    <definedName function="false" hidden="true" name="FDC_59_68" vbProcedure="false">"#"</definedName>
    <definedName function="false" hidden="true" name="FDC_59_69" vbProcedure="false">"#"</definedName>
    <definedName function="false" hidden="true" name="FDC_59_7" vbProcedure="false">"#"</definedName>
    <definedName function="false" hidden="true" name="FDC_59_70" vbProcedure="false">"#"</definedName>
    <definedName function="false" hidden="true" name="FDC_59_71" vbProcedure="false">"#"</definedName>
    <definedName function="false" hidden="true" name="FDC_59_72" vbProcedure="false">"#"</definedName>
    <definedName function="false" hidden="true" name="FDC_59_73" vbProcedure="false">"#"</definedName>
    <definedName function="false" hidden="true" name="FDC_59_74" vbProcedure="false">"#"</definedName>
    <definedName function="false" hidden="true" name="FDC_59_75" vbProcedure="false">"#"</definedName>
    <definedName function="false" hidden="true" name="FDC_59_76" vbProcedure="false">"#"</definedName>
    <definedName function="false" hidden="true" name="FDC_59_77" vbProcedure="false">"#"</definedName>
    <definedName function="false" hidden="true" name="FDC_59_78" vbProcedure="false">"#"</definedName>
    <definedName function="false" hidden="true" name="FDC_59_79" vbProcedure="false">"#"</definedName>
    <definedName function="false" hidden="true" name="FDC_59_8" vbProcedure="false">"#"</definedName>
    <definedName function="false" hidden="true" name="FDC_59_80" vbProcedure="false">"#"</definedName>
    <definedName function="false" hidden="true" name="FDC_59_81" vbProcedure="false">"#"</definedName>
    <definedName function="false" hidden="true" name="FDC_59_82" vbProcedure="false">"#"</definedName>
    <definedName function="false" hidden="true" name="FDC_59_83" vbProcedure="false">"#"</definedName>
    <definedName function="false" hidden="true" name="FDC_59_84" vbProcedure="false">"#"</definedName>
    <definedName function="false" hidden="true" name="FDC_59_85" vbProcedure="false">"#"</definedName>
    <definedName function="false" hidden="true" name="FDC_59_86" vbProcedure="false">"#"</definedName>
    <definedName function="false" hidden="true" name="FDC_59_87" vbProcedure="false">"#"</definedName>
    <definedName function="false" hidden="true" name="FDC_59_88" vbProcedure="false">"#"</definedName>
    <definedName function="false" hidden="true" name="FDC_59_89" vbProcedure="false">"#"</definedName>
    <definedName function="false" hidden="true" name="FDC_59_9" vbProcedure="false">"#"</definedName>
    <definedName function="false" hidden="true" name="FDC_59_90" vbProcedure="false">"#"</definedName>
    <definedName function="false" hidden="true" name="FDC_59_91" vbProcedure="false">"#"</definedName>
    <definedName function="false" hidden="true" name="FDC_59_92" vbProcedure="false">"#"</definedName>
    <definedName function="false" hidden="true" name="FDC_59_93" vbProcedure="false">"#"</definedName>
    <definedName function="false" hidden="true" name="FDC_59_94" vbProcedure="false">"#"</definedName>
    <definedName function="false" hidden="true" name="FDC_59_95" vbProcedure="false">"#"</definedName>
    <definedName function="false" hidden="true" name="FDC_59_96" vbProcedure="false">"#"</definedName>
    <definedName function="false" hidden="true" name="FDC_59_97" vbProcedure="false">"#"</definedName>
    <definedName function="false" hidden="true" name="FDC_59_98" vbProcedure="false">"#"</definedName>
    <definedName function="false" hidden="true" name="FDC_59_99" vbProcedure="false">"#"</definedName>
    <definedName function="false" hidden="true" name="FDC_5_0" vbProcedure="false">"#"</definedName>
    <definedName function="false" hidden="true" name="FDC_5_1" vbProcedure="false">"#"</definedName>
    <definedName function="false" hidden="true" name="FDC_5_2" vbProcedure="false">"#"</definedName>
    <definedName function="false" hidden="true" name="FDC_5_3" vbProcedure="false">"#"</definedName>
    <definedName function="false" hidden="true" name="FDC_60_0" vbProcedure="false">"#"</definedName>
    <definedName function="false" hidden="true" name="FDC_60_1" vbProcedure="false">"#"</definedName>
    <definedName function="false" hidden="true" name="FDC_60_10" vbProcedure="false">"#"</definedName>
    <definedName function="false" hidden="true" name="FDC_60_100" vbProcedure="false">"#"</definedName>
    <definedName function="false" hidden="true" name="FDC_60_101" vbProcedure="false">"#"</definedName>
    <definedName function="false" hidden="true" name="FDC_60_102" vbProcedure="false">"#"</definedName>
    <definedName function="false" hidden="true" name="FDC_60_103" vbProcedure="false">"#"</definedName>
    <definedName function="false" hidden="true" name="FDC_60_104" vbProcedure="false">"#"</definedName>
    <definedName function="false" hidden="true" name="FDC_60_105" vbProcedure="false">"#"</definedName>
    <definedName function="false" hidden="true" name="FDC_60_106" vbProcedure="false">"#"</definedName>
    <definedName function="false" hidden="true" name="FDC_60_107" vbProcedure="false">"#"</definedName>
    <definedName function="false" hidden="true" name="FDC_60_108" vbProcedure="false">"#"</definedName>
    <definedName function="false" hidden="true" name="FDC_60_109" vbProcedure="false">"#"</definedName>
    <definedName function="false" hidden="true" name="FDC_60_11" vbProcedure="false">"#"</definedName>
    <definedName function="false" hidden="true" name="FDC_60_110" vbProcedure="false">"#"</definedName>
    <definedName function="false" hidden="true" name="FDC_60_111" vbProcedure="false">"#"</definedName>
    <definedName function="false" hidden="true" name="FDC_60_112" vbProcedure="false">"#"</definedName>
    <definedName function="false" hidden="true" name="FDC_60_113" vbProcedure="false">"#"</definedName>
    <definedName function="false" hidden="true" name="FDC_60_114" vbProcedure="false">"#"</definedName>
    <definedName function="false" hidden="true" name="FDC_60_115" vbProcedure="false">"#"</definedName>
    <definedName function="false" hidden="true" name="FDC_60_116" vbProcedure="false">"#"</definedName>
    <definedName function="false" hidden="true" name="FDC_60_117" vbProcedure="false">"#"</definedName>
    <definedName function="false" hidden="true" name="FDC_60_118" vbProcedure="false">"#"</definedName>
    <definedName function="false" hidden="true" name="FDC_60_119" vbProcedure="false">"#"</definedName>
    <definedName function="false" hidden="true" name="FDC_60_12" vbProcedure="false">"#"</definedName>
    <definedName function="false" hidden="true" name="FDC_60_120" vbProcedure="false">"#"</definedName>
    <definedName function="false" hidden="true" name="FDC_60_121" vbProcedure="false">"#"</definedName>
    <definedName function="false" hidden="true" name="FDC_60_122" vbProcedure="false">"#"</definedName>
    <definedName function="false" hidden="true" name="FDC_60_123" vbProcedure="false">"#"</definedName>
    <definedName function="false" hidden="true" name="FDC_60_124" vbProcedure="false">"#"</definedName>
    <definedName function="false" hidden="true" name="FDC_60_125" vbProcedure="false">"#"</definedName>
    <definedName function="false" hidden="true" name="FDC_60_126" vbProcedure="false">"#"</definedName>
    <definedName function="false" hidden="true" name="FDC_60_127" vbProcedure="false">"#"</definedName>
    <definedName function="false" hidden="true" name="FDC_60_128" vbProcedure="false">"#"</definedName>
    <definedName function="false" hidden="true" name="FDC_60_129" vbProcedure="false">"#"</definedName>
    <definedName function="false" hidden="true" name="FDC_60_13" vbProcedure="false">"#"</definedName>
    <definedName function="false" hidden="true" name="FDC_60_130" vbProcedure="false">"#"</definedName>
    <definedName function="false" hidden="true" name="FDC_60_131" vbProcedure="false">"#"</definedName>
    <definedName function="false" hidden="true" name="FDC_60_132" vbProcedure="false">"#"</definedName>
    <definedName function="false" hidden="true" name="FDC_60_133" vbProcedure="false">"#"</definedName>
    <definedName function="false" hidden="true" name="FDC_60_134" vbProcedure="false">"#"</definedName>
    <definedName function="false" hidden="true" name="FDC_60_135" vbProcedure="false">"#"</definedName>
    <definedName function="false" hidden="true" name="FDC_60_136" vbProcedure="false">"#"</definedName>
    <definedName function="false" hidden="true" name="FDC_60_137" vbProcedure="false">"#"</definedName>
    <definedName function="false" hidden="true" name="FDC_60_138" vbProcedure="false">"#"</definedName>
    <definedName function="false" hidden="true" name="FDC_60_139" vbProcedure="false">"#"</definedName>
    <definedName function="false" hidden="true" name="FDC_60_14" vbProcedure="false">"#"</definedName>
    <definedName function="false" hidden="true" name="FDC_60_140" vbProcedure="false">"#"</definedName>
    <definedName function="false" hidden="true" name="FDC_60_141" vbProcedure="false">"#"</definedName>
    <definedName function="false" hidden="true" name="FDC_60_142" vbProcedure="false">"#"</definedName>
    <definedName function="false" hidden="true" name="FDC_60_143" vbProcedure="false">"#"</definedName>
    <definedName function="false" hidden="true" name="FDC_60_144" vbProcedure="false">"#"</definedName>
    <definedName function="false" hidden="true" name="FDC_60_145" vbProcedure="false">"#"</definedName>
    <definedName function="false" hidden="true" name="FDC_60_146" vbProcedure="false">"#"</definedName>
    <definedName function="false" hidden="true" name="FDC_60_147" vbProcedure="false">"#"</definedName>
    <definedName function="false" hidden="true" name="FDC_60_148" vbProcedure="false">"#"</definedName>
    <definedName function="false" hidden="true" name="FDC_60_149" vbProcedure="false">"#"</definedName>
    <definedName function="false" hidden="true" name="FDC_60_15" vbProcedure="false">"#"</definedName>
    <definedName function="false" hidden="true" name="FDC_60_150" vbProcedure="false">"#"</definedName>
    <definedName function="false" hidden="true" name="FDC_60_151" vbProcedure="false">"#"</definedName>
    <definedName function="false" hidden="true" name="FDC_60_152" vbProcedure="false">"#"</definedName>
    <definedName function="false" hidden="true" name="FDC_60_153" vbProcedure="false">"#"</definedName>
    <definedName function="false" hidden="true" name="FDC_60_154" vbProcedure="false">"#"</definedName>
    <definedName function="false" hidden="true" name="FDC_60_155" vbProcedure="false">"#"</definedName>
    <definedName function="false" hidden="true" name="FDC_60_156" vbProcedure="false">"#"</definedName>
    <definedName function="false" hidden="true" name="FDC_60_157" vbProcedure="false">"#"</definedName>
    <definedName function="false" hidden="true" name="FDC_60_158" vbProcedure="false">"#"</definedName>
    <definedName function="false" hidden="true" name="FDC_60_159" vbProcedure="false">"#"</definedName>
    <definedName function="false" hidden="true" name="FDC_60_16" vbProcedure="false">"#"</definedName>
    <definedName function="false" hidden="true" name="FDC_60_160" vbProcedure="false">"#"</definedName>
    <definedName function="false" hidden="true" name="FDC_60_161" vbProcedure="false">"#"</definedName>
    <definedName function="false" hidden="true" name="FDC_60_162" vbProcedure="false">"#"</definedName>
    <definedName function="false" hidden="true" name="FDC_60_163" vbProcedure="false">"#"</definedName>
    <definedName function="false" hidden="true" name="FDC_60_164" vbProcedure="false">"#"</definedName>
    <definedName function="false" hidden="true" name="FDC_60_165" vbProcedure="false">"#"</definedName>
    <definedName function="false" hidden="true" name="FDC_60_166" vbProcedure="false">"#"</definedName>
    <definedName function="false" hidden="true" name="FDC_60_167" vbProcedure="false">"#"</definedName>
    <definedName function="false" hidden="true" name="FDC_60_168" vbProcedure="false">"#"</definedName>
    <definedName function="false" hidden="true" name="FDC_60_169" vbProcedure="false">"#"</definedName>
    <definedName function="false" hidden="true" name="FDC_60_17" vbProcedure="false">"#"</definedName>
    <definedName function="false" hidden="true" name="FDC_60_170" vbProcedure="false">"#"</definedName>
    <definedName function="false" hidden="true" name="FDC_60_171" vbProcedure="false">"#"</definedName>
    <definedName function="false" hidden="true" name="FDC_60_172" vbProcedure="false">"#"</definedName>
    <definedName function="false" hidden="true" name="FDC_60_173" vbProcedure="false">"#"</definedName>
    <definedName function="false" hidden="true" name="FDC_60_174" vbProcedure="false">"#"</definedName>
    <definedName function="false" hidden="true" name="FDC_60_175" vbProcedure="false">"#"</definedName>
    <definedName function="false" hidden="true" name="FDC_60_176" vbProcedure="false">"#"</definedName>
    <definedName function="false" hidden="true" name="FDC_60_177" vbProcedure="false">"#"</definedName>
    <definedName function="false" hidden="true" name="FDC_60_178" vbProcedure="false">"#"</definedName>
    <definedName function="false" hidden="true" name="FDC_60_179" vbProcedure="false">"#"</definedName>
    <definedName function="false" hidden="true" name="FDC_60_18" vbProcedure="false">"#"</definedName>
    <definedName function="false" hidden="true" name="FDC_60_180" vbProcedure="false">"#"</definedName>
    <definedName function="false" hidden="true" name="FDC_60_181" vbProcedure="false">"#"</definedName>
    <definedName function="false" hidden="true" name="FDC_60_182" vbProcedure="false">"#"</definedName>
    <definedName function="false" hidden="true" name="FDC_60_183" vbProcedure="false">"#"</definedName>
    <definedName function="false" hidden="true" name="FDC_60_184" vbProcedure="false">"#"</definedName>
    <definedName function="false" hidden="true" name="FDC_60_185" vbProcedure="false">"#"</definedName>
    <definedName function="false" hidden="true" name="FDC_60_186" vbProcedure="false">"#"</definedName>
    <definedName function="false" hidden="true" name="FDC_60_187" vbProcedure="false">"#"</definedName>
    <definedName function="false" hidden="true" name="FDC_60_188" vbProcedure="false">"#"</definedName>
    <definedName function="false" hidden="true" name="FDC_60_189" vbProcedure="false">"#"</definedName>
    <definedName function="false" hidden="true" name="FDC_60_19" vbProcedure="false">"#"</definedName>
    <definedName function="false" hidden="true" name="FDC_60_190" vbProcedure="false">"#"</definedName>
    <definedName function="false" hidden="true" name="FDC_60_191" vbProcedure="false">"#"</definedName>
    <definedName function="false" hidden="true" name="FDC_60_192" vbProcedure="false">"#"</definedName>
    <definedName function="false" hidden="true" name="FDC_60_193" vbProcedure="false">"#"</definedName>
    <definedName function="false" hidden="true" name="FDC_60_194" vbProcedure="false">"#"</definedName>
    <definedName function="false" hidden="true" name="FDC_60_195" vbProcedure="false">"#"</definedName>
    <definedName function="false" hidden="true" name="FDC_60_196" vbProcedure="false">"#"</definedName>
    <definedName function="false" hidden="true" name="FDC_60_197" vbProcedure="false">"#"</definedName>
    <definedName function="false" hidden="true" name="FDC_60_198" vbProcedure="false">"#"</definedName>
    <definedName function="false" hidden="true" name="FDC_60_199" vbProcedure="false">"#"</definedName>
    <definedName function="false" hidden="true" name="FDC_60_2" vbProcedure="false">"#"</definedName>
    <definedName function="false" hidden="true" name="FDC_60_20" vbProcedure="false">"#"</definedName>
    <definedName function="false" hidden="true" name="FDC_60_200" vbProcedure="false">"#"</definedName>
    <definedName function="false" hidden="true" name="FDC_60_201" vbProcedure="false">"#"</definedName>
    <definedName function="false" hidden="true" name="FDC_60_202" vbProcedure="false">"#"</definedName>
    <definedName function="false" hidden="true" name="FDC_60_203" vbProcedure="false">"#"</definedName>
    <definedName function="false" hidden="true" name="FDC_60_204" vbProcedure="false">"#"</definedName>
    <definedName function="false" hidden="true" name="FDC_60_205" vbProcedure="false">"#"</definedName>
    <definedName function="false" hidden="true" name="FDC_60_206" vbProcedure="false">"#"</definedName>
    <definedName function="false" hidden="true" name="FDC_60_207" vbProcedure="false">"#"</definedName>
    <definedName function="false" hidden="true" name="FDC_60_208" vbProcedure="false">"#"</definedName>
    <definedName function="false" hidden="true" name="FDC_60_209" vbProcedure="false">"#"</definedName>
    <definedName function="false" hidden="true" name="FDC_60_21" vbProcedure="false">"#"</definedName>
    <definedName function="false" hidden="true" name="FDC_60_210" vbProcedure="false">"#"</definedName>
    <definedName function="false" hidden="true" name="FDC_60_211" vbProcedure="false">"#"</definedName>
    <definedName function="false" hidden="true" name="FDC_60_212" vbProcedure="false">"#"</definedName>
    <definedName function="false" hidden="true" name="FDC_60_213" vbProcedure="false">"#"</definedName>
    <definedName function="false" hidden="true" name="FDC_60_214" vbProcedure="false">"#"</definedName>
    <definedName function="false" hidden="true" name="FDC_60_215" vbProcedure="false">"#"</definedName>
    <definedName function="false" hidden="true" name="FDC_60_216" vbProcedure="false">"#"</definedName>
    <definedName function="false" hidden="true" name="FDC_60_217" vbProcedure="false">"#"</definedName>
    <definedName function="false" hidden="true" name="FDC_60_218" vbProcedure="false">"#"</definedName>
    <definedName function="false" hidden="true" name="FDC_60_219" vbProcedure="false">"#"</definedName>
    <definedName function="false" hidden="true" name="FDC_60_22" vbProcedure="false">"#"</definedName>
    <definedName function="false" hidden="true" name="FDC_60_220" vbProcedure="false">"#"</definedName>
    <definedName function="false" hidden="true" name="FDC_60_221" vbProcedure="false">"#"</definedName>
    <definedName function="false" hidden="true" name="FDC_60_222" vbProcedure="false">"#"</definedName>
    <definedName function="false" hidden="true" name="FDC_60_223" vbProcedure="false">"#"</definedName>
    <definedName function="false" hidden="true" name="FDC_60_224" vbProcedure="false">"#"</definedName>
    <definedName function="false" hidden="true" name="FDC_60_225" vbProcedure="false">"#"</definedName>
    <definedName function="false" hidden="true" name="FDC_60_226" vbProcedure="false">"#"</definedName>
    <definedName function="false" hidden="true" name="FDC_60_227" vbProcedure="false">"#"</definedName>
    <definedName function="false" hidden="true" name="FDC_60_228" vbProcedure="false">"#"</definedName>
    <definedName function="false" hidden="true" name="FDC_60_229" vbProcedure="false">"#"</definedName>
    <definedName function="false" hidden="true" name="FDC_60_23" vbProcedure="false">"#"</definedName>
    <definedName function="false" hidden="true" name="FDC_60_230" vbProcedure="false">"#"</definedName>
    <definedName function="false" hidden="true" name="FDC_60_231" vbProcedure="false">"#"</definedName>
    <definedName function="false" hidden="true" name="FDC_60_232" vbProcedure="false">"#"</definedName>
    <definedName function="false" hidden="true" name="FDC_60_233" vbProcedure="false">"#"</definedName>
    <definedName function="false" hidden="true" name="FDC_60_234" vbProcedure="false">"#"</definedName>
    <definedName function="false" hidden="true" name="FDC_60_235" vbProcedure="false">"#"</definedName>
    <definedName function="false" hidden="true" name="FDC_60_236" vbProcedure="false">"#"</definedName>
    <definedName function="false" hidden="true" name="FDC_60_237" vbProcedure="false">"#"</definedName>
    <definedName function="false" hidden="true" name="FDC_60_238" vbProcedure="false">"#"</definedName>
    <definedName function="false" hidden="true" name="FDC_60_239" vbProcedure="false">"#"</definedName>
    <definedName function="false" hidden="true" name="FDC_60_24" vbProcedure="false">"#"</definedName>
    <definedName function="false" hidden="true" name="FDC_60_240" vbProcedure="false">"#"</definedName>
    <definedName function="false" hidden="true" name="FDC_60_241" vbProcedure="false">"#"</definedName>
    <definedName function="false" hidden="true" name="FDC_60_242" vbProcedure="false">"#"</definedName>
    <definedName function="false" hidden="true" name="FDC_60_243" vbProcedure="false">"#"</definedName>
    <definedName function="false" hidden="true" name="FDC_60_244" vbProcedure="false">"#"</definedName>
    <definedName function="false" hidden="true" name="FDC_60_245" vbProcedure="false">"#"</definedName>
    <definedName function="false" hidden="true" name="FDC_60_246" vbProcedure="false">"#"</definedName>
    <definedName function="false" hidden="true" name="FDC_60_247" vbProcedure="false">"#"</definedName>
    <definedName function="false" hidden="true" name="FDC_60_248" vbProcedure="false">"#"</definedName>
    <definedName function="false" hidden="true" name="FDC_60_249" vbProcedure="false">"#"</definedName>
    <definedName function="false" hidden="true" name="FDC_60_25" vbProcedure="false">"#"</definedName>
    <definedName function="false" hidden="true" name="FDC_60_250" vbProcedure="false">"#"</definedName>
    <definedName function="false" hidden="true" name="FDC_60_251" vbProcedure="false">"#"</definedName>
    <definedName function="false" hidden="true" name="FDC_60_252" vbProcedure="false">"#"</definedName>
    <definedName function="false" hidden="true" name="FDC_60_253" vbProcedure="false">"#"</definedName>
    <definedName function="false" hidden="true" name="FDC_60_254" vbProcedure="false">"#"</definedName>
    <definedName function="false" hidden="true" name="FDC_60_255" vbProcedure="false">"#"</definedName>
    <definedName function="false" hidden="true" name="FDC_60_256" vbProcedure="false">"#"</definedName>
    <definedName function="false" hidden="true" name="FDC_60_257" vbProcedure="false">"#"</definedName>
    <definedName function="false" hidden="true" name="FDC_60_258" vbProcedure="false">"#"</definedName>
    <definedName function="false" hidden="true" name="FDC_60_259" vbProcedure="false">"#"</definedName>
    <definedName function="false" hidden="true" name="FDC_60_26" vbProcedure="false">"#"</definedName>
    <definedName function="false" hidden="true" name="FDC_60_260" vbProcedure="false">"#"</definedName>
    <definedName function="false" hidden="true" name="FDC_60_261" vbProcedure="false">"#"</definedName>
    <definedName function="false" hidden="true" name="FDC_60_27" vbProcedure="false">"#"</definedName>
    <definedName function="false" hidden="true" name="FDC_60_28" vbProcedure="false">"#"</definedName>
    <definedName function="false" hidden="true" name="FDC_60_29" vbProcedure="false">"#"</definedName>
    <definedName function="false" hidden="true" name="FDC_60_3" vbProcedure="false">"#"</definedName>
    <definedName function="false" hidden="true" name="FDC_60_30" vbProcedure="false">"#"</definedName>
    <definedName function="false" hidden="true" name="FDC_60_31" vbProcedure="false">"#"</definedName>
    <definedName function="false" hidden="true" name="FDC_60_32" vbProcedure="false">"#"</definedName>
    <definedName function="false" hidden="true" name="FDC_60_33" vbProcedure="false">"#"</definedName>
    <definedName function="false" hidden="true" name="FDC_60_34" vbProcedure="false">"#"</definedName>
    <definedName function="false" hidden="true" name="FDC_60_35" vbProcedure="false">"#"</definedName>
    <definedName function="false" hidden="true" name="FDC_60_36" vbProcedure="false">"#"</definedName>
    <definedName function="false" hidden="true" name="FDC_60_37" vbProcedure="false">"#"</definedName>
    <definedName function="false" hidden="true" name="FDC_60_38" vbProcedure="false">"#"</definedName>
    <definedName function="false" hidden="true" name="FDC_60_39" vbProcedure="false">"#"</definedName>
    <definedName function="false" hidden="true" name="FDC_60_4" vbProcedure="false">"#"</definedName>
    <definedName function="false" hidden="true" name="FDC_60_40" vbProcedure="false">"#"</definedName>
    <definedName function="false" hidden="true" name="FDC_60_41" vbProcedure="false">"#"</definedName>
    <definedName function="false" hidden="true" name="FDC_60_42" vbProcedure="false">"#"</definedName>
    <definedName function="false" hidden="true" name="FDC_60_43" vbProcedure="false">"#"</definedName>
    <definedName function="false" hidden="true" name="FDC_60_44" vbProcedure="false">"#"</definedName>
    <definedName function="false" hidden="true" name="FDC_60_45" vbProcedure="false">"#"</definedName>
    <definedName function="false" hidden="true" name="FDC_60_46" vbProcedure="false">"#"</definedName>
    <definedName function="false" hidden="true" name="FDC_60_47" vbProcedure="false">"#"</definedName>
    <definedName function="false" hidden="true" name="FDC_60_48" vbProcedure="false">"#"</definedName>
    <definedName function="false" hidden="true" name="FDC_60_49" vbProcedure="false">"#"</definedName>
    <definedName function="false" hidden="true" name="FDC_60_5" vbProcedure="false">"#"</definedName>
    <definedName function="false" hidden="true" name="FDC_60_50" vbProcedure="false">"#"</definedName>
    <definedName function="false" hidden="true" name="FDC_60_51" vbProcedure="false">"#"</definedName>
    <definedName function="false" hidden="true" name="FDC_60_52" vbProcedure="false">"#"</definedName>
    <definedName function="false" hidden="true" name="FDC_60_53" vbProcedure="false">"#"</definedName>
    <definedName function="false" hidden="true" name="FDC_60_54" vbProcedure="false">"#"</definedName>
    <definedName function="false" hidden="true" name="FDC_60_55" vbProcedure="false">"#"</definedName>
    <definedName function="false" hidden="true" name="FDC_60_56" vbProcedure="false">"#"</definedName>
    <definedName function="false" hidden="true" name="FDC_60_57" vbProcedure="false">"#"</definedName>
    <definedName function="false" hidden="true" name="FDC_60_58" vbProcedure="false">"#"</definedName>
    <definedName function="false" hidden="true" name="FDC_60_59" vbProcedure="false">"#"</definedName>
    <definedName function="false" hidden="true" name="FDC_60_6" vbProcedure="false">"#"</definedName>
    <definedName function="false" hidden="true" name="FDC_60_60" vbProcedure="false">"#"</definedName>
    <definedName function="false" hidden="true" name="FDC_60_61" vbProcedure="false">"#"</definedName>
    <definedName function="false" hidden="true" name="FDC_60_62" vbProcedure="false">"#"</definedName>
    <definedName function="false" hidden="true" name="FDC_60_63" vbProcedure="false">"#"</definedName>
    <definedName function="false" hidden="true" name="FDC_60_64" vbProcedure="false">"#"</definedName>
    <definedName function="false" hidden="true" name="FDC_60_65" vbProcedure="false">"#"</definedName>
    <definedName function="false" hidden="true" name="FDC_60_66" vbProcedure="false">"#"</definedName>
    <definedName function="false" hidden="true" name="FDC_60_67" vbProcedure="false">"#"</definedName>
    <definedName function="false" hidden="true" name="FDC_60_68" vbProcedure="false">"#"</definedName>
    <definedName function="false" hidden="true" name="FDC_60_69" vbProcedure="false">"#"</definedName>
    <definedName function="false" hidden="true" name="FDC_60_7" vbProcedure="false">"#"</definedName>
    <definedName function="false" hidden="true" name="FDC_60_70" vbProcedure="false">"#"</definedName>
    <definedName function="false" hidden="true" name="FDC_60_71" vbProcedure="false">"#"</definedName>
    <definedName function="false" hidden="true" name="FDC_60_72" vbProcedure="false">"#"</definedName>
    <definedName function="false" hidden="true" name="FDC_60_73" vbProcedure="false">"#"</definedName>
    <definedName function="false" hidden="true" name="FDC_60_74" vbProcedure="false">"#"</definedName>
    <definedName function="false" hidden="true" name="FDC_60_75" vbProcedure="false">"#"</definedName>
    <definedName function="false" hidden="true" name="FDC_60_76" vbProcedure="false">"#"</definedName>
    <definedName function="false" hidden="true" name="FDC_60_77" vbProcedure="false">"#"</definedName>
    <definedName function="false" hidden="true" name="FDC_60_78" vbProcedure="false">"#"</definedName>
    <definedName function="false" hidden="true" name="FDC_60_79" vbProcedure="false">"#"</definedName>
    <definedName function="false" hidden="true" name="FDC_60_8" vbProcedure="false">"#"</definedName>
    <definedName function="false" hidden="true" name="FDC_60_80" vbProcedure="false">"#"</definedName>
    <definedName function="false" hidden="true" name="FDC_60_81" vbProcedure="false">"#"</definedName>
    <definedName function="false" hidden="true" name="FDC_60_82" vbProcedure="false">"#"</definedName>
    <definedName function="false" hidden="true" name="FDC_60_83" vbProcedure="false">"#"</definedName>
    <definedName function="false" hidden="true" name="FDC_60_84" vbProcedure="false">"#"</definedName>
    <definedName function="false" hidden="true" name="FDC_60_85" vbProcedure="false">"#"</definedName>
    <definedName function="false" hidden="true" name="FDC_60_86" vbProcedure="false">"#"</definedName>
    <definedName function="false" hidden="true" name="FDC_60_87" vbProcedure="false">"#"</definedName>
    <definedName function="false" hidden="true" name="FDC_60_88" vbProcedure="false">"#"</definedName>
    <definedName function="false" hidden="true" name="FDC_60_89" vbProcedure="false">"#"</definedName>
    <definedName function="false" hidden="true" name="FDC_60_9" vbProcedure="false">"#"</definedName>
    <definedName function="false" hidden="true" name="FDC_60_90" vbProcedure="false">"#"</definedName>
    <definedName function="false" hidden="true" name="FDC_60_91" vbProcedure="false">"#"</definedName>
    <definedName function="false" hidden="true" name="FDC_60_92" vbProcedure="false">"#"</definedName>
    <definedName function="false" hidden="true" name="FDC_60_93" vbProcedure="false">"#"</definedName>
    <definedName function="false" hidden="true" name="FDC_60_94" vbProcedure="false">"#"</definedName>
    <definedName function="false" hidden="true" name="FDC_60_95" vbProcedure="false">"#"</definedName>
    <definedName function="false" hidden="true" name="FDC_60_96" vbProcedure="false">"#"</definedName>
    <definedName function="false" hidden="true" name="FDC_60_97" vbProcedure="false">"#"</definedName>
    <definedName function="false" hidden="true" name="FDC_60_98" vbProcedure="false">"#"</definedName>
    <definedName function="false" hidden="true" name="FDC_60_99" vbProcedure="false">"#"</definedName>
    <definedName function="false" hidden="true" name="FDC_61_0" vbProcedure="false">"#"</definedName>
    <definedName function="false" hidden="true" name="FDC_62_0" vbProcedure="false">"#"</definedName>
    <definedName function="false" hidden="true" name="FDC_62_1" vbProcedure="false">"#"</definedName>
    <definedName function="false" hidden="true" name="FDC_62_10" vbProcedure="false">"#"</definedName>
    <definedName function="false" hidden="true" name="FDC_62_100" vbProcedure="false">"#"</definedName>
    <definedName function="false" hidden="true" name="FDC_62_101" vbProcedure="false">"#"</definedName>
    <definedName function="false" hidden="true" name="FDC_62_102" vbProcedure="false">"#"</definedName>
    <definedName function="false" hidden="true" name="FDC_62_103" vbProcedure="false">"#"</definedName>
    <definedName function="false" hidden="true" name="FDC_62_104" vbProcedure="false">"#"</definedName>
    <definedName function="false" hidden="true" name="FDC_62_105" vbProcedure="false">"#"</definedName>
    <definedName function="false" hidden="true" name="FDC_62_106" vbProcedure="false">"#"</definedName>
    <definedName function="false" hidden="true" name="FDC_62_107" vbProcedure="false">"#"</definedName>
    <definedName function="false" hidden="true" name="FDC_62_108" vbProcedure="false">"#"</definedName>
    <definedName function="false" hidden="true" name="FDC_62_109" vbProcedure="false">"#"</definedName>
    <definedName function="false" hidden="true" name="FDC_62_11" vbProcedure="false">"#"</definedName>
    <definedName function="false" hidden="true" name="FDC_62_110" vbProcedure="false">"#"</definedName>
    <definedName function="false" hidden="true" name="FDC_62_111" vbProcedure="false">"#"</definedName>
    <definedName function="false" hidden="true" name="FDC_62_112" vbProcedure="false">"#"</definedName>
    <definedName function="false" hidden="true" name="FDC_62_113" vbProcedure="false">"#"</definedName>
    <definedName function="false" hidden="true" name="FDC_62_114" vbProcedure="false">"#"</definedName>
    <definedName function="false" hidden="true" name="FDC_62_115" vbProcedure="false">"#"</definedName>
    <definedName function="false" hidden="true" name="FDC_62_116" vbProcedure="false">"#"</definedName>
    <definedName function="false" hidden="true" name="FDC_62_117" vbProcedure="false">"#"</definedName>
    <definedName function="false" hidden="true" name="FDC_62_118" vbProcedure="false">"#"</definedName>
    <definedName function="false" hidden="true" name="FDC_62_119" vbProcedure="false">"#"</definedName>
    <definedName function="false" hidden="true" name="FDC_62_12" vbProcedure="false">"#"</definedName>
    <definedName function="false" hidden="true" name="FDC_62_120" vbProcedure="false">"#"</definedName>
    <definedName function="false" hidden="true" name="FDC_62_121" vbProcedure="false">"#"</definedName>
    <definedName function="false" hidden="true" name="FDC_62_122" vbProcedure="false">"#"</definedName>
    <definedName function="false" hidden="true" name="FDC_62_123" vbProcedure="false">"#"</definedName>
    <definedName function="false" hidden="true" name="FDC_62_124" vbProcedure="false">"#"</definedName>
    <definedName function="false" hidden="true" name="FDC_62_125" vbProcedure="false">"#"</definedName>
    <definedName function="false" hidden="true" name="FDC_62_126" vbProcedure="false">"#"</definedName>
    <definedName function="false" hidden="true" name="FDC_62_127" vbProcedure="false">"#"</definedName>
    <definedName function="false" hidden="true" name="FDC_62_128" vbProcedure="false">"#"</definedName>
    <definedName function="false" hidden="true" name="FDC_62_129" vbProcedure="false">"#"</definedName>
    <definedName function="false" hidden="true" name="FDC_62_13" vbProcedure="false">"#"</definedName>
    <definedName function="false" hidden="true" name="FDC_62_130" vbProcedure="false">"#"</definedName>
    <definedName function="false" hidden="true" name="FDC_62_131" vbProcedure="false">"#"</definedName>
    <definedName function="false" hidden="true" name="FDC_62_132" vbProcedure="false">"#"</definedName>
    <definedName function="false" hidden="true" name="FDC_62_133" vbProcedure="false">"#"</definedName>
    <definedName function="false" hidden="true" name="FDC_62_134" vbProcedure="false">"#"</definedName>
    <definedName function="false" hidden="true" name="FDC_62_135" vbProcedure="false">"#"</definedName>
    <definedName function="false" hidden="true" name="FDC_62_136" vbProcedure="false">"#"</definedName>
    <definedName function="false" hidden="true" name="FDC_62_137" vbProcedure="false">"#"</definedName>
    <definedName function="false" hidden="true" name="FDC_62_138" vbProcedure="false">"#"</definedName>
    <definedName function="false" hidden="true" name="FDC_62_139" vbProcedure="false">"#"</definedName>
    <definedName function="false" hidden="true" name="FDC_62_14" vbProcedure="false">"#"</definedName>
    <definedName function="false" hidden="true" name="FDC_62_140" vbProcedure="false">"#"</definedName>
    <definedName function="false" hidden="true" name="FDC_62_141" vbProcedure="false">"#"</definedName>
    <definedName function="false" hidden="true" name="FDC_62_142" vbProcedure="false">"#"</definedName>
    <definedName function="false" hidden="true" name="FDC_62_143" vbProcedure="false">"#"</definedName>
    <definedName function="false" hidden="true" name="FDC_62_144" vbProcedure="false">"#"</definedName>
    <definedName function="false" hidden="true" name="FDC_62_145" vbProcedure="false">"#"</definedName>
    <definedName function="false" hidden="true" name="FDC_62_146" vbProcedure="false">"#"</definedName>
    <definedName function="false" hidden="true" name="FDC_62_147" vbProcedure="false">"#"</definedName>
    <definedName function="false" hidden="true" name="FDC_62_148" vbProcedure="false">"#"</definedName>
    <definedName function="false" hidden="true" name="FDC_62_149" vbProcedure="false">"#"</definedName>
    <definedName function="false" hidden="true" name="FDC_62_15" vbProcedure="false">"#"</definedName>
    <definedName function="false" hidden="true" name="FDC_62_150" vbProcedure="false">"#"</definedName>
    <definedName function="false" hidden="true" name="FDC_62_151" vbProcedure="false">"#"</definedName>
    <definedName function="false" hidden="true" name="FDC_62_152" vbProcedure="false">"#"</definedName>
    <definedName function="false" hidden="true" name="FDC_62_153" vbProcedure="false">"#"</definedName>
    <definedName function="false" hidden="true" name="FDC_62_154" vbProcedure="false">"#"</definedName>
    <definedName function="false" hidden="true" name="FDC_62_155" vbProcedure="false">"#"</definedName>
    <definedName function="false" hidden="true" name="FDC_62_156" vbProcedure="false">"#"</definedName>
    <definedName function="false" hidden="true" name="FDC_62_157" vbProcedure="false">"#"</definedName>
    <definedName function="false" hidden="true" name="FDC_62_158" vbProcedure="false">"#"</definedName>
    <definedName function="false" hidden="true" name="FDC_62_159" vbProcedure="false">"#"</definedName>
    <definedName function="false" hidden="true" name="FDC_62_16" vbProcedure="false">"#"</definedName>
    <definedName function="false" hidden="true" name="FDC_62_160" vbProcedure="false">"#"</definedName>
    <definedName function="false" hidden="true" name="FDC_62_161" vbProcedure="false">"#"</definedName>
    <definedName function="false" hidden="true" name="FDC_62_162" vbProcedure="false">"#"</definedName>
    <definedName function="false" hidden="true" name="FDC_62_163" vbProcedure="false">"#"</definedName>
    <definedName function="false" hidden="true" name="FDC_62_164" vbProcedure="false">"#"</definedName>
    <definedName function="false" hidden="true" name="FDC_62_165" vbProcedure="false">"#"</definedName>
    <definedName function="false" hidden="true" name="FDC_62_166" vbProcedure="false">"#"</definedName>
    <definedName function="false" hidden="true" name="FDC_62_167" vbProcedure="false">"#"</definedName>
    <definedName function="false" hidden="true" name="FDC_62_168" vbProcedure="false">"#"</definedName>
    <definedName function="false" hidden="true" name="FDC_62_169" vbProcedure="false">"#"</definedName>
    <definedName function="false" hidden="true" name="FDC_62_17" vbProcedure="false">"#"</definedName>
    <definedName function="false" hidden="true" name="FDC_62_170" vbProcedure="false">"#"</definedName>
    <definedName function="false" hidden="true" name="FDC_62_171" vbProcedure="false">"#"</definedName>
    <definedName function="false" hidden="true" name="FDC_62_172" vbProcedure="false">"#"</definedName>
    <definedName function="false" hidden="true" name="FDC_62_173" vbProcedure="false">"#"</definedName>
    <definedName function="false" hidden="true" name="FDC_62_174" vbProcedure="false">"#"</definedName>
    <definedName function="false" hidden="true" name="FDC_62_175" vbProcedure="false">"#"</definedName>
    <definedName function="false" hidden="true" name="FDC_62_176" vbProcedure="false">"#"</definedName>
    <definedName function="false" hidden="true" name="FDC_62_177" vbProcedure="false">"#"</definedName>
    <definedName function="false" hidden="true" name="FDC_62_178" vbProcedure="false">"#"</definedName>
    <definedName function="false" hidden="true" name="FDC_62_179" vbProcedure="false">"#"</definedName>
    <definedName function="false" hidden="true" name="FDC_62_18" vbProcedure="false">"#"</definedName>
    <definedName function="false" hidden="true" name="FDC_62_180" vbProcedure="false">"#"</definedName>
    <definedName function="false" hidden="true" name="FDC_62_181" vbProcedure="false">"#"</definedName>
    <definedName function="false" hidden="true" name="FDC_62_182" vbProcedure="false">"#"</definedName>
    <definedName function="false" hidden="true" name="FDC_62_183" vbProcedure="false">"#"</definedName>
    <definedName function="false" hidden="true" name="FDC_62_184" vbProcedure="false">"#"</definedName>
    <definedName function="false" hidden="true" name="FDC_62_185" vbProcedure="false">"#"</definedName>
    <definedName function="false" hidden="true" name="FDC_62_186" vbProcedure="false">"#"</definedName>
    <definedName function="false" hidden="true" name="FDC_62_187" vbProcedure="false">"#"</definedName>
    <definedName function="false" hidden="true" name="FDC_62_188" vbProcedure="false">"#"</definedName>
    <definedName function="false" hidden="true" name="FDC_62_189" vbProcedure="false">"#"</definedName>
    <definedName function="false" hidden="true" name="FDC_62_19" vbProcedure="false">"#"</definedName>
    <definedName function="false" hidden="true" name="FDC_62_190" vbProcedure="false">"#"</definedName>
    <definedName function="false" hidden="true" name="FDC_62_191" vbProcedure="false">"#"</definedName>
    <definedName function="false" hidden="true" name="FDC_62_192" vbProcedure="false">"#"</definedName>
    <definedName function="false" hidden="true" name="FDC_62_193" vbProcedure="false">"#"</definedName>
    <definedName function="false" hidden="true" name="FDC_62_194" vbProcedure="false">"#"</definedName>
    <definedName function="false" hidden="true" name="FDC_62_195" vbProcedure="false">"#"</definedName>
    <definedName function="false" hidden="true" name="FDC_62_196" vbProcedure="false">"#"</definedName>
    <definedName function="false" hidden="true" name="FDC_62_197" vbProcedure="false">"#"</definedName>
    <definedName function="false" hidden="true" name="FDC_62_198" vbProcedure="false">"#"</definedName>
    <definedName function="false" hidden="true" name="FDC_62_199" vbProcedure="false">"#"</definedName>
    <definedName function="false" hidden="true" name="FDC_62_2" vbProcedure="false">"#"</definedName>
    <definedName function="false" hidden="true" name="FDC_62_20" vbProcedure="false">"#"</definedName>
    <definedName function="false" hidden="true" name="FDC_62_200" vbProcedure="false">"#"</definedName>
    <definedName function="false" hidden="true" name="FDC_62_201" vbProcedure="false">"#"</definedName>
    <definedName function="false" hidden="true" name="FDC_62_202" vbProcedure="false">"#"</definedName>
    <definedName function="false" hidden="true" name="FDC_62_203" vbProcedure="false">"#"</definedName>
    <definedName function="false" hidden="true" name="FDC_62_204" vbProcedure="false">"#"</definedName>
    <definedName function="false" hidden="true" name="FDC_62_205" vbProcedure="false">"#"</definedName>
    <definedName function="false" hidden="true" name="FDC_62_206" vbProcedure="false">"#"</definedName>
    <definedName function="false" hidden="true" name="FDC_62_207" vbProcedure="false">"#"</definedName>
    <definedName function="false" hidden="true" name="FDC_62_208" vbProcedure="false">"#"</definedName>
    <definedName function="false" hidden="true" name="FDC_62_209" vbProcedure="false">"#"</definedName>
    <definedName function="false" hidden="true" name="FDC_62_21" vbProcedure="false">"#"</definedName>
    <definedName function="false" hidden="true" name="FDC_62_210" vbProcedure="false">"#"</definedName>
    <definedName function="false" hidden="true" name="FDC_62_211" vbProcedure="false">"#"</definedName>
    <definedName function="false" hidden="true" name="FDC_62_212" vbProcedure="false">"#"</definedName>
    <definedName function="false" hidden="true" name="FDC_62_213" vbProcedure="false">"#"</definedName>
    <definedName function="false" hidden="true" name="FDC_62_214" vbProcedure="false">"#"</definedName>
    <definedName function="false" hidden="true" name="FDC_62_215" vbProcedure="false">"#"</definedName>
    <definedName function="false" hidden="true" name="FDC_62_216" vbProcedure="false">"#"</definedName>
    <definedName function="false" hidden="true" name="FDC_62_217" vbProcedure="false">"#"</definedName>
    <definedName function="false" hidden="true" name="FDC_62_218" vbProcedure="false">"#"</definedName>
    <definedName function="false" hidden="true" name="FDC_62_219" vbProcedure="false">"#"</definedName>
    <definedName function="false" hidden="true" name="FDC_62_22" vbProcedure="false">"#"</definedName>
    <definedName function="false" hidden="true" name="FDC_62_220" vbProcedure="false">"#"</definedName>
    <definedName function="false" hidden="true" name="FDC_62_221" vbProcedure="false">"#"</definedName>
    <definedName function="false" hidden="true" name="FDC_62_222" vbProcedure="false">"#"</definedName>
    <definedName function="false" hidden="true" name="FDC_62_223" vbProcedure="false">"#"</definedName>
    <definedName function="false" hidden="true" name="FDC_62_224" vbProcedure="false">"#"</definedName>
    <definedName function="false" hidden="true" name="FDC_62_225" vbProcedure="false">"#"</definedName>
    <definedName function="false" hidden="true" name="FDC_62_226" vbProcedure="false">"#"</definedName>
    <definedName function="false" hidden="true" name="FDC_62_227" vbProcedure="false">"#"</definedName>
    <definedName function="false" hidden="true" name="FDC_62_228" vbProcedure="false">"#"</definedName>
    <definedName function="false" hidden="true" name="FDC_62_229" vbProcedure="false">"#"</definedName>
    <definedName function="false" hidden="true" name="FDC_62_23" vbProcedure="false">"#"</definedName>
    <definedName function="false" hidden="true" name="FDC_62_230" vbProcedure="false">"#"</definedName>
    <definedName function="false" hidden="true" name="FDC_62_231" vbProcedure="false">"#"</definedName>
    <definedName function="false" hidden="true" name="FDC_62_232" vbProcedure="false">"#"</definedName>
    <definedName function="false" hidden="true" name="FDC_62_233" vbProcedure="false">"#"</definedName>
    <definedName function="false" hidden="true" name="FDC_62_234" vbProcedure="false">"#"</definedName>
    <definedName function="false" hidden="true" name="FDC_62_235" vbProcedure="false">"#"</definedName>
    <definedName function="false" hidden="true" name="FDC_62_236" vbProcedure="false">"#"</definedName>
    <definedName function="false" hidden="true" name="FDC_62_237" vbProcedure="false">"#"</definedName>
    <definedName function="false" hidden="true" name="FDC_62_238" vbProcedure="false">"#"</definedName>
    <definedName function="false" hidden="true" name="FDC_62_239" vbProcedure="false">"#"</definedName>
    <definedName function="false" hidden="true" name="FDC_62_24" vbProcedure="false">"#"</definedName>
    <definedName function="false" hidden="true" name="FDC_62_240" vbProcedure="false">"#"</definedName>
    <definedName function="false" hidden="true" name="FDC_62_241" vbProcedure="false">"#"</definedName>
    <definedName function="false" hidden="true" name="FDC_62_242" vbProcedure="false">"#"</definedName>
    <definedName function="false" hidden="true" name="FDC_62_243" vbProcedure="false">"#"</definedName>
    <definedName function="false" hidden="true" name="FDC_62_244" vbProcedure="false">"#"</definedName>
    <definedName function="false" hidden="true" name="FDC_62_245" vbProcedure="false">"#"</definedName>
    <definedName function="false" hidden="true" name="FDC_62_246" vbProcedure="false">"#"</definedName>
    <definedName function="false" hidden="true" name="FDC_62_247" vbProcedure="false">"#"</definedName>
    <definedName function="false" hidden="true" name="FDC_62_248" vbProcedure="false">"#"</definedName>
    <definedName function="false" hidden="true" name="FDC_62_249" vbProcedure="false">"#"</definedName>
    <definedName function="false" hidden="true" name="FDC_62_25" vbProcedure="false">"#"</definedName>
    <definedName function="false" hidden="true" name="FDC_62_250" vbProcedure="false">"#"</definedName>
    <definedName function="false" hidden="true" name="FDC_62_251" vbProcedure="false">"#"</definedName>
    <definedName function="false" hidden="true" name="FDC_62_252" vbProcedure="false">"#"</definedName>
    <definedName function="false" hidden="true" name="FDC_62_253" vbProcedure="false">"#"</definedName>
    <definedName function="false" hidden="true" name="FDC_62_254" vbProcedure="false">"#"</definedName>
    <definedName function="false" hidden="true" name="FDC_62_255" vbProcedure="false">"#"</definedName>
    <definedName function="false" hidden="true" name="FDC_62_256" vbProcedure="false">"#"</definedName>
    <definedName function="false" hidden="true" name="FDC_62_257" vbProcedure="false">"#"</definedName>
    <definedName function="false" hidden="true" name="FDC_62_258" vbProcedure="false">"#"</definedName>
    <definedName function="false" hidden="true" name="FDC_62_259" vbProcedure="false">"#"</definedName>
    <definedName function="false" hidden="true" name="FDC_62_26" vbProcedure="false">"#"</definedName>
    <definedName function="false" hidden="true" name="FDC_62_260" vbProcedure="false">"#"</definedName>
    <definedName function="false" hidden="true" name="FDC_62_261" vbProcedure="false">"#"</definedName>
    <definedName function="false" hidden="true" name="FDC_62_27" vbProcedure="false">"#"</definedName>
    <definedName function="false" hidden="true" name="FDC_62_28" vbProcedure="false">"#"</definedName>
    <definedName function="false" hidden="true" name="FDC_62_29" vbProcedure="false">"#"</definedName>
    <definedName function="false" hidden="true" name="FDC_62_3" vbProcedure="false">"#"</definedName>
    <definedName function="false" hidden="true" name="FDC_62_30" vbProcedure="false">"#"</definedName>
    <definedName function="false" hidden="true" name="FDC_62_31" vbProcedure="false">"#"</definedName>
    <definedName function="false" hidden="true" name="FDC_62_32" vbProcedure="false">"#"</definedName>
    <definedName function="false" hidden="true" name="FDC_62_33" vbProcedure="false">"#"</definedName>
    <definedName function="false" hidden="true" name="FDC_62_34" vbProcedure="false">"#"</definedName>
    <definedName function="false" hidden="true" name="FDC_62_35" vbProcedure="false">"#"</definedName>
    <definedName function="false" hidden="true" name="FDC_62_36" vbProcedure="false">"#"</definedName>
    <definedName function="false" hidden="true" name="FDC_62_37" vbProcedure="false">"#"</definedName>
    <definedName function="false" hidden="true" name="FDC_62_38" vbProcedure="false">"#"</definedName>
    <definedName function="false" hidden="true" name="FDC_62_39" vbProcedure="false">"#"</definedName>
    <definedName function="false" hidden="true" name="FDC_62_4" vbProcedure="false">"#"</definedName>
    <definedName function="false" hidden="true" name="FDC_62_40" vbProcedure="false">"#"</definedName>
    <definedName function="false" hidden="true" name="FDC_62_41" vbProcedure="false">"#"</definedName>
    <definedName function="false" hidden="true" name="FDC_62_42" vbProcedure="false">"#"</definedName>
    <definedName function="false" hidden="true" name="FDC_62_43" vbProcedure="false">"#"</definedName>
    <definedName function="false" hidden="true" name="FDC_62_44" vbProcedure="false">"#"</definedName>
    <definedName function="false" hidden="true" name="FDC_62_45" vbProcedure="false">"#"</definedName>
    <definedName function="false" hidden="true" name="FDC_62_46" vbProcedure="false">"#"</definedName>
    <definedName function="false" hidden="true" name="FDC_62_47" vbProcedure="false">"#"</definedName>
    <definedName function="false" hidden="true" name="FDC_62_48" vbProcedure="false">"#"</definedName>
    <definedName function="false" hidden="true" name="FDC_62_49" vbProcedure="false">"#"</definedName>
    <definedName function="false" hidden="true" name="FDC_62_5" vbProcedure="false">"#"</definedName>
    <definedName function="false" hidden="true" name="FDC_62_50" vbProcedure="false">"#"</definedName>
    <definedName function="false" hidden="true" name="FDC_62_51" vbProcedure="false">"#"</definedName>
    <definedName function="false" hidden="true" name="FDC_62_52" vbProcedure="false">"#"</definedName>
    <definedName function="false" hidden="true" name="FDC_62_53" vbProcedure="false">"#"</definedName>
    <definedName function="false" hidden="true" name="FDC_62_54" vbProcedure="false">"#"</definedName>
    <definedName function="false" hidden="true" name="FDC_62_55" vbProcedure="false">"#"</definedName>
    <definedName function="false" hidden="true" name="FDC_62_56" vbProcedure="false">"#"</definedName>
    <definedName function="false" hidden="true" name="FDC_62_57" vbProcedure="false">"#"</definedName>
    <definedName function="false" hidden="true" name="FDC_62_58" vbProcedure="false">"#"</definedName>
    <definedName function="false" hidden="true" name="FDC_62_59" vbProcedure="false">"#"</definedName>
    <definedName function="false" hidden="true" name="FDC_62_6" vbProcedure="false">"#"</definedName>
    <definedName function="false" hidden="true" name="FDC_62_60" vbProcedure="false">"#"</definedName>
    <definedName function="false" hidden="true" name="FDC_62_61" vbProcedure="false">"#"</definedName>
    <definedName function="false" hidden="true" name="FDC_62_62" vbProcedure="false">"#"</definedName>
    <definedName function="false" hidden="true" name="FDC_62_63" vbProcedure="false">"#"</definedName>
    <definedName function="false" hidden="true" name="FDC_62_64" vbProcedure="false">"#"</definedName>
    <definedName function="false" hidden="true" name="FDC_62_65" vbProcedure="false">"#"</definedName>
    <definedName function="false" hidden="true" name="FDC_62_66" vbProcedure="false">"#"</definedName>
    <definedName function="false" hidden="true" name="FDC_62_67" vbProcedure="false">"#"</definedName>
    <definedName function="false" hidden="true" name="FDC_62_68" vbProcedure="false">"#"</definedName>
    <definedName function="false" hidden="true" name="FDC_62_69" vbProcedure="false">"#"</definedName>
    <definedName function="false" hidden="true" name="FDC_62_7" vbProcedure="false">"#"</definedName>
    <definedName function="false" hidden="true" name="FDC_62_70" vbProcedure="false">"#"</definedName>
    <definedName function="false" hidden="true" name="FDC_62_71" vbProcedure="false">"#"</definedName>
    <definedName function="false" hidden="true" name="FDC_62_72" vbProcedure="false">"#"</definedName>
    <definedName function="false" hidden="true" name="FDC_62_73" vbProcedure="false">"#"</definedName>
    <definedName function="false" hidden="true" name="FDC_62_74" vbProcedure="false">"#"</definedName>
    <definedName function="false" hidden="true" name="FDC_62_75" vbProcedure="false">"#"</definedName>
    <definedName function="false" hidden="true" name="FDC_62_76" vbProcedure="false">"#"</definedName>
    <definedName function="false" hidden="true" name="FDC_62_77" vbProcedure="false">"#"</definedName>
    <definedName function="false" hidden="true" name="FDC_62_78" vbProcedure="false">"#"</definedName>
    <definedName function="false" hidden="true" name="FDC_62_79" vbProcedure="false">"#"</definedName>
    <definedName function="false" hidden="true" name="FDC_62_8" vbProcedure="false">"#"</definedName>
    <definedName function="false" hidden="true" name="FDC_62_80" vbProcedure="false">"#"</definedName>
    <definedName function="false" hidden="true" name="FDC_62_81" vbProcedure="false">"#"</definedName>
    <definedName function="false" hidden="true" name="FDC_62_82" vbProcedure="false">"#"</definedName>
    <definedName function="false" hidden="true" name="FDC_62_83" vbProcedure="false">"#"</definedName>
    <definedName function="false" hidden="true" name="FDC_62_84" vbProcedure="false">"#"</definedName>
    <definedName function="false" hidden="true" name="FDC_62_85" vbProcedure="false">"#"</definedName>
    <definedName function="false" hidden="true" name="FDC_62_86" vbProcedure="false">"#"</definedName>
    <definedName function="false" hidden="true" name="FDC_62_87" vbProcedure="false">"#"</definedName>
    <definedName function="false" hidden="true" name="FDC_62_88" vbProcedure="false">"#"</definedName>
    <definedName function="false" hidden="true" name="FDC_62_89" vbProcedure="false">"#"</definedName>
    <definedName function="false" hidden="true" name="FDC_62_9" vbProcedure="false">"#"</definedName>
    <definedName function="false" hidden="true" name="FDC_62_90" vbProcedure="false">"#"</definedName>
    <definedName function="false" hidden="true" name="FDC_62_91" vbProcedure="false">"#"</definedName>
    <definedName function="false" hidden="true" name="FDC_62_92" vbProcedure="false">"#"</definedName>
    <definedName function="false" hidden="true" name="FDC_62_93" vbProcedure="false">"#"</definedName>
    <definedName function="false" hidden="true" name="FDC_62_94" vbProcedure="false">"#"</definedName>
    <definedName function="false" hidden="true" name="FDC_62_95" vbProcedure="false">"#"</definedName>
    <definedName function="false" hidden="true" name="FDC_62_96" vbProcedure="false">"#"</definedName>
    <definedName function="false" hidden="true" name="FDC_62_97" vbProcedure="false">"#"</definedName>
    <definedName function="false" hidden="true" name="FDC_62_98" vbProcedure="false">"#"</definedName>
    <definedName function="false" hidden="true" name="FDC_62_99" vbProcedure="false">"#"</definedName>
    <definedName function="false" hidden="true" name="FDC_63_0" vbProcedure="false">"#"</definedName>
    <definedName function="false" hidden="true" name="FDC_63_1" vbProcedure="false">"#"</definedName>
    <definedName function="false" hidden="true" name="FDC_63_10" vbProcedure="false">"#"</definedName>
    <definedName function="false" hidden="true" name="FDC_63_100" vbProcedure="false">"#"</definedName>
    <definedName function="false" hidden="true" name="FDC_63_101" vbProcedure="false">"#"</definedName>
    <definedName function="false" hidden="true" name="FDC_63_102" vbProcedure="false">"#"</definedName>
    <definedName function="false" hidden="true" name="FDC_63_103" vbProcedure="false">"#"</definedName>
    <definedName function="false" hidden="true" name="FDC_63_104" vbProcedure="false">"#"</definedName>
    <definedName function="false" hidden="true" name="FDC_63_105" vbProcedure="false">"#"</definedName>
    <definedName function="false" hidden="true" name="FDC_63_106" vbProcedure="false">"#"</definedName>
    <definedName function="false" hidden="true" name="FDC_63_107" vbProcedure="false">"#"</definedName>
    <definedName function="false" hidden="true" name="FDC_63_108" vbProcedure="false">"#"</definedName>
    <definedName function="false" hidden="true" name="FDC_63_109" vbProcedure="false">"#"</definedName>
    <definedName function="false" hidden="true" name="FDC_63_11" vbProcedure="false">"#"</definedName>
    <definedName function="false" hidden="true" name="FDC_63_110" vbProcedure="false">"#"</definedName>
    <definedName function="false" hidden="true" name="FDC_63_111" vbProcedure="false">"#"</definedName>
    <definedName function="false" hidden="true" name="FDC_63_112" vbProcedure="false">"#"</definedName>
    <definedName function="false" hidden="true" name="FDC_63_113" vbProcedure="false">"#"</definedName>
    <definedName function="false" hidden="true" name="FDC_63_114" vbProcedure="false">"#"</definedName>
    <definedName function="false" hidden="true" name="FDC_63_115" vbProcedure="false">"#"</definedName>
    <definedName function="false" hidden="true" name="FDC_63_116" vbProcedure="false">"#"</definedName>
    <definedName function="false" hidden="true" name="FDC_63_117" vbProcedure="false">"#"</definedName>
    <definedName function="false" hidden="true" name="FDC_63_118" vbProcedure="false">"#"</definedName>
    <definedName function="false" hidden="true" name="FDC_63_119" vbProcedure="false">"#"</definedName>
    <definedName function="false" hidden="true" name="FDC_63_12" vbProcedure="false">"#"</definedName>
    <definedName function="false" hidden="true" name="FDC_63_120" vbProcedure="false">"#"</definedName>
    <definedName function="false" hidden="true" name="FDC_63_121" vbProcedure="false">"#"</definedName>
    <definedName function="false" hidden="true" name="FDC_63_122" vbProcedure="false">"#"</definedName>
    <definedName function="false" hidden="true" name="FDC_63_123" vbProcedure="false">"#"</definedName>
    <definedName function="false" hidden="true" name="FDC_63_124" vbProcedure="false">"#"</definedName>
    <definedName function="false" hidden="true" name="FDC_63_125" vbProcedure="false">"#"</definedName>
    <definedName function="false" hidden="true" name="FDC_63_126" vbProcedure="false">"#"</definedName>
    <definedName function="false" hidden="true" name="FDC_63_127" vbProcedure="false">"#"</definedName>
    <definedName function="false" hidden="true" name="FDC_63_128" vbProcedure="false">"#"</definedName>
    <definedName function="false" hidden="true" name="FDC_63_129" vbProcedure="false">"#"</definedName>
    <definedName function="false" hidden="true" name="FDC_63_13" vbProcedure="false">"#"</definedName>
    <definedName function="false" hidden="true" name="FDC_63_130" vbProcedure="false">"#"</definedName>
    <definedName function="false" hidden="true" name="FDC_63_131" vbProcedure="false">"#"</definedName>
    <definedName function="false" hidden="true" name="FDC_63_132" vbProcedure="false">"#"</definedName>
    <definedName function="false" hidden="true" name="FDC_63_133" vbProcedure="false">"#"</definedName>
    <definedName function="false" hidden="true" name="FDC_63_134" vbProcedure="false">"#"</definedName>
    <definedName function="false" hidden="true" name="FDC_63_135" vbProcedure="false">"#"</definedName>
    <definedName function="false" hidden="true" name="FDC_63_136" vbProcedure="false">"#"</definedName>
    <definedName function="false" hidden="true" name="FDC_63_137" vbProcedure="false">"#"</definedName>
    <definedName function="false" hidden="true" name="FDC_63_138" vbProcedure="false">"#"</definedName>
    <definedName function="false" hidden="true" name="FDC_63_139" vbProcedure="false">"#"</definedName>
    <definedName function="false" hidden="true" name="FDC_63_14" vbProcedure="false">"#"</definedName>
    <definedName function="false" hidden="true" name="FDC_63_140" vbProcedure="false">"#"</definedName>
    <definedName function="false" hidden="true" name="FDC_63_141" vbProcedure="false">"#"</definedName>
    <definedName function="false" hidden="true" name="FDC_63_142" vbProcedure="false">"#"</definedName>
    <definedName function="false" hidden="true" name="FDC_63_143" vbProcedure="false">"#"</definedName>
    <definedName function="false" hidden="true" name="FDC_63_144" vbProcedure="false">"#"</definedName>
    <definedName function="false" hidden="true" name="FDC_63_145" vbProcedure="false">"#"</definedName>
    <definedName function="false" hidden="true" name="FDC_63_146" vbProcedure="false">"#"</definedName>
    <definedName function="false" hidden="true" name="FDC_63_147" vbProcedure="false">"#"</definedName>
    <definedName function="false" hidden="true" name="FDC_63_148" vbProcedure="false">"#"</definedName>
    <definedName function="false" hidden="true" name="FDC_63_149" vbProcedure="false">"#"</definedName>
    <definedName function="false" hidden="true" name="FDC_63_15" vbProcedure="false">"#"</definedName>
    <definedName function="false" hidden="true" name="FDC_63_150" vbProcedure="false">"#"</definedName>
    <definedName function="false" hidden="true" name="FDC_63_151" vbProcedure="false">"#"</definedName>
    <definedName function="false" hidden="true" name="FDC_63_152" vbProcedure="false">"#"</definedName>
    <definedName function="false" hidden="true" name="FDC_63_153" vbProcedure="false">"#"</definedName>
    <definedName function="false" hidden="true" name="FDC_63_154" vbProcedure="false">"#"</definedName>
    <definedName function="false" hidden="true" name="FDC_63_155" vbProcedure="false">"#"</definedName>
    <definedName function="false" hidden="true" name="FDC_63_156" vbProcedure="false">"#"</definedName>
    <definedName function="false" hidden="true" name="FDC_63_157" vbProcedure="false">"#"</definedName>
    <definedName function="false" hidden="true" name="FDC_63_158" vbProcedure="false">"#"</definedName>
    <definedName function="false" hidden="true" name="FDC_63_159" vbProcedure="false">"#"</definedName>
    <definedName function="false" hidden="true" name="FDC_63_16" vbProcedure="false">"#"</definedName>
    <definedName function="false" hidden="true" name="FDC_63_160" vbProcedure="false">"#"</definedName>
    <definedName function="false" hidden="true" name="FDC_63_161" vbProcedure="false">"#"</definedName>
    <definedName function="false" hidden="true" name="FDC_63_162" vbProcedure="false">"#"</definedName>
    <definedName function="false" hidden="true" name="FDC_63_163" vbProcedure="false">"#"</definedName>
    <definedName function="false" hidden="true" name="FDC_63_164" vbProcedure="false">"#"</definedName>
    <definedName function="false" hidden="true" name="FDC_63_165" vbProcedure="false">"#"</definedName>
    <definedName function="false" hidden="true" name="FDC_63_166" vbProcedure="false">"#"</definedName>
    <definedName function="false" hidden="true" name="FDC_63_167" vbProcedure="false">"#"</definedName>
    <definedName function="false" hidden="true" name="FDC_63_168" vbProcedure="false">"#"</definedName>
    <definedName function="false" hidden="true" name="FDC_63_169" vbProcedure="false">"#"</definedName>
    <definedName function="false" hidden="true" name="FDC_63_17" vbProcedure="false">"#"</definedName>
    <definedName function="false" hidden="true" name="FDC_63_170" vbProcedure="false">"#"</definedName>
    <definedName function="false" hidden="true" name="FDC_63_171" vbProcedure="false">"#"</definedName>
    <definedName function="false" hidden="true" name="FDC_63_172" vbProcedure="false">"#"</definedName>
    <definedName function="false" hidden="true" name="FDC_63_173" vbProcedure="false">"#"</definedName>
    <definedName function="false" hidden="true" name="FDC_63_174" vbProcedure="false">"#"</definedName>
    <definedName function="false" hidden="true" name="FDC_63_175" vbProcedure="false">"#"</definedName>
    <definedName function="false" hidden="true" name="FDC_63_176" vbProcedure="false">"#"</definedName>
    <definedName function="false" hidden="true" name="FDC_63_177" vbProcedure="false">"#"</definedName>
    <definedName function="false" hidden="true" name="FDC_63_178" vbProcedure="false">"#"</definedName>
    <definedName function="false" hidden="true" name="FDC_63_179" vbProcedure="false">"#"</definedName>
    <definedName function="false" hidden="true" name="FDC_63_18" vbProcedure="false">"#"</definedName>
    <definedName function="false" hidden="true" name="FDC_63_180" vbProcedure="false">"#"</definedName>
    <definedName function="false" hidden="true" name="FDC_63_181" vbProcedure="false">"#"</definedName>
    <definedName function="false" hidden="true" name="FDC_63_182" vbProcedure="false">"#"</definedName>
    <definedName function="false" hidden="true" name="FDC_63_183" vbProcedure="false">"#"</definedName>
    <definedName function="false" hidden="true" name="FDC_63_184" vbProcedure="false">"#"</definedName>
    <definedName function="false" hidden="true" name="FDC_63_185" vbProcedure="false">"#"</definedName>
    <definedName function="false" hidden="true" name="FDC_63_186" vbProcedure="false">"#"</definedName>
    <definedName function="false" hidden="true" name="FDC_63_187" vbProcedure="false">"#"</definedName>
    <definedName function="false" hidden="true" name="FDC_63_188" vbProcedure="false">"#"</definedName>
    <definedName function="false" hidden="true" name="FDC_63_189" vbProcedure="false">"#"</definedName>
    <definedName function="false" hidden="true" name="FDC_63_19" vbProcedure="false">"#"</definedName>
    <definedName function="false" hidden="true" name="FDC_63_190" vbProcedure="false">"#"</definedName>
    <definedName function="false" hidden="true" name="FDC_63_191" vbProcedure="false">"#"</definedName>
    <definedName function="false" hidden="true" name="FDC_63_192" vbProcedure="false">"#"</definedName>
    <definedName function="false" hidden="true" name="FDC_63_193" vbProcedure="false">"#"</definedName>
    <definedName function="false" hidden="true" name="FDC_63_194" vbProcedure="false">"#"</definedName>
    <definedName function="false" hidden="true" name="FDC_63_195" vbProcedure="false">"#"</definedName>
    <definedName function="false" hidden="true" name="FDC_63_196" vbProcedure="false">"#"</definedName>
    <definedName function="false" hidden="true" name="FDC_63_197" vbProcedure="false">"#"</definedName>
    <definedName function="false" hidden="true" name="FDC_63_198" vbProcedure="false">"#"</definedName>
    <definedName function="false" hidden="true" name="FDC_63_199" vbProcedure="false">"#"</definedName>
    <definedName function="false" hidden="true" name="FDC_63_2" vbProcedure="false">"#"</definedName>
    <definedName function="false" hidden="true" name="FDC_63_20" vbProcedure="false">"#"</definedName>
    <definedName function="false" hidden="true" name="FDC_63_200" vbProcedure="false">"#"</definedName>
    <definedName function="false" hidden="true" name="FDC_63_201" vbProcedure="false">"#"</definedName>
    <definedName function="false" hidden="true" name="FDC_63_202" vbProcedure="false">"#"</definedName>
    <definedName function="false" hidden="true" name="FDC_63_203" vbProcedure="false">"#"</definedName>
    <definedName function="false" hidden="true" name="FDC_63_204" vbProcedure="false">"#"</definedName>
    <definedName function="false" hidden="true" name="FDC_63_205" vbProcedure="false">"#"</definedName>
    <definedName function="false" hidden="true" name="FDC_63_206" vbProcedure="false">"#"</definedName>
    <definedName function="false" hidden="true" name="FDC_63_207" vbProcedure="false">"#"</definedName>
    <definedName function="false" hidden="true" name="FDC_63_208" vbProcedure="false">"#"</definedName>
    <definedName function="false" hidden="true" name="FDC_63_209" vbProcedure="false">"#"</definedName>
    <definedName function="false" hidden="true" name="FDC_63_21" vbProcedure="false">"#"</definedName>
    <definedName function="false" hidden="true" name="FDC_63_210" vbProcedure="false">"#"</definedName>
    <definedName function="false" hidden="true" name="FDC_63_211" vbProcedure="false">"#"</definedName>
    <definedName function="false" hidden="true" name="FDC_63_212" vbProcedure="false">"#"</definedName>
    <definedName function="false" hidden="true" name="FDC_63_213" vbProcedure="false">"#"</definedName>
    <definedName function="false" hidden="true" name="FDC_63_214" vbProcedure="false">"#"</definedName>
    <definedName function="false" hidden="true" name="FDC_63_215" vbProcedure="false">"#"</definedName>
    <definedName function="false" hidden="true" name="FDC_63_216" vbProcedure="false">"#"</definedName>
    <definedName function="false" hidden="true" name="FDC_63_217" vbProcedure="false">"#"</definedName>
    <definedName function="false" hidden="true" name="FDC_63_218" vbProcedure="false">"#"</definedName>
    <definedName function="false" hidden="true" name="FDC_63_219" vbProcedure="false">"#"</definedName>
    <definedName function="false" hidden="true" name="FDC_63_22" vbProcedure="false">"#"</definedName>
    <definedName function="false" hidden="true" name="FDC_63_220" vbProcedure="false">"#"</definedName>
    <definedName function="false" hidden="true" name="FDC_63_221" vbProcedure="false">"#"</definedName>
    <definedName function="false" hidden="true" name="FDC_63_222" vbProcedure="false">"#"</definedName>
    <definedName function="false" hidden="true" name="FDC_63_223" vbProcedure="false">"#"</definedName>
    <definedName function="false" hidden="true" name="FDC_63_224" vbProcedure="false">"#"</definedName>
    <definedName function="false" hidden="true" name="FDC_63_225" vbProcedure="false">"#"</definedName>
    <definedName function="false" hidden="true" name="FDC_63_226" vbProcedure="false">"#"</definedName>
    <definedName function="false" hidden="true" name="FDC_63_227" vbProcedure="false">"#"</definedName>
    <definedName function="false" hidden="true" name="FDC_63_228" vbProcedure="false">"#"</definedName>
    <definedName function="false" hidden="true" name="FDC_63_229" vbProcedure="false">"#"</definedName>
    <definedName function="false" hidden="true" name="FDC_63_23" vbProcedure="false">"#"</definedName>
    <definedName function="false" hidden="true" name="FDC_63_230" vbProcedure="false">"#"</definedName>
    <definedName function="false" hidden="true" name="FDC_63_231" vbProcedure="false">"#"</definedName>
    <definedName function="false" hidden="true" name="FDC_63_232" vbProcedure="false">"#"</definedName>
    <definedName function="false" hidden="true" name="FDC_63_233" vbProcedure="false">"#"</definedName>
    <definedName function="false" hidden="true" name="FDC_63_234" vbProcedure="false">"#"</definedName>
    <definedName function="false" hidden="true" name="FDC_63_235" vbProcedure="false">"#"</definedName>
    <definedName function="false" hidden="true" name="FDC_63_236" vbProcedure="false">"#"</definedName>
    <definedName function="false" hidden="true" name="FDC_63_237" vbProcedure="false">"#"</definedName>
    <definedName function="false" hidden="true" name="FDC_63_238" vbProcedure="false">"#"</definedName>
    <definedName function="false" hidden="true" name="FDC_63_239" vbProcedure="false">"#"</definedName>
    <definedName function="false" hidden="true" name="FDC_63_24" vbProcedure="false">"#"</definedName>
    <definedName function="false" hidden="true" name="FDC_63_240" vbProcedure="false">"#"</definedName>
    <definedName function="false" hidden="true" name="FDC_63_241" vbProcedure="false">"#"</definedName>
    <definedName function="false" hidden="true" name="FDC_63_242" vbProcedure="false">"#"</definedName>
    <definedName function="false" hidden="true" name="FDC_63_243" vbProcedure="false">"#"</definedName>
    <definedName function="false" hidden="true" name="FDC_63_244" vbProcedure="false">"#"</definedName>
    <definedName function="false" hidden="true" name="FDC_63_245" vbProcedure="false">"#"</definedName>
    <definedName function="false" hidden="true" name="FDC_63_246" vbProcedure="false">"#"</definedName>
    <definedName function="false" hidden="true" name="FDC_63_247" vbProcedure="false">"#"</definedName>
    <definedName function="false" hidden="true" name="FDC_63_248" vbProcedure="false">"#"</definedName>
    <definedName function="false" hidden="true" name="FDC_63_249" vbProcedure="false">"#"</definedName>
    <definedName function="false" hidden="true" name="FDC_63_25" vbProcedure="false">"#"</definedName>
    <definedName function="false" hidden="true" name="FDC_63_250" vbProcedure="false">"#"</definedName>
    <definedName function="false" hidden="true" name="FDC_63_251" vbProcedure="false">"#"</definedName>
    <definedName function="false" hidden="true" name="FDC_63_252" vbProcedure="false">"#"</definedName>
    <definedName function="false" hidden="true" name="FDC_63_253" vbProcedure="false">"#"</definedName>
    <definedName function="false" hidden="true" name="FDC_63_254" vbProcedure="false">"#"</definedName>
    <definedName function="false" hidden="true" name="FDC_63_255" vbProcedure="false">"#"</definedName>
    <definedName function="false" hidden="true" name="FDC_63_256" vbProcedure="false">"#"</definedName>
    <definedName function="false" hidden="true" name="FDC_63_257" vbProcedure="false">"#"</definedName>
    <definedName function="false" hidden="true" name="FDC_63_258" vbProcedure="false">"#"</definedName>
    <definedName function="false" hidden="true" name="FDC_63_259" vbProcedure="false">"#"</definedName>
    <definedName function="false" hidden="true" name="FDC_63_26" vbProcedure="false">"#"</definedName>
    <definedName function="false" hidden="true" name="FDC_63_260" vbProcedure="false">"#"</definedName>
    <definedName function="false" hidden="true" name="FDC_63_261" vbProcedure="false">"#"</definedName>
    <definedName function="false" hidden="true" name="FDC_63_27" vbProcedure="false">"#"</definedName>
    <definedName function="false" hidden="true" name="FDC_63_28" vbProcedure="false">"#"</definedName>
    <definedName function="false" hidden="true" name="FDC_63_29" vbProcedure="false">"#"</definedName>
    <definedName function="false" hidden="true" name="FDC_63_3" vbProcedure="false">"#"</definedName>
    <definedName function="false" hidden="true" name="FDC_63_30" vbProcedure="false">"#"</definedName>
    <definedName function="false" hidden="true" name="FDC_63_31" vbProcedure="false">"#"</definedName>
    <definedName function="false" hidden="true" name="FDC_63_32" vbProcedure="false">"#"</definedName>
    <definedName function="false" hidden="true" name="FDC_63_33" vbProcedure="false">"#"</definedName>
    <definedName function="false" hidden="true" name="FDC_63_34" vbProcedure="false">"#"</definedName>
    <definedName function="false" hidden="true" name="FDC_63_35" vbProcedure="false">"#"</definedName>
    <definedName function="false" hidden="true" name="FDC_63_36" vbProcedure="false">"#"</definedName>
    <definedName function="false" hidden="true" name="FDC_63_37" vbProcedure="false">"#"</definedName>
    <definedName function="false" hidden="true" name="FDC_63_38" vbProcedure="false">"#"</definedName>
    <definedName function="false" hidden="true" name="FDC_63_39" vbProcedure="false">"#"</definedName>
    <definedName function="false" hidden="true" name="FDC_63_4" vbProcedure="false">"#"</definedName>
    <definedName function="false" hidden="true" name="FDC_63_40" vbProcedure="false">"#"</definedName>
    <definedName function="false" hidden="true" name="FDC_63_41" vbProcedure="false">"#"</definedName>
    <definedName function="false" hidden="true" name="FDC_63_42" vbProcedure="false">"#"</definedName>
    <definedName function="false" hidden="true" name="FDC_63_43" vbProcedure="false">"#"</definedName>
    <definedName function="false" hidden="true" name="FDC_63_44" vbProcedure="false">"#"</definedName>
    <definedName function="false" hidden="true" name="FDC_63_45" vbProcedure="false">"#"</definedName>
    <definedName function="false" hidden="true" name="FDC_63_46" vbProcedure="false">"#"</definedName>
    <definedName function="false" hidden="true" name="FDC_63_47" vbProcedure="false">"#"</definedName>
    <definedName function="false" hidden="true" name="FDC_63_48" vbProcedure="false">"#"</definedName>
    <definedName function="false" hidden="true" name="FDC_63_49" vbProcedure="false">"#"</definedName>
    <definedName function="false" hidden="true" name="FDC_63_5" vbProcedure="false">"#"</definedName>
    <definedName function="false" hidden="true" name="FDC_63_50" vbProcedure="false">"#"</definedName>
    <definedName function="false" hidden="true" name="FDC_63_51" vbProcedure="false">"#"</definedName>
    <definedName function="false" hidden="true" name="FDC_63_52" vbProcedure="false">"#"</definedName>
    <definedName function="false" hidden="true" name="FDC_63_53" vbProcedure="false">"#"</definedName>
    <definedName function="false" hidden="true" name="FDC_63_54" vbProcedure="false">"#"</definedName>
    <definedName function="false" hidden="true" name="FDC_63_55" vbProcedure="false">"#"</definedName>
    <definedName function="false" hidden="true" name="FDC_63_56" vbProcedure="false">"#"</definedName>
    <definedName function="false" hidden="true" name="FDC_63_57" vbProcedure="false">"#"</definedName>
    <definedName function="false" hidden="true" name="FDC_63_58" vbProcedure="false">"#"</definedName>
    <definedName function="false" hidden="true" name="FDC_63_59" vbProcedure="false">"#"</definedName>
    <definedName function="false" hidden="true" name="FDC_63_6" vbProcedure="false">"#"</definedName>
    <definedName function="false" hidden="true" name="FDC_63_60" vbProcedure="false">"#"</definedName>
    <definedName function="false" hidden="true" name="FDC_63_61" vbProcedure="false">"#"</definedName>
    <definedName function="false" hidden="true" name="FDC_63_62" vbProcedure="false">"#"</definedName>
    <definedName function="false" hidden="true" name="FDC_63_63" vbProcedure="false">"#"</definedName>
    <definedName function="false" hidden="true" name="FDC_63_64" vbProcedure="false">"#"</definedName>
    <definedName function="false" hidden="true" name="FDC_63_65" vbProcedure="false">"#"</definedName>
    <definedName function="false" hidden="true" name="FDC_63_66" vbProcedure="false">"#"</definedName>
    <definedName function="false" hidden="true" name="FDC_63_67" vbProcedure="false">"#"</definedName>
    <definedName function="false" hidden="true" name="FDC_63_68" vbProcedure="false">"#"</definedName>
    <definedName function="false" hidden="true" name="FDC_63_69" vbProcedure="false">"#"</definedName>
    <definedName function="false" hidden="true" name="FDC_63_7" vbProcedure="false">"#"</definedName>
    <definedName function="false" hidden="true" name="FDC_63_70" vbProcedure="false">"#"</definedName>
    <definedName function="false" hidden="true" name="FDC_63_71" vbProcedure="false">"#"</definedName>
    <definedName function="false" hidden="true" name="FDC_63_72" vbProcedure="false">"#"</definedName>
    <definedName function="false" hidden="true" name="FDC_63_73" vbProcedure="false">"#"</definedName>
    <definedName function="false" hidden="true" name="FDC_63_74" vbProcedure="false">"#"</definedName>
    <definedName function="false" hidden="true" name="FDC_63_75" vbProcedure="false">"#"</definedName>
    <definedName function="false" hidden="true" name="FDC_63_76" vbProcedure="false">"#"</definedName>
    <definedName function="false" hidden="true" name="FDC_63_77" vbProcedure="false">"#"</definedName>
    <definedName function="false" hidden="true" name="FDC_63_78" vbProcedure="false">"#"</definedName>
    <definedName function="false" hidden="true" name="FDC_63_79" vbProcedure="false">"#"</definedName>
    <definedName function="false" hidden="true" name="FDC_63_8" vbProcedure="false">"#"</definedName>
    <definedName function="false" hidden="true" name="FDC_63_80" vbProcedure="false">"#"</definedName>
    <definedName function="false" hidden="true" name="FDC_63_81" vbProcedure="false">"#"</definedName>
    <definedName function="false" hidden="true" name="FDC_63_82" vbProcedure="false">"#"</definedName>
    <definedName function="false" hidden="true" name="FDC_63_83" vbProcedure="false">"#"</definedName>
    <definedName function="false" hidden="true" name="FDC_63_84" vbProcedure="false">"#"</definedName>
    <definedName function="false" hidden="true" name="FDC_63_85" vbProcedure="false">"#"</definedName>
    <definedName function="false" hidden="true" name="FDC_63_86" vbProcedure="false">"#"</definedName>
    <definedName function="false" hidden="true" name="FDC_63_87" vbProcedure="false">"#"</definedName>
    <definedName function="false" hidden="true" name="FDC_63_88" vbProcedure="false">"#"</definedName>
    <definedName function="false" hidden="true" name="FDC_63_89" vbProcedure="false">"#"</definedName>
    <definedName function="false" hidden="true" name="FDC_63_9" vbProcedure="false">"#"</definedName>
    <definedName function="false" hidden="true" name="FDC_63_90" vbProcedure="false">"#"</definedName>
    <definedName function="false" hidden="true" name="FDC_63_91" vbProcedure="false">"#"</definedName>
    <definedName function="false" hidden="true" name="FDC_63_92" vbProcedure="false">"#"</definedName>
    <definedName function="false" hidden="true" name="FDC_63_93" vbProcedure="false">"#"</definedName>
    <definedName function="false" hidden="true" name="FDC_63_94" vbProcedure="false">"#"</definedName>
    <definedName function="false" hidden="true" name="FDC_63_95" vbProcedure="false">"#"</definedName>
    <definedName function="false" hidden="true" name="FDC_63_96" vbProcedure="false">"#"</definedName>
    <definedName function="false" hidden="true" name="FDC_63_97" vbProcedure="false">"#"</definedName>
    <definedName function="false" hidden="true" name="FDC_63_98" vbProcedure="false">"#"</definedName>
    <definedName function="false" hidden="true" name="FDC_63_99" vbProcedure="false">"#"</definedName>
    <definedName function="false" hidden="true" name="FDC_64_0" vbProcedure="false">"#"</definedName>
    <definedName function="false" hidden="true" name="FDC_64_1" vbProcedure="false">"#"</definedName>
    <definedName function="false" hidden="true" name="FDC_64_10" vbProcedure="false">"#"</definedName>
    <definedName function="false" hidden="true" name="FDC_64_100" vbProcedure="false">"#"</definedName>
    <definedName function="false" hidden="true" name="FDC_64_101" vbProcedure="false">"#"</definedName>
    <definedName function="false" hidden="true" name="FDC_64_102" vbProcedure="false">"#"</definedName>
    <definedName function="false" hidden="true" name="FDC_64_103" vbProcedure="false">"#"</definedName>
    <definedName function="false" hidden="true" name="FDC_64_104" vbProcedure="false">"#"</definedName>
    <definedName function="false" hidden="true" name="FDC_64_105" vbProcedure="false">"#"</definedName>
    <definedName function="false" hidden="true" name="FDC_64_106" vbProcedure="false">"#"</definedName>
    <definedName function="false" hidden="true" name="FDC_64_107" vbProcedure="false">"#"</definedName>
    <definedName function="false" hidden="true" name="FDC_64_108" vbProcedure="false">"#"</definedName>
    <definedName function="false" hidden="true" name="FDC_64_109" vbProcedure="false">"#"</definedName>
    <definedName function="false" hidden="true" name="FDC_64_11" vbProcedure="false">"#"</definedName>
    <definedName function="false" hidden="true" name="FDC_64_110" vbProcedure="false">"#"</definedName>
    <definedName function="false" hidden="true" name="FDC_64_111" vbProcedure="false">"#"</definedName>
    <definedName function="false" hidden="true" name="FDC_64_112" vbProcedure="false">"#"</definedName>
    <definedName function="false" hidden="true" name="FDC_64_113" vbProcedure="false">"#"</definedName>
    <definedName function="false" hidden="true" name="FDC_64_114" vbProcedure="false">"#"</definedName>
    <definedName function="false" hidden="true" name="FDC_64_115" vbProcedure="false">"#"</definedName>
    <definedName function="false" hidden="true" name="FDC_64_116" vbProcedure="false">"#"</definedName>
    <definedName function="false" hidden="true" name="FDC_64_117" vbProcedure="false">"#"</definedName>
    <definedName function="false" hidden="true" name="FDC_64_118" vbProcedure="false">"#"</definedName>
    <definedName function="false" hidden="true" name="FDC_64_119" vbProcedure="false">"#"</definedName>
    <definedName function="false" hidden="true" name="FDC_64_12" vbProcedure="false">"#"</definedName>
    <definedName function="false" hidden="true" name="FDC_64_120" vbProcedure="false">"#"</definedName>
    <definedName function="false" hidden="true" name="FDC_64_121" vbProcedure="false">"#"</definedName>
    <definedName function="false" hidden="true" name="FDC_64_122" vbProcedure="false">"#"</definedName>
    <definedName function="false" hidden="true" name="FDC_64_123" vbProcedure="false">"#"</definedName>
    <definedName function="false" hidden="true" name="FDC_64_124" vbProcedure="false">"#"</definedName>
    <definedName function="false" hidden="true" name="FDC_64_125" vbProcedure="false">"#"</definedName>
    <definedName function="false" hidden="true" name="FDC_64_126" vbProcedure="false">"#"</definedName>
    <definedName function="false" hidden="true" name="FDC_64_127" vbProcedure="false">"#"</definedName>
    <definedName function="false" hidden="true" name="FDC_64_128" vbProcedure="false">"#"</definedName>
    <definedName function="false" hidden="true" name="FDC_64_129" vbProcedure="false">"#"</definedName>
    <definedName function="false" hidden="true" name="FDC_64_13" vbProcedure="false">"#"</definedName>
    <definedName function="false" hidden="true" name="FDC_64_130" vbProcedure="false">"#"</definedName>
    <definedName function="false" hidden="true" name="FDC_64_131" vbProcedure="false">"#"</definedName>
    <definedName function="false" hidden="true" name="FDC_64_132" vbProcedure="false">"#"</definedName>
    <definedName function="false" hidden="true" name="FDC_64_133" vbProcedure="false">"#"</definedName>
    <definedName function="false" hidden="true" name="FDC_64_134" vbProcedure="false">"#"</definedName>
    <definedName function="false" hidden="true" name="FDC_64_135" vbProcedure="false">"#"</definedName>
    <definedName function="false" hidden="true" name="FDC_64_136" vbProcedure="false">"#"</definedName>
    <definedName function="false" hidden="true" name="FDC_64_137" vbProcedure="false">"#"</definedName>
    <definedName function="false" hidden="true" name="FDC_64_138" vbProcedure="false">"#"</definedName>
    <definedName function="false" hidden="true" name="FDC_64_139" vbProcedure="false">"#"</definedName>
    <definedName function="false" hidden="true" name="FDC_64_14" vbProcedure="false">"#"</definedName>
    <definedName function="false" hidden="true" name="FDC_64_140" vbProcedure="false">"#"</definedName>
    <definedName function="false" hidden="true" name="FDC_64_141" vbProcedure="false">"#"</definedName>
    <definedName function="false" hidden="true" name="FDC_64_142" vbProcedure="false">"#"</definedName>
    <definedName function="false" hidden="true" name="FDC_64_143" vbProcedure="false">"#"</definedName>
    <definedName function="false" hidden="true" name="FDC_64_144" vbProcedure="false">"#"</definedName>
    <definedName function="false" hidden="true" name="FDC_64_145" vbProcedure="false">"#"</definedName>
    <definedName function="false" hidden="true" name="FDC_64_146" vbProcedure="false">"#"</definedName>
    <definedName function="false" hidden="true" name="FDC_64_147" vbProcedure="false">"#"</definedName>
    <definedName function="false" hidden="true" name="FDC_64_148" vbProcedure="false">"#"</definedName>
    <definedName function="false" hidden="true" name="FDC_64_149" vbProcedure="false">"#"</definedName>
    <definedName function="false" hidden="true" name="FDC_64_15" vbProcedure="false">"#"</definedName>
    <definedName function="false" hidden="true" name="FDC_64_150" vbProcedure="false">"#"</definedName>
    <definedName function="false" hidden="true" name="FDC_64_151" vbProcedure="false">"#"</definedName>
    <definedName function="false" hidden="true" name="FDC_64_152" vbProcedure="false">"#"</definedName>
    <definedName function="false" hidden="true" name="FDC_64_153" vbProcedure="false">"#"</definedName>
    <definedName function="false" hidden="true" name="FDC_64_154" vbProcedure="false">"#"</definedName>
    <definedName function="false" hidden="true" name="FDC_64_155" vbProcedure="false">"#"</definedName>
    <definedName function="false" hidden="true" name="FDC_64_156" vbProcedure="false">"#"</definedName>
    <definedName function="false" hidden="true" name="FDC_64_157" vbProcedure="false">"#"</definedName>
    <definedName function="false" hidden="true" name="FDC_64_158" vbProcedure="false">"#"</definedName>
    <definedName function="false" hidden="true" name="FDC_64_159" vbProcedure="false">"#"</definedName>
    <definedName function="false" hidden="true" name="FDC_64_16" vbProcedure="false">"#"</definedName>
    <definedName function="false" hidden="true" name="FDC_64_160" vbProcedure="false">"#"</definedName>
    <definedName function="false" hidden="true" name="FDC_64_161" vbProcedure="false">"#"</definedName>
    <definedName function="false" hidden="true" name="FDC_64_162" vbProcedure="false">"#"</definedName>
    <definedName function="false" hidden="true" name="FDC_64_163" vbProcedure="false">"#"</definedName>
    <definedName function="false" hidden="true" name="FDC_64_164" vbProcedure="false">"#"</definedName>
    <definedName function="false" hidden="true" name="FDC_64_165" vbProcedure="false">"#"</definedName>
    <definedName function="false" hidden="true" name="FDC_64_166" vbProcedure="false">"#"</definedName>
    <definedName function="false" hidden="true" name="FDC_64_167" vbProcedure="false">"#"</definedName>
    <definedName function="false" hidden="true" name="FDC_64_168" vbProcedure="false">"#"</definedName>
    <definedName function="false" hidden="true" name="FDC_64_169" vbProcedure="false">"#"</definedName>
    <definedName function="false" hidden="true" name="FDC_64_17" vbProcedure="false">"#"</definedName>
    <definedName function="false" hidden="true" name="FDC_64_170" vbProcedure="false">"#"</definedName>
    <definedName function="false" hidden="true" name="FDC_64_171" vbProcedure="false">"#"</definedName>
    <definedName function="false" hidden="true" name="FDC_64_172" vbProcedure="false">"#"</definedName>
    <definedName function="false" hidden="true" name="FDC_64_173" vbProcedure="false">"#"</definedName>
    <definedName function="false" hidden="true" name="FDC_64_174" vbProcedure="false">"#"</definedName>
    <definedName function="false" hidden="true" name="FDC_64_175" vbProcedure="false">"#"</definedName>
    <definedName function="false" hidden="true" name="FDC_64_176" vbProcedure="false">"#"</definedName>
    <definedName function="false" hidden="true" name="FDC_64_177" vbProcedure="false">"#"</definedName>
    <definedName function="false" hidden="true" name="FDC_64_178" vbProcedure="false">"#"</definedName>
    <definedName function="false" hidden="true" name="FDC_64_179" vbProcedure="false">"#"</definedName>
    <definedName function="false" hidden="true" name="FDC_64_18" vbProcedure="false">"#"</definedName>
    <definedName function="false" hidden="true" name="FDC_64_180" vbProcedure="false">"#"</definedName>
    <definedName function="false" hidden="true" name="FDC_64_181" vbProcedure="false">"#"</definedName>
    <definedName function="false" hidden="true" name="FDC_64_182" vbProcedure="false">"#"</definedName>
    <definedName function="false" hidden="true" name="FDC_64_183" vbProcedure="false">"#"</definedName>
    <definedName function="false" hidden="true" name="FDC_64_184" vbProcedure="false">"#"</definedName>
    <definedName function="false" hidden="true" name="FDC_64_185" vbProcedure="false">"#"</definedName>
    <definedName function="false" hidden="true" name="FDC_64_186" vbProcedure="false">"#"</definedName>
    <definedName function="false" hidden="true" name="FDC_64_187" vbProcedure="false">"#"</definedName>
    <definedName function="false" hidden="true" name="FDC_64_188" vbProcedure="false">"#"</definedName>
    <definedName function="false" hidden="true" name="FDC_64_189" vbProcedure="false">"#"</definedName>
    <definedName function="false" hidden="true" name="FDC_64_19" vbProcedure="false">"#"</definedName>
    <definedName function="false" hidden="true" name="FDC_64_190" vbProcedure="false">"#"</definedName>
    <definedName function="false" hidden="true" name="FDC_64_191" vbProcedure="false">"#"</definedName>
    <definedName function="false" hidden="true" name="FDC_64_192" vbProcedure="false">"#"</definedName>
    <definedName function="false" hidden="true" name="FDC_64_193" vbProcedure="false">"#"</definedName>
    <definedName function="false" hidden="true" name="FDC_64_194" vbProcedure="false">"#"</definedName>
    <definedName function="false" hidden="true" name="FDC_64_195" vbProcedure="false">"#"</definedName>
    <definedName function="false" hidden="true" name="FDC_64_196" vbProcedure="false">"#"</definedName>
    <definedName function="false" hidden="true" name="FDC_64_197" vbProcedure="false">"#"</definedName>
    <definedName function="false" hidden="true" name="FDC_64_198" vbProcedure="false">"#"</definedName>
    <definedName function="false" hidden="true" name="FDC_64_199" vbProcedure="false">"#"</definedName>
    <definedName function="false" hidden="true" name="FDC_64_2" vbProcedure="false">"#"</definedName>
    <definedName function="false" hidden="true" name="FDC_64_20" vbProcedure="false">"#"</definedName>
    <definedName function="false" hidden="true" name="FDC_64_200" vbProcedure="false">"#"</definedName>
    <definedName function="false" hidden="true" name="FDC_64_201" vbProcedure="false">"#"</definedName>
    <definedName function="false" hidden="true" name="FDC_64_202" vbProcedure="false">"#"</definedName>
    <definedName function="false" hidden="true" name="FDC_64_203" vbProcedure="false">"#"</definedName>
    <definedName function="false" hidden="true" name="FDC_64_204" vbProcedure="false">"#"</definedName>
    <definedName function="false" hidden="true" name="FDC_64_205" vbProcedure="false">"#"</definedName>
    <definedName function="false" hidden="true" name="FDC_64_206" vbProcedure="false">"#"</definedName>
    <definedName function="false" hidden="true" name="FDC_64_207" vbProcedure="false">"#"</definedName>
    <definedName function="false" hidden="true" name="FDC_64_208" vbProcedure="false">"#"</definedName>
    <definedName function="false" hidden="true" name="FDC_64_209" vbProcedure="false">"#"</definedName>
    <definedName function="false" hidden="true" name="FDC_64_21" vbProcedure="false">"#"</definedName>
    <definedName function="false" hidden="true" name="FDC_64_210" vbProcedure="false">"#"</definedName>
    <definedName function="false" hidden="true" name="FDC_64_211" vbProcedure="false">"#"</definedName>
    <definedName function="false" hidden="true" name="FDC_64_212" vbProcedure="false">"#"</definedName>
    <definedName function="false" hidden="true" name="FDC_64_213" vbProcedure="false">"#"</definedName>
    <definedName function="false" hidden="true" name="FDC_64_214" vbProcedure="false">"#"</definedName>
    <definedName function="false" hidden="true" name="FDC_64_215" vbProcedure="false">"#"</definedName>
    <definedName function="false" hidden="true" name="FDC_64_216" vbProcedure="false">"#"</definedName>
    <definedName function="false" hidden="true" name="FDC_64_217" vbProcedure="false">"#"</definedName>
    <definedName function="false" hidden="true" name="FDC_64_218" vbProcedure="false">"#"</definedName>
    <definedName function="false" hidden="true" name="FDC_64_219" vbProcedure="false">"#"</definedName>
    <definedName function="false" hidden="true" name="FDC_64_22" vbProcedure="false">"#"</definedName>
    <definedName function="false" hidden="true" name="FDC_64_220" vbProcedure="false">"#"</definedName>
    <definedName function="false" hidden="true" name="FDC_64_221" vbProcedure="false">"#"</definedName>
    <definedName function="false" hidden="true" name="FDC_64_222" vbProcedure="false">"#"</definedName>
    <definedName function="false" hidden="true" name="FDC_64_223" vbProcedure="false">"#"</definedName>
    <definedName function="false" hidden="true" name="FDC_64_224" vbProcedure="false">"#"</definedName>
    <definedName function="false" hidden="true" name="FDC_64_225" vbProcedure="false">"#"</definedName>
    <definedName function="false" hidden="true" name="FDC_64_226" vbProcedure="false">"#"</definedName>
    <definedName function="false" hidden="true" name="FDC_64_227" vbProcedure="false">"#"</definedName>
    <definedName function="false" hidden="true" name="FDC_64_228" vbProcedure="false">"#"</definedName>
    <definedName function="false" hidden="true" name="FDC_64_229" vbProcedure="false">"#"</definedName>
    <definedName function="false" hidden="true" name="FDC_64_23" vbProcedure="false">"#"</definedName>
    <definedName function="false" hidden="true" name="FDC_64_230" vbProcedure="false">"#"</definedName>
    <definedName function="false" hidden="true" name="FDC_64_231" vbProcedure="false">"#"</definedName>
    <definedName function="false" hidden="true" name="FDC_64_232" vbProcedure="false">"#"</definedName>
    <definedName function="false" hidden="true" name="FDC_64_233" vbProcedure="false">"#"</definedName>
    <definedName function="false" hidden="true" name="FDC_64_234" vbProcedure="false">"#"</definedName>
    <definedName function="false" hidden="true" name="FDC_64_235" vbProcedure="false">"#"</definedName>
    <definedName function="false" hidden="true" name="FDC_64_236" vbProcedure="false">"#"</definedName>
    <definedName function="false" hidden="true" name="FDC_64_237" vbProcedure="false">"#"</definedName>
    <definedName function="false" hidden="true" name="FDC_64_238" vbProcedure="false">"#"</definedName>
    <definedName function="false" hidden="true" name="FDC_64_239" vbProcedure="false">"#"</definedName>
    <definedName function="false" hidden="true" name="FDC_64_24" vbProcedure="false">"#"</definedName>
    <definedName function="false" hidden="true" name="FDC_64_240" vbProcedure="false">"#"</definedName>
    <definedName function="false" hidden="true" name="FDC_64_241" vbProcedure="false">"#"</definedName>
    <definedName function="false" hidden="true" name="FDC_64_242" vbProcedure="false">"#"</definedName>
    <definedName function="false" hidden="true" name="FDC_64_243" vbProcedure="false">"#"</definedName>
    <definedName function="false" hidden="true" name="FDC_64_244" vbProcedure="false">"#"</definedName>
    <definedName function="false" hidden="true" name="FDC_64_245" vbProcedure="false">"#"</definedName>
    <definedName function="false" hidden="true" name="FDC_64_246" vbProcedure="false">"#"</definedName>
    <definedName function="false" hidden="true" name="FDC_64_247" vbProcedure="false">"#"</definedName>
    <definedName function="false" hidden="true" name="FDC_64_248" vbProcedure="false">"#"</definedName>
    <definedName function="false" hidden="true" name="FDC_64_249" vbProcedure="false">"#"</definedName>
    <definedName function="false" hidden="true" name="FDC_64_25" vbProcedure="false">"#"</definedName>
    <definedName function="false" hidden="true" name="FDC_64_250" vbProcedure="false">"#"</definedName>
    <definedName function="false" hidden="true" name="FDC_64_251" vbProcedure="false">"#"</definedName>
    <definedName function="false" hidden="true" name="FDC_64_252" vbProcedure="false">"#"</definedName>
    <definedName function="false" hidden="true" name="FDC_64_253" vbProcedure="false">"#"</definedName>
    <definedName function="false" hidden="true" name="FDC_64_254" vbProcedure="false">"#"</definedName>
    <definedName function="false" hidden="true" name="FDC_64_255" vbProcedure="false">"#"</definedName>
    <definedName function="false" hidden="true" name="FDC_64_256" vbProcedure="false">"#"</definedName>
    <definedName function="false" hidden="true" name="FDC_64_257" vbProcedure="false">"#"</definedName>
    <definedName function="false" hidden="true" name="FDC_64_258" vbProcedure="false">"#"</definedName>
    <definedName function="false" hidden="true" name="FDC_64_259" vbProcedure="false">"#"</definedName>
    <definedName function="false" hidden="true" name="FDC_64_26" vbProcedure="false">"#"</definedName>
    <definedName function="false" hidden="true" name="FDC_64_260" vbProcedure="false">"#"</definedName>
    <definedName function="false" hidden="true" name="FDC_64_261" vbProcedure="false">"#"</definedName>
    <definedName function="false" hidden="true" name="FDC_64_27" vbProcedure="false">"#"</definedName>
    <definedName function="false" hidden="true" name="FDC_64_28" vbProcedure="false">"#"</definedName>
    <definedName function="false" hidden="true" name="FDC_64_29" vbProcedure="false">"#"</definedName>
    <definedName function="false" hidden="true" name="FDC_64_3" vbProcedure="false">"#"</definedName>
    <definedName function="false" hidden="true" name="FDC_64_30" vbProcedure="false">"#"</definedName>
    <definedName function="false" hidden="true" name="FDC_64_31" vbProcedure="false">"#"</definedName>
    <definedName function="false" hidden="true" name="FDC_64_32" vbProcedure="false">"#"</definedName>
    <definedName function="false" hidden="true" name="FDC_64_33" vbProcedure="false">"#"</definedName>
    <definedName function="false" hidden="true" name="FDC_64_34" vbProcedure="false">"#"</definedName>
    <definedName function="false" hidden="true" name="FDC_64_35" vbProcedure="false">"#"</definedName>
    <definedName function="false" hidden="true" name="FDC_64_36" vbProcedure="false">"#"</definedName>
    <definedName function="false" hidden="true" name="FDC_64_37" vbProcedure="false">"#"</definedName>
    <definedName function="false" hidden="true" name="FDC_64_38" vbProcedure="false">"#"</definedName>
    <definedName function="false" hidden="true" name="FDC_64_39" vbProcedure="false">"#"</definedName>
    <definedName function="false" hidden="true" name="FDC_64_4" vbProcedure="false">"#"</definedName>
    <definedName function="false" hidden="true" name="FDC_64_40" vbProcedure="false">"#"</definedName>
    <definedName function="false" hidden="true" name="FDC_64_41" vbProcedure="false">"#"</definedName>
    <definedName function="false" hidden="true" name="FDC_64_42" vbProcedure="false">"#"</definedName>
    <definedName function="false" hidden="true" name="FDC_64_43" vbProcedure="false">"#"</definedName>
    <definedName function="false" hidden="true" name="FDC_64_44" vbProcedure="false">"#"</definedName>
    <definedName function="false" hidden="true" name="FDC_64_45" vbProcedure="false">"#"</definedName>
    <definedName function="false" hidden="true" name="FDC_64_46" vbProcedure="false">"#"</definedName>
    <definedName function="false" hidden="true" name="FDC_64_47" vbProcedure="false">"#"</definedName>
    <definedName function="false" hidden="true" name="FDC_64_48" vbProcedure="false">"#"</definedName>
    <definedName function="false" hidden="true" name="FDC_64_49" vbProcedure="false">"#"</definedName>
    <definedName function="false" hidden="true" name="FDC_64_5" vbProcedure="false">"#"</definedName>
    <definedName function="false" hidden="true" name="FDC_64_50" vbProcedure="false">"#"</definedName>
    <definedName function="false" hidden="true" name="FDC_64_51" vbProcedure="false">"#"</definedName>
    <definedName function="false" hidden="true" name="FDC_64_52" vbProcedure="false">"#"</definedName>
    <definedName function="false" hidden="true" name="FDC_64_53" vbProcedure="false">"#"</definedName>
    <definedName function="false" hidden="true" name="FDC_64_54" vbProcedure="false">"#"</definedName>
    <definedName function="false" hidden="true" name="FDC_64_55" vbProcedure="false">"#"</definedName>
    <definedName function="false" hidden="true" name="FDC_64_56" vbProcedure="false">"#"</definedName>
    <definedName function="false" hidden="true" name="FDC_64_57" vbProcedure="false">"#"</definedName>
    <definedName function="false" hidden="true" name="FDC_64_58" vbProcedure="false">"#"</definedName>
    <definedName function="false" hidden="true" name="FDC_64_59" vbProcedure="false">"#"</definedName>
    <definedName function="false" hidden="true" name="FDC_64_6" vbProcedure="false">"#"</definedName>
    <definedName function="false" hidden="true" name="FDC_64_60" vbProcedure="false">"#"</definedName>
    <definedName function="false" hidden="true" name="FDC_64_61" vbProcedure="false">"#"</definedName>
    <definedName function="false" hidden="true" name="FDC_64_62" vbProcedure="false">"#"</definedName>
    <definedName function="false" hidden="true" name="FDC_64_63" vbProcedure="false">"#"</definedName>
    <definedName function="false" hidden="true" name="FDC_64_64" vbProcedure="false">"#"</definedName>
    <definedName function="false" hidden="true" name="FDC_64_65" vbProcedure="false">"#"</definedName>
    <definedName function="false" hidden="true" name="FDC_64_66" vbProcedure="false">"#"</definedName>
    <definedName function="false" hidden="true" name="FDC_64_67" vbProcedure="false">"#"</definedName>
    <definedName function="false" hidden="true" name="FDC_64_68" vbProcedure="false">"#"</definedName>
    <definedName function="false" hidden="true" name="FDC_64_69" vbProcedure="false">"#"</definedName>
    <definedName function="false" hidden="true" name="FDC_64_7" vbProcedure="false">"#"</definedName>
    <definedName function="false" hidden="true" name="FDC_64_70" vbProcedure="false">"#"</definedName>
    <definedName function="false" hidden="true" name="FDC_64_71" vbProcedure="false">"#"</definedName>
    <definedName function="false" hidden="true" name="FDC_64_72" vbProcedure="false">"#"</definedName>
    <definedName function="false" hidden="true" name="FDC_64_73" vbProcedure="false">"#"</definedName>
    <definedName function="false" hidden="true" name="FDC_64_74" vbProcedure="false">"#"</definedName>
    <definedName function="false" hidden="true" name="FDC_64_75" vbProcedure="false">"#"</definedName>
    <definedName function="false" hidden="true" name="FDC_64_76" vbProcedure="false">"#"</definedName>
    <definedName function="false" hidden="true" name="FDC_64_77" vbProcedure="false">"#"</definedName>
    <definedName function="false" hidden="true" name="FDC_64_78" vbProcedure="false">"#"</definedName>
    <definedName function="false" hidden="true" name="FDC_64_79" vbProcedure="false">"#"</definedName>
    <definedName function="false" hidden="true" name="FDC_64_8" vbProcedure="false">"#"</definedName>
    <definedName function="false" hidden="true" name="FDC_64_80" vbProcedure="false">"#"</definedName>
    <definedName function="false" hidden="true" name="FDC_64_81" vbProcedure="false">"#"</definedName>
    <definedName function="false" hidden="true" name="FDC_64_82" vbProcedure="false">"#"</definedName>
    <definedName function="false" hidden="true" name="FDC_64_83" vbProcedure="false">"#"</definedName>
    <definedName function="false" hidden="true" name="FDC_64_84" vbProcedure="false">"#"</definedName>
    <definedName function="false" hidden="true" name="FDC_64_85" vbProcedure="false">"#"</definedName>
    <definedName function="false" hidden="true" name="FDC_64_86" vbProcedure="false">"#"</definedName>
    <definedName function="false" hidden="true" name="FDC_64_87" vbProcedure="false">"#"</definedName>
    <definedName function="false" hidden="true" name="FDC_64_88" vbProcedure="false">"#"</definedName>
    <definedName function="false" hidden="true" name="FDC_64_89" vbProcedure="false">"#"</definedName>
    <definedName function="false" hidden="true" name="FDC_64_9" vbProcedure="false">"#"</definedName>
    <definedName function="false" hidden="true" name="FDC_64_90" vbProcedure="false">"#"</definedName>
    <definedName function="false" hidden="true" name="FDC_64_91" vbProcedure="false">"#"</definedName>
    <definedName function="false" hidden="true" name="FDC_64_92" vbProcedure="false">"#"</definedName>
    <definedName function="false" hidden="true" name="FDC_64_93" vbProcedure="false">"#"</definedName>
    <definedName function="false" hidden="true" name="FDC_64_94" vbProcedure="false">"#"</definedName>
    <definedName function="false" hidden="true" name="FDC_64_95" vbProcedure="false">"#"</definedName>
    <definedName function="false" hidden="true" name="FDC_64_96" vbProcedure="false">"#"</definedName>
    <definedName function="false" hidden="true" name="FDC_64_97" vbProcedure="false">"#"</definedName>
    <definedName function="false" hidden="true" name="FDC_64_98" vbProcedure="false">"#"</definedName>
    <definedName function="false" hidden="true" name="FDC_64_99" vbProcedure="false">"#"</definedName>
    <definedName function="false" hidden="true" name="FDC_65_0" vbProcedure="false">"#"</definedName>
    <definedName function="false" hidden="true" name="FDC_6_0" vbProcedure="false">"#"</definedName>
    <definedName function="false" hidden="true" name="FDC_6_1" vbProcedure="false">"#"</definedName>
    <definedName function="false" hidden="true" name="FDC_6_2" vbProcedure="false">"#"</definedName>
    <definedName function="false" hidden="true" name="FDC_6_3" vbProcedure="false">"#"</definedName>
    <definedName function="false" hidden="true" name="FDC_7_0" vbProcedure="false">"#"</definedName>
    <definedName function="false" hidden="true" name="FDC_7_1" vbProcedure="false">"#"</definedName>
    <definedName function="false" hidden="true" name="FDC_7_2" vbProcedure="false">"#"</definedName>
    <definedName function="false" hidden="true" name="FDC_7_3" vbProcedure="false">"#"</definedName>
    <definedName function="false" hidden="true" name="FDC_8_0" vbProcedure="false">"#"</definedName>
    <definedName function="false" hidden="true" name="FDC_8_1" vbProcedure="false">"#"</definedName>
    <definedName function="false" hidden="true" name="FDC_8_2" vbProcedure="false">"#"</definedName>
    <definedName function="false" hidden="true" name="FDC_8_3" vbProcedure="false">"#"</definedName>
    <definedName function="false" hidden="true" name="FDC_9_0" vbProcedure="false">"#"</definedName>
    <definedName function="false" hidden="true" name="FDC_9_1" vbProcedure="false">"#"</definedName>
    <definedName function="false" hidden="true" name="FDC_9_2" vbProcedure="false">"#"</definedName>
    <definedName function="false" hidden="true" name="FDC_9_3" vbProcedure="false">"#"</definedName>
    <definedName function="false" hidden="true" name="FDD_0_0" vbProcedure="false">"A30681"</definedName>
    <definedName function="false" hidden="true" name="FDD_0_1" vbProcedure="false">"A31047"</definedName>
    <definedName function="false" hidden="true" name="FDD_0_10" vbProcedure="false">"A34334"</definedName>
    <definedName function="false" hidden="true" name="FDD_0_11" vbProcedure="false">"A34699"</definedName>
    <definedName function="false" hidden="true" name="FDD_0_12" vbProcedure="false">"A35064"</definedName>
    <definedName function="false" hidden="true" name="FDD_0_13" vbProcedure="false">"A35430"</definedName>
    <definedName function="false" hidden="true" name="FDD_0_14" vbProcedure="false">"A35795"</definedName>
    <definedName function="false" hidden="true" name="FDD_0_2" vbProcedure="false">"A31412"</definedName>
    <definedName function="false" hidden="true" name="FDD_0_3" vbProcedure="false">"A31777"</definedName>
    <definedName function="false" hidden="true" name="FDD_0_4" vbProcedure="false">"A32142"</definedName>
    <definedName function="false" hidden="true" name="FDD_0_5" vbProcedure="false">"A32508"</definedName>
    <definedName function="false" hidden="true" name="FDD_0_6" vbProcedure="false">"A32873"</definedName>
    <definedName function="false" hidden="true" name="FDD_0_7" vbProcedure="false">"A33238"</definedName>
    <definedName function="false" hidden="true" name="FDD_0_8" vbProcedure="false">"A33603"</definedName>
    <definedName function="false" hidden="true" name="FDD_0_9" vbProcedure="false">"A33969"</definedName>
    <definedName function="false" hidden="true" name="FDD_100_0" vbProcedure="false">"A25569"</definedName>
    <definedName function="false" hidden="true" name="FDD_101_0" vbProcedure="false">"A25569"</definedName>
    <definedName function="false" hidden="true" name="FDD_102_0" vbProcedure="false">"A25569"</definedName>
    <definedName function="false" hidden="true" name="FDD_103_0" vbProcedure="false">"A25569"</definedName>
    <definedName function="false" hidden="true" name="FDD_104_0" vbProcedure="false">"A25569"</definedName>
    <definedName function="false" hidden="true" name="FDD_105_0" vbProcedure="false">"A25569"</definedName>
    <definedName function="false" hidden="true" name="FDD_106_0" vbProcedure="false">"A25569"</definedName>
    <definedName function="false" hidden="true" name="FDD_107_0" vbProcedure="false">"A25569"</definedName>
    <definedName function="false" hidden="true" name="FDD_108_0" vbProcedure="false">"A25569"</definedName>
    <definedName function="false" hidden="true" name="FDD_109_0" vbProcedure="false">"A25569"</definedName>
    <definedName function="false" hidden="true" name="FDD_10_0" vbProcedure="false">"A25569"</definedName>
    <definedName function="false" hidden="true" name="FDD_10_1" vbProcedure="false">"A35795"</definedName>
    <definedName function="false" hidden="true" name="FDD_10_2" vbProcedure="false">"A36160"</definedName>
    <definedName function="false" hidden="true" name="FDD_10_3" vbProcedure="false">"E36525"</definedName>
    <definedName function="false" hidden="true" name="FDD_110_0" vbProcedure="false">"A25569"</definedName>
    <definedName function="false" hidden="true" name="FDD_111_0" vbProcedure="false">"A25569"</definedName>
    <definedName function="false" hidden="true" name="FDD_112_0" vbProcedure="false">"A25569"</definedName>
    <definedName function="false" hidden="true" name="FDD_113_0" vbProcedure="false">"A25569"</definedName>
    <definedName function="false" hidden="true" name="FDD_114_0" vbProcedure="false">"A25569"</definedName>
    <definedName function="false" hidden="true" name="FDD_115_0" vbProcedure="false">"A25569"</definedName>
    <definedName function="false" hidden="true" name="FDD_116_0" vbProcedure="false">"A25569"</definedName>
    <definedName function="false" hidden="true" name="FDD_117_0" vbProcedure="false">"A30681"</definedName>
    <definedName function="false" hidden="true" name="FDD_117_1" vbProcedure="false">"A31047"</definedName>
    <definedName function="false" hidden="true" name="FDD_117_10" vbProcedure="false">"A34334"</definedName>
    <definedName function="false" hidden="true" name="FDD_117_11" vbProcedure="false">"A34699"</definedName>
    <definedName function="false" hidden="true" name="FDD_117_12" vbProcedure="false">"A35064"</definedName>
    <definedName function="false" hidden="true" name="FDD_117_13" vbProcedure="false">"A35430"</definedName>
    <definedName function="false" hidden="true" name="FDD_117_14" vbProcedure="false">"A35795"</definedName>
    <definedName function="false" hidden="true" name="FDD_117_2" vbProcedure="false">"A31412"</definedName>
    <definedName function="false" hidden="true" name="FDD_117_3" vbProcedure="false">"A31777"</definedName>
    <definedName function="false" hidden="true" name="FDD_117_4" vbProcedure="false">"A32142"</definedName>
    <definedName function="false" hidden="true" name="FDD_117_5" vbProcedure="false">"A32508"</definedName>
    <definedName function="false" hidden="true" name="FDD_117_6" vbProcedure="false">"A32873"</definedName>
    <definedName function="false" hidden="true" name="FDD_117_7" vbProcedure="false">"A33238"</definedName>
    <definedName function="false" hidden="true" name="FDD_117_8" vbProcedure="false">"A33603"</definedName>
    <definedName function="false" hidden="true" name="FDD_117_9" vbProcedure="false">"A33969"</definedName>
    <definedName function="false" hidden="true" name="FDD_118_0" vbProcedure="false">"A30681"</definedName>
    <definedName function="false" hidden="true" name="FDD_118_1" vbProcedure="false">"A31047"</definedName>
    <definedName function="false" hidden="true" name="FDD_118_10" vbProcedure="false">"A34334"</definedName>
    <definedName function="false" hidden="true" name="FDD_118_11" vbProcedure="false">"A34699"</definedName>
    <definedName function="false" hidden="true" name="FDD_118_12" vbProcedure="false">"A35064"</definedName>
    <definedName function="false" hidden="true" name="FDD_118_13" vbProcedure="false">"A35430"</definedName>
    <definedName function="false" hidden="true" name="FDD_118_14" vbProcedure="false">"A35795"</definedName>
    <definedName function="false" hidden="true" name="FDD_118_2" vbProcedure="false">"A31412"</definedName>
    <definedName function="false" hidden="true" name="FDD_118_3" vbProcedure="false">"A31777"</definedName>
    <definedName function="false" hidden="true" name="FDD_118_4" vbProcedure="false">"A32142"</definedName>
    <definedName function="false" hidden="true" name="FDD_118_5" vbProcedure="false">"A32508"</definedName>
    <definedName function="false" hidden="true" name="FDD_118_6" vbProcedure="false">"A32873"</definedName>
    <definedName function="false" hidden="true" name="FDD_118_7" vbProcedure="false">"A33238"</definedName>
    <definedName function="false" hidden="true" name="FDD_118_8" vbProcedure="false">"A33603"</definedName>
    <definedName function="false" hidden="true" name="FDD_118_9" vbProcedure="false">"A33969"</definedName>
    <definedName function="false" hidden="true" name="FDD_119_0" vbProcedure="false">"A30681"</definedName>
    <definedName function="false" hidden="true" name="FDD_119_1" vbProcedure="false">"A31047"</definedName>
    <definedName function="false" hidden="true" name="FDD_119_10" vbProcedure="false">"A34334"</definedName>
    <definedName function="false" hidden="true" name="FDD_119_11" vbProcedure="false">"A34699"</definedName>
    <definedName function="false" hidden="true" name="FDD_119_12" vbProcedure="false">"A35064"</definedName>
    <definedName function="false" hidden="true" name="FDD_119_13" vbProcedure="false">"A35430"</definedName>
    <definedName function="false" hidden="true" name="FDD_119_14" vbProcedure="false">"A35795"</definedName>
    <definedName function="false" hidden="true" name="FDD_119_2" vbProcedure="false">"A31412"</definedName>
    <definedName function="false" hidden="true" name="FDD_119_3" vbProcedure="false">"A31777"</definedName>
    <definedName function="false" hidden="true" name="FDD_119_4" vbProcedure="false">"A32142"</definedName>
    <definedName function="false" hidden="true" name="FDD_119_5" vbProcedure="false">"A32508"</definedName>
    <definedName function="false" hidden="true" name="FDD_119_6" vbProcedure="false">"A32873"</definedName>
    <definedName function="false" hidden="true" name="FDD_119_7" vbProcedure="false">"A33238"</definedName>
    <definedName function="false" hidden="true" name="FDD_119_8" vbProcedure="false">"A33603"</definedName>
    <definedName function="false" hidden="true" name="FDD_119_9" vbProcedure="false">"A33969"</definedName>
    <definedName function="false" hidden="true" name="FDD_11_0" vbProcedure="false">"A25569"</definedName>
    <definedName function="false" hidden="true" name="FDD_11_1" vbProcedure="false">"E35795"</definedName>
    <definedName function="false" hidden="true" name="FDD_11_2" vbProcedure="false">"E36160"</definedName>
    <definedName function="false" hidden="true" name="FDD_11_3" vbProcedure="false">"E36525"</definedName>
    <definedName function="false" hidden="true" name="FDD_120_0" vbProcedure="false">"A30681"</definedName>
    <definedName function="false" hidden="true" name="FDD_120_1" vbProcedure="false">"A31047"</definedName>
    <definedName function="false" hidden="true" name="FDD_120_10" vbProcedure="false">"A34334"</definedName>
    <definedName function="false" hidden="true" name="FDD_120_11" vbProcedure="false">"A34699"</definedName>
    <definedName function="false" hidden="true" name="FDD_120_12" vbProcedure="false">"A35064"</definedName>
    <definedName function="false" hidden="true" name="FDD_120_13" vbProcedure="false">"A35430"</definedName>
    <definedName function="false" hidden="true" name="FDD_120_14" vbProcedure="false">"A35795"</definedName>
    <definedName function="false" hidden="true" name="FDD_120_2" vbProcedure="false">"A31412"</definedName>
    <definedName function="false" hidden="true" name="FDD_120_3" vbProcedure="false">"A31777"</definedName>
    <definedName function="false" hidden="true" name="FDD_120_4" vbProcedure="false">"A32142"</definedName>
    <definedName function="false" hidden="true" name="FDD_120_5" vbProcedure="false">"A32508"</definedName>
    <definedName function="false" hidden="true" name="FDD_120_6" vbProcedure="false">"A32873"</definedName>
    <definedName function="false" hidden="true" name="FDD_120_7" vbProcedure="false">"A33238"</definedName>
    <definedName function="false" hidden="true" name="FDD_120_8" vbProcedure="false">"A33603"</definedName>
    <definedName function="false" hidden="true" name="FDD_120_9" vbProcedure="false">"A33969"</definedName>
    <definedName function="false" hidden="true" name="FDD_121_0" vbProcedure="false">"A30681"</definedName>
    <definedName function="false" hidden="true" name="FDD_121_1" vbProcedure="false">"A31047"</definedName>
    <definedName function="false" hidden="true" name="FDD_121_10" vbProcedure="false">"A34334"</definedName>
    <definedName function="false" hidden="true" name="FDD_121_11" vbProcedure="false">"A34699"</definedName>
    <definedName function="false" hidden="true" name="FDD_121_12" vbProcedure="false">"A35064"</definedName>
    <definedName function="false" hidden="true" name="FDD_121_13" vbProcedure="false">"A35430"</definedName>
    <definedName function="false" hidden="true" name="FDD_121_14" vbProcedure="false">"A35795"</definedName>
    <definedName function="false" hidden="true" name="FDD_121_2" vbProcedure="false">"A31412"</definedName>
    <definedName function="false" hidden="true" name="FDD_121_3" vbProcedure="false">"A31777"</definedName>
    <definedName function="false" hidden="true" name="FDD_121_4" vbProcedure="false">"A32142"</definedName>
    <definedName function="false" hidden="true" name="FDD_121_5" vbProcedure="false">"A32508"</definedName>
    <definedName function="false" hidden="true" name="FDD_121_6" vbProcedure="false">"A32873"</definedName>
    <definedName function="false" hidden="true" name="FDD_121_7" vbProcedure="false">"A33238"</definedName>
    <definedName function="false" hidden="true" name="FDD_121_8" vbProcedure="false">"A33603"</definedName>
    <definedName function="false" hidden="true" name="FDD_121_9" vbProcedure="false">"A33969"</definedName>
    <definedName function="false" hidden="true" name="FDD_122_0" vbProcedure="false">"A30681"</definedName>
    <definedName function="false" hidden="true" name="FDD_122_1" vbProcedure="false">"A31047"</definedName>
    <definedName function="false" hidden="true" name="FDD_122_10" vbProcedure="false">"A34334"</definedName>
    <definedName function="false" hidden="true" name="FDD_122_11" vbProcedure="false">"A34699"</definedName>
    <definedName function="false" hidden="true" name="FDD_122_12" vbProcedure="false">"A35064"</definedName>
    <definedName function="false" hidden="true" name="FDD_122_13" vbProcedure="false">"A35430"</definedName>
    <definedName function="false" hidden="true" name="FDD_122_14" vbProcedure="false">"A35795"</definedName>
    <definedName function="false" hidden="true" name="FDD_122_2" vbProcedure="false">"A31412"</definedName>
    <definedName function="false" hidden="true" name="FDD_122_3" vbProcedure="false">"A31777"</definedName>
    <definedName function="false" hidden="true" name="FDD_122_4" vbProcedure="false">"A32142"</definedName>
    <definedName function="false" hidden="true" name="FDD_122_5" vbProcedure="false">"A32508"</definedName>
    <definedName function="false" hidden="true" name="FDD_122_6" vbProcedure="false">"A32873"</definedName>
    <definedName function="false" hidden="true" name="FDD_122_7" vbProcedure="false">"A33238"</definedName>
    <definedName function="false" hidden="true" name="FDD_122_8" vbProcedure="false">"A33603"</definedName>
    <definedName function="false" hidden="true" name="FDD_122_9" vbProcedure="false">"A33969"</definedName>
    <definedName function="false" hidden="true" name="FDD_123_0" vbProcedure="false">"A30681"</definedName>
    <definedName function="false" hidden="true" name="FDD_123_1" vbProcedure="false">"A31047"</definedName>
    <definedName function="false" hidden="true" name="FDD_123_10" vbProcedure="false">"A34334"</definedName>
    <definedName function="false" hidden="true" name="FDD_123_11" vbProcedure="false">"A34699"</definedName>
    <definedName function="false" hidden="true" name="FDD_123_12" vbProcedure="false">"A35064"</definedName>
    <definedName function="false" hidden="true" name="FDD_123_13" vbProcedure="false">"A35430"</definedName>
    <definedName function="false" hidden="true" name="FDD_123_14" vbProcedure="false">"A35795"</definedName>
    <definedName function="false" hidden="true" name="FDD_123_2" vbProcedure="false">"A31412"</definedName>
    <definedName function="false" hidden="true" name="FDD_123_3" vbProcedure="false">"A31777"</definedName>
    <definedName function="false" hidden="true" name="FDD_123_4" vbProcedure="false">"A32142"</definedName>
    <definedName function="false" hidden="true" name="FDD_123_5" vbProcedure="false">"A32508"</definedName>
    <definedName function="false" hidden="true" name="FDD_123_6" vbProcedure="false">"A32873"</definedName>
    <definedName function="false" hidden="true" name="FDD_123_7" vbProcedure="false">"A33238"</definedName>
    <definedName function="false" hidden="true" name="FDD_123_8" vbProcedure="false">"A33603"</definedName>
    <definedName function="false" hidden="true" name="FDD_123_9" vbProcedure="false">"A33969"</definedName>
    <definedName function="false" hidden="true" name="FDD_124_0" vbProcedure="false">"A30681"</definedName>
    <definedName function="false" hidden="true" name="FDD_124_1" vbProcedure="false">"A31047"</definedName>
    <definedName function="false" hidden="true" name="FDD_124_10" vbProcedure="false">"A34334"</definedName>
    <definedName function="false" hidden="true" name="FDD_124_11" vbProcedure="false">"A34699"</definedName>
    <definedName function="false" hidden="true" name="FDD_124_12" vbProcedure="false">"A35064"</definedName>
    <definedName function="false" hidden="true" name="FDD_124_13" vbProcedure="false">"A35430"</definedName>
    <definedName function="false" hidden="true" name="FDD_124_14" vbProcedure="false">"A35795"</definedName>
    <definedName function="false" hidden="true" name="FDD_124_2" vbProcedure="false">"A31412"</definedName>
    <definedName function="false" hidden="true" name="FDD_124_3" vbProcedure="false">"A31777"</definedName>
    <definedName function="false" hidden="true" name="FDD_124_4" vbProcedure="false">"A32142"</definedName>
    <definedName function="false" hidden="true" name="FDD_124_5" vbProcedure="false">"A32508"</definedName>
    <definedName function="false" hidden="true" name="FDD_124_6" vbProcedure="false">"A32873"</definedName>
    <definedName function="false" hidden="true" name="FDD_124_7" vbProcedure="false">"A33238"</definedName>
    <definedName function="false" hidden="true" name="FDD_124_8" vbProcedure="false">"A33603"</definedName>
    <definedName function="false" hidden="true" name="FDD_124_9" vbProcedure="false">"A33969"</definedName>
    <definedName function="false" hidden="true" name="FDD_125_0" vbProcedure="false">"A30681"</definedName>
    <definedName function="false" hidden="true" name="FDD_125_1" vbProcedure="false">"A31047"</definedName>
    <definedName function="false" hidden="true" name="FDD_125_10" vbProcedure="false">"A34334"</definedName>
    <definedName function="false" hidden="true" name="FDD_125_11" vbProcedure="false">"A34699"</definedName>
    <definedName function="false" hidden="true" name="FDD_125_12" vbProcedure="false">"A35064"</definedName>
    <definedName function="false" hidden="true" name="FDD_125_13" vbProcedure="false">"A35430"</definedName>
    <definedName function="false" hidden="true" name="FDD_125_14" vbProcedure="false">"A35795"</definedName>
    <definedName function="false" hidden="true" name="FDD_125_2" vbProcedure="false">"A31412"</definedName>
    <definedName function="false" hidden="true" name="FDD_125_3" vbProcedure="false">"A31777"</definedName>
    <definedName function="false" hidden="true" name="FDD_125_4" vbProcedure="false">"A32142"</definedName>
    <definedName function="false" hidden="true" name="FDD_125_5" vbProcedure="false">"A32508"</definedName>
    <definedName function="false" hidden="true" name="FDD_125_6" vbProcedure="false">"A32873"</definedName>
    <definedName function="false" hidden="true" name="FDD_125_7" vbProcedure="false">"A33238"</definedName>
    <definedName function="false" hidden="true" name="FDD_125_8" vbProcedure="false">"A33603"</definedName>
    <definedName function="false" hidden="true" name="FDD_125_9" vbProcedure="false">"A33969"</definedName>
    <definedName function="false" hidden="true" name="FDD_126_0" vbProcedure="false">"A30681"</definedName>
    <definedName function="false" hidden="true" name="FDD_126_1" vbProcedure="false">"A31047"</definedName>
    <definedName function="false" hidden="true" name="FDD_126_10" vbProcedure="false">"A34334"</definedName>
    <definedName function="false" hidden="true" name="FDD_126_11" vbProcedure="false">"A34699"</definedName>
    <definedName function="false" hidden="true" name="FDD_126_12" vbProcedure="false">"A35064"</definedName>
    <definedName function="false" hidden="true" name="FDD_126_13" vbProcedure="false">"A35430"</definedName>
    <definedName function="false" hidden="true" name="FDD_126_14" vbProcedure="false">"A35795"</definedName>
    <definedName function="false" hidden="true" name="FDD_126_2" vbProcedure="false">"A31412"</definedName>
    <definedName function="false" hidden="true" name="FDD_126_3" vbProcedure="false">"A31777"</definedName>
    <definedName function="false" hidden="true" name="FDD_126_4" vbProcedure="false">"A32142"</definedName>
    <definedName function="false" hidden="true" name="FDD_126_5" vbProcedure="false">"A32508"</definedName>
    <definedName function="false" hidden="true" name="FDD_126_6" vbProcedure="false">"A32873"</definedName>
    <definedName function="false" hidden="true" name="FDD_126_7" vbProcedure="false">"A33238"</definedName>
    <definedName function="false" hidden="true" name="FDD_126_8" vbProcedure="false">"A33603"</definedName>
    <definedName function="false" hidden="true" name="FDD_126_9" vbProcedure="false">"A33969"</definedName>
    <definedName function="false" hidden="true" name="FDD_127_0" vbProcedure="false">"A30681"</definedName>
    <definedName function="false" hidden="true" name="FDD_127_1" vbProcedure="false">"A31047"</definedName>
    <definedName function="false" hidden="true" name="FDD_127_10" vbProcedure="false">"A34334"</definedName>
    <definedName function="false" hidden="true" name="FDD_127_11" vbProcedure="false">"A34699"</definedName>
    <definedName function="false" hidden="true" name="FDD_127_12" vbProcedure="false">"A35064"</definedName>
    <definedName function="false" hidden="true" name="FDD_127_13" vbProcedure="false">"A35430"</definedName>
    <definedName function="false" hidden="true" name="FDD_127_14" vbProcedure="false">"A35795"</definedName>
    <definedName function="false" hidden="true" name="FDD_127_2" vbProcedure="false">"A31412"</definedName>
    <definedName function="false" hidden="true" name="FDD_127_3" vbProcedure="false">"A31777"</definedName>
    <definedName function="false" hidden="true" name="FDD_127_4" vbProcedure="false">"A32142"</definedName>
    <definedName function="false" hidden="true" name="FDD_127_5" vbProcedure="false">"A32508"</definedName>
    <definedName function="false" hidden="true" name="FDD_127_6" vbProcedure="false">"A32873"</definedName>
    <definedName function="false" hidden="true" name="FDD_127_7" vbProcedure="false">"A33238"</definedName>
    <definedName function="false" hidden="true" name="FDD_127_8" vbProcedure="false">"A33603"</definedName>
    <definedName function="false" hidden="true" name="FDD_127_9" vbProcedure="false">"A33969"</definedName>
    <definedName function="false" hidden="true" name="FDD_128_0" vbProcedure="false">"A30681"</definedName>
    <definedName function="false" hidden="true" name="FDD_128_1" vbProcedure="false">"A31047"</definedName>
    <definedName function="false" hidden="true" name="FDD_128_10" vbProcedure="false">"A34334"</definedName>
    <definedName function="false" hidden="true" name="FDD_128_11" vbProcedure="false">"A34699"</definedName>
    <definedName function="false" hidden="true" name="FDD_128_12" vbProcedure="false">"A35064"</definedName>
    <definedName function="false" hidden="true" name="FDD_128_13" vbProcedure="false">"A35430"</definedName>
    <definedName function="false" hidden="true" name="FDD_128_14" vbProcedure="false">"A35795"</definedName>
    <definedName function="false" hidden="true" name="FDD_128_2" vbProcedure="false">"A31412"</definedName>
    <definedName function="false" hidden="true" name="FDD_128_3" vbProcedure="false">"A31777"</definedName>
    <definedName function="false" hidden="true" name="FDD_128_4" vbProcedure="false">"A32142"</definedName>
    <definedName function="false" hidden="true" name="FDD_128_5" vbProcedure="false">"A32508"</definedName>
    <definedName function="false" hidden="true" name="FDD_128_6" vbProcedure="false">"A32873"</definedName>
    <definedName function="false" hidden="true" name="FDD_128_7" vbProcedure="false">"A33238"</definedName>
    <definedName function="false" hidden="true" name="FDD_128_8" vbProcedure="false">"A33603"</definedName>
    <definedName function="false" hidden="true" name="FDD_128_9" vbProcedure="false">"A33969"</definedName>
    <definedName function="false" hidden="true" name="FDD_129_0" vbProcedure="false">"A30681"</definedName>
    <definedName function="false" hidden="true" name="FDD_129_1" vbProcedure="false">"A31047"</definedName>
    <definedName function="false" hidden="true" name="FDD_129_10" vbProcedure="false">"A34334"</definedName>
    <definedName function="false" hidden="true" name="FDD_129_11" vbProcedure="false">"A34699"</definedName>
    <definedName function="false" hidden="true" name="FDD_129_12" vbProcedure="false">"A35064"</definedName>
    <definedName function="false" hidden="true" name="FDD_129_13" vbProcedure="false">"A35430"</definedName>
    <definedName function="false" hidden="true" name="FDD_129_14" vbProcedure="false">"A35795"</definedName>
    <definedName function="false" hidden="true" name="FDD_129_2" vbProcedure="false">"A31412"</definedName>
    <definedName function="false" hidden="true" name="FDD_129_3" vbProcedure="false">"A31777"</definedName>
    <definedName function="false" hidden="true" name="FDD_129_4" vbProcedure="false">"A32142"</definedName>
    <definedName function="false" hidden="true" name="FDD_129_5" vbProcedure="false">"A32508"</definedName>
    <definedName function="false" hidden="true" name="FDD_129_6" vbProcedure="false">"A32873"</definedName>
    <definedName function="false" hidden="true" name="FDD_129_7" vbProcedure="false">"A33238"</definedName>
    <definedName function="false" hidden="true" name="FDD_129_8" vbProcedure="false">"A33603"</definedName>
    <definedName function="false" hidden="true" name="FDD_129_9" vbProcedure="false">"A33969"</definedName>
    <definedName function="false" hidden="true" name="FDD_12_0" vbProcedure="false">"A25569"</definedName>
    <definedName function="false" hidden="true" name="FDD_12_1" vbProcedure="false">"E35795"</definedName>
    <definedName function="false" hidden="true" name="FDD_12_2" vbProcedure="false">"E36160"</definedName>
    <definedName function="false" hidden="true" name="FDD_12_3" vbProcedure="false">"E36525"</definedName>
    <definedName function="false" hidden="true" name="FDD_130_0" vbProcedure="false">"A30681"</definedName>
    <definedName function="false" hidden="true" name="FDD_130_1" vbProcedure="false">"A31047"</definedName>
    <definedName function="false" hidden="true" name="FDD_130_10" vbProcedure="false">"A34334"</definedName>
    <definedName function="false" hidden="true" name="FDD_130_11" vbProcedure="false">"A34699"</definedName>
    <definedName function="false" hidden="true" name="FDD_130_12" vbProcedure="false">"A35064"</definedName>
    <definedName function="false" hidden="true" name="FDD_130_13" vbProcedure="false">"A35430"</definedName>
    <definedName function="false" hidden="true" name="FDD_130_14" vbProcedure="false">"A35795"</definedName>
    <definedName function="false" hidden="true" name="FDD_130_2" vbProcedure="false">"A31412"</definedName>
    <definedName function="false" hidden="true" name="FDD_130_3" vbProcedure="false">"A31777"</definedName>
    <definedName function="false" hidden="true" name="FDD_130_4" vbProcedure="false">"A32142"</definedName>
    <definedName function="false" hidden="true" name="FDD_130_5" vbProcedure="false">"A32508"</definedName>
    <definedName function="false" hidden="true" name="FDD_130_6" vbProcedure="false">"A32873"</definedName>
    <definedName function="false" hidden="true" name="FDD_130_7" vbProcedure="false">"A33238"</definedName>
    <definedName function="false" hidden="true" name="FDD_130_8" vbProcedure="false">"A33603"</definedName>
    <definedName function="false" hidden="true" name="FDD_130_9" vbProcedure="false">"A33969"</definedName>
    <definedName function="false" hidden="true" name="FDD_131_0" vbProcedure="false">"A30681"</definedName>
    <definedName function="false" hidden="true" name="FDD_131_1" vbProcedure="false">"A31047"</definedName>
    <definedName function="false" hidden="true" name="FDD_131_10" vbProcedure="false">"A34334"</definedName>
    <definedName function="false" hidden="true" name="FDD_131_11" vbProcedure="false">"A34699"</definedName>
    <definedName function="false" hidden="true" name="FDD_131_12" vbProcedure="false">"A35064"</definedName>
    <definedName function="false" hidden="true" name="FDD_131_13" vbProcedure="false">"A35430"</definedName>
    <definedName function="false" hidden="true" name="FDD_131_14" vbProcedure="false">"A35795"</definedName>
    <definedName function="false" hidden="true" name="FDD_131_2" vbProcedure="false">"A31412"</definedName>
    <definedName function="false" hidden="true" name="FDD_131_3" vbProcedure="false">"A31777"</definedName>
    <definedName function="false" hidden="true" name="FDD_131_4" vbProcedure="false">"A32142"</definedName>
    <definedName function="false" hidden="true" name="FDD_131_5" vbProcedure="false">"A32508"</definedName>
    <definedName function="false" hidden="true" name="FDD_131_6" vbProcedure="false">"A32873"</definedName>
    <definedName function="false" hidden="true" name="FDD_131_7" vbProcedure="false">"A33238"</definedName>
    <definedName function="false" hidden="true" name="FDD_131_8" vbProcedure="false">"A33603"</definedName>
    <definedName function="false" hidden="true" name="FDD_131_9" vbProcedure="false">"A33969"</definedName>
    <definedName function="false" hidden="true" name="FDD_132_0" vbProcedure="false">"U30681"</definedName>
    <definedName function="false" hidden="true" name="FDD_132_1" vbProcedure="false">"U31047"</definedName>
    <definedName function="false" hidden="true" name="FDD_132_10" vbProcedure="false">"U34334"</definedName>
    <definedName function="false" hidden="true" name="FDD_132_11" vbProcedure="false">"U34699"</definedName>
    <definedName function="false" hidden="true" name="FDD_132_12" vbProcedure="false">"U35064"</definedName>
    <definedName function="false" hidden="true" name="FDD_132_13" vbProcedure="false">"U35430"</definedName>
    <definedName function="false" hidden="true" name="FDD_132_14" vbProcedure="false">"U35795"</definedName>
    <definedName function="false" hidden="true" name="FDD_132_2" vbProcedure="false">"U31412"</definedName>
    <definedName function="false" hidden="true" name="FDD_132_3" vbProcedure="false">"U31777"</definedName>
    <definedName function="false" hidden="true" name="FDD_132_4" vbProcedure="false">"U32142"</definedName>
    <definedName function="false" hidden="true" name="FDD_132_5" vbProcedure="false">"U32508"</definedName>
    <definedName function="false" hidden="true" name="FDD_132_6" vbProcedure="false">"U32873"</definedName>
    <definedName function="false" hidden="true" name="FDD_132_7" vbProcedure="false">"U33238"</definedName>
    <definedName function="false" hidden="true" name="FDD_132_8" vbProcedure="false">"U33603"</definedName>
    <definedName function="false" hidden="true" name="FDD_132_9" vbProcedure="false">"U33969"</definedName>
    <definedName function="false" hidden="true" name="FDD_133_0" vbProcedure="false">"A30681"</definedName>
    <definedName function="false" hidden="true" name="FDD_133_1" vbProcedure="false">"A31047"</definedName>
    <definedName function="false" hidden="true" name="FDD_133_10" vbProcedure="false">"A34334"</definedName>
    <definedName function="false" hidden="true" name="FDD_133_11" vbProcedure="false">"A34699"</definedName>
    <definedName function="false" hidden="true" name="FDD_133_12" vbProcedure="false">"A35064"</definedName>
    <definedName function="false" hidden="true" name="FDD_133_13" vbProcedure="false">"A35430"</definedName>
    <definedName function="false" hidden="true" name="FDD_133_14" vbProcedure="false">"A35795"</definedName>
    <definedName function="false" hidden="true" name="FDD_133_2" vbProcedure="false">"A31412"</definedName>
    <definedName function="false" hidden="true" name="FDD_133_3" vbProcedure="false">"A31777"</definedName>
    <definedName function="false" hidden="true" name="FDD_133_4" vbProcedure="false">"A32142"</definedName>
    <definedName function="false" hidden="true" name="FDD_133_5" vbProcedure="false">"A32508"</definedName>
    <definedName function="false" hidden="true" name="FDD_133_6" vbProcedure="false">"A32873"</definedName>
    <definedName function="false" hidden="true" name="FDD_133_7" vbProcedure="false">"A33238"</definedName>
    <definedName function="false" hidden="true" name="FDD_133_8" vbProcedure="false">"A33603"</definedName>
    <definedName function="false" hidden="true" name="FDD_133_9" vbProcedure="false">"A33969"</definedName>
    <definedName function="false" hidden="true" name="FDD_134_0" vbProcedure="false">"A30681"</definedName>
    <definedName function="false" hidden="true" name="FDD_134_1" vbProcedure="false">"A31047"</definedName>
    <definedName function="false" hidden="true" name="FDD_134_10" vbProcedure="false">"A34334"</definedName>
    <definedName function="false" hidden="true" name="FDD_134_11" vbProcedure="false">"A34699"</definedName>
    <definedName function="false" hidden="true" name="FDD_134_12" vbProcedure="false">"A35064"</definedName>
    <definedName function="false" hidden="true" name="FDD_134_13" vbProcedure="false">"A35430"</definedName>
    <definedName function="false" hidden="true" name="FDD_134_14" vbProcedure="false">"A35795"</definedName>
    <definedName function="false" hidden="true" name="FDD_134_2" vbProcedure="false">"A31412"</definedName>
    <definedName function="false" hidden="true" name="FDD_134_3" vbProcedure="false">"A31777"</definedName>
    <definedName function="false" hidden="true" name="FDD_134_4" vbProcedure="false">"A32142"</definedName>
    <definedName function="false" hidden="true" name="FDD_134_5" vbProcedure="false">"A32508"</definedName>
    <definedName function="false" hidden="true" name="FDD_134_6" vbProcedure="false">"A32873"</definedName>
    <definedName function="false" hidden="true" name="FDD_134_7" vbProcedure="false">"A33238"</definedName>
    <definedName function="false" hidden="true" name="FDD_134_8" vbProcedure="false">"A33603"</definedName>
    <definedName function="false" hidden="true" name="FDD_134_9" vbProcedure="false">"A33969"</definedName>
    <definedName function="false" hidden="true" name="FDD_135_0" vbProcedure="false">"A30681"</definedName>
    <definedName function="false" hidden="true" name="FDD_135_1" vbProcedure="false">"A31047"</definedName>
    <definedName function="false" hidden="true" name="FDD_135_10" vbProcedure="false">"A34334"</definedName>
    <definedName function="false" hidden="true" name="FDD_135_11" vbProcedure="false">"A34699"</definedName>
    <definedName function="false" hidden="true" name="FDD_135_12" vbProcedure="false">"A35064"</definedName>
    <definedName function="false" hidden="true" name="FDD_135_13" vbProcedure="false">"A35430"</definedName>
    <definedName function="false" hidden="true" name="FDD_135_14" vbProcedure="false">"A35795"</definedName>
    <definedName function="false" hidden="true" name="FDD_135_2" vbProcedure="false">"A31412"</definedName>
    <definedName function="false" hidden="true" name="FDD_135_3" vbProcedure="false">"A31777"</definedName>
    <definedName function="false" hidden="true" name="FDD_135_4" vbProcedure="false">"A32142"</definedName>
    <definedName function="false" hidden="true" name="FDD_135_5" vbProcedure="false">"A32508"</definedName>
    <definedName function="false" hidden="true" name="FDD_135_6" vbProcedure="false">"A32873"</definedName>
    <definedName function="false" hidden="true" name="FDD_135_7" vbProcedure="false">"A33238"</definedName>
    <definedName function="false" hidden="true" name="FDD_135_8" vbProcedure="false">"A33603"</definedName>
    <definedName function="false" hidden="true" name="FDD_135_9" vbProcedure="false">"A33969"</definedName>
    <definedName function="false" hidden="true" name="FDD_136_0" vbProcedure="false">"A30681"</definedName>
    <definedName function="false" hidden="true" name="FDD_136_1" vbProcedure="false">"A31047"</definedName>
    <definedName function="false" hidden="true" name="FDD_136_10" vbProcedure="false">"A34334"</definedName>
    <definedName function="false" hidden="true" name="FDD_136_11" vbProcedure="false">"A34699"</definedName>
    <definedName function="false" hidden="true" name="FDD_136_12" vbProcedure="false">"A35064"</definedName>
    <definedName function="false" hidden="true" name="FDD_136_13" vbProcedure="false">"A35430"</definedName>
    <definedName function="false" hidden="true" name="FDD_136_14" vbProcedure="false">"A35795"</definedName>
    <definedName function="false" hidden="true" name="FDD_136_2" vbProcedure="false">"A31412"</definedName>
    <definedName function="false" hidden="true" name="FDD_136_3" vbProcedure="false">"A31777"</definedName>
    <definedName function="false" hidden="true" name="FDD_136_4" vbProcedure="false">"A32142"</definedName>
    <definedName function="false" hidden="true" name="FDD_136_5" vbProcedure="false">"A32508"</definedName>
    <definedName function="false" hidden="true" name="FDD_136_6" vbProcedure="false">"A32873"</definedName>
    <definedName function="false" hidden="true" name="FDD_136_7" vbProcedure="false">"A33238"</definedName>
    <definedName function="false" hidden="true" name="FDD_136_8" vbProcedure="false">"A33603"</definedName>
    <definedName function="false" hidden="true" name="FDD_136_9" vbProcedure="false">"A33969"</definedName>
    <definedName function="false" hidden="true" name="FDD_137_0" vbProcedure="false">"A30681"</definedName>
    <definedName function="false" hidden="true" name="FDD_137_1" vbProcedure="false">"A31047"</definedName>
    <definedName function="false" hidden="true" name="FDD_137_10" vbProcedure="false">"A34334"</definedName>
    <definedName function="false" hidden="true" name="FDD_137_11" vbProcedure="false">"A34699"</definedName>
    <definedName function="false" hidden="true" name="FDD_137_12" vbProcedure="false">"A35064"</definedName>
    <definedName function="false" hidden="true" name="FDD_137_13" vbProcedure="false">"A35430"</definedName>
    <definedName function="false" hidden="true" name="FDD_137_14" vbProcedure="false">"A35795"</definedName>
    <definedName function="false" hidden="true" name="FDD_137_2" vbProcedure="false">"A31412"</definedName>
    <definedName function="false" hidden="true" name="FDD_137_3" vbProcedure="false">"A31777"</definedName>
    <definedName function="false" hidden="true" name="FDD_137_4" vbProcedure="false">"A32142"</definedName>
    <definedName function="false" hidden="true" name="FDD_137_5" vbProcedure="false">"A32508"</definedName>
    <definedName function="false" hidden="true" name="FDD_137_6" vbProcedure="false">"A32873"</definedName>
    <definedName function="false" hidden="true" name="FDD_137_7" vbProcedure="false">"A33238"</definedName>
    <definedName function="false" hidden="true" name="FDD_137_8" vbProcedure="false">"A33603"</definedName>
    <definedName function="false" hidden="true" name="FDD_137_9" vbProcedure="false">"A33969"</definedName>
    <definedName function="false" hidden="true" name="FDD_138_0" vbProcedure="false">"A30681"</definedName>
    <definedName function="false" hidden="true" name="FDD_138_1" vbProcedure="false">"A31047"</definedName>
    <definedName function="false" hidden="true" name="FDD_138_10" vbProcedure="false">"A34334"</definedName>
    <definedName function="false" hidden="true" name="FDD_138_11" vbProcedure="false">"A34699"</definedName>
    <definedName function="false" hidden="true" name="FDD_138_12" vbProcedure="false">"A35064"</definedName>
    <definedName function="false" hidden="true" name="FDD_138_13" vbProcedure="false">"A35430"</definedName>
    <definedName function="false" hidden="true" name="FDD_138_14" vbProcedure="false">"A35795"</definedName>
    <definedName function="false" hidden="true" name="FDD_138_2" vbProcedure="false">"A31412"</definedName>
    <definedName function="false" hidden="true" name="FDD_138_3" vbProcedure="false">"A31777"</definedName>
    <definedName function="false" hidden="true" name="FDD_138_4" vbProcedure="false">"A32142"</definedName>
    <definedName function="false" hidden="true" name="FDD_138_5" vbProcedure="false">"A32508"</definedName>
    <definedName function="false" hidden="true" name="FDD_138_6" vbProcedure="false">"A32873"</definedName>
    <definedName function="false" hidden="true" name="FDD_138_7" vbProcedure="false">"A33238"</definedName>
    <definedName function="false" hidden="true" name="FDD_138_8" vbProcedure="false">"A33603"</definedName>
    <definedName function="false" hidden="true" name="FDD_138_9" vbProcedure="false">"A33969"</definedName>
    <definedName function="false" hidden="true" name="FDD_139_0" vbProcedure="false">"A30681"</definedName>
    <definedName function="false" hidden="true" name="FDD_139_1" vbProcedure="false">"A31047"</definedName>
    <definedName function="false" hidden="true" name="FDD_139_10" vbProcedure="false">"U34334"</definedName>
    <definedName function="false" hidden="true" name="FDD_139_11" vbProcedure="false">"U34699"</definedName>
    <definedName function="false" hidden="true" name="FDD_139_12" vbProcedure="false">"U35064"</definedName>
    <definedName function="false" hidden="true" name="FDD_139_13" vbProcedure="false">"U35430"</definedName>
    <definedName function="false" hidden="true" name="FDD_139_14" vbProcedure="false">"U35795"</definedName>
    <definedName function="false" hidden="true" name="FDD_139_2" vbProcedure="false">"A31412"</definedName>
    <definedName function="false" hidden="true" name="FDD_139_3" vbProcedure="false">"U31777"</definedName>
    <definedName function="false" hidden="true" name="FDD_139_4" vbProcedure="false">"U32142"</definedName>
    <definedName function="false" hidden="true" name="FDD_139_5" vbProcedure="false">"U32508"</definedName>
    <definedName function="false" hidden="true" name="FDD_139_6" vbProcedure="false">"U32873"</definedName>
    <definedName function="false" hidden="true" name="FDD_139_7" vbProcedure="false">"U33238"</definedName>
    <definedName function="false" hidden="true" name="FDD_139_8" vbProcedure="false">"U33603"</definedName>
    <definedName function="false" hidden="true" name="FDD_139_9" vbProcedure="false">"U33969"</definedName>
    <definedName function="false" hidden="true" name="FDD_13_0" vbProcedure="false">"A25569"</definedName>
    <definedName function="false" hidden="true" name="FDD_140_0" vbProcedure="false">"A25569"</definedName>
    <definedName function="false" hidden="true" name="FDD_141_0" vbProcedure="false">"A30681"</definedName>
    <definedName function="false" hidden="true" name="FDD_141_1" vbProcedure="false">"A31047"</definedName>
    <definedName function="false" hidden="true" name="FDD_141_10" vbProcedure="false">"A34334"</definedName>
    <definedName function="false" hidden="true" name="FDD_141_11" vbProcedure="false">"A34699"</definedName>
    <definedName function="false" hidden="true" name="FDD_141_12" vbProcedure="false">"A35064"</definedName>
    <definedName function="false" hidden="true" name="FDD_141_13" vbProcedure="false">"A35430"</definedName>
    <definedName function="false" hidden="true" name="FDD_141_14" vbProcedure="false">"A35795"</definedName>
    <definedName function="false" hidden="true" name="FDD_141_2" vbProcedure="false">"A31412"</definedName>
    <definedName function="false" hidden="true" name="FDD_141_3" vbProcedure="false">"A31777"</definedName>
    <definedName function="false" hidden="true" name="FDD_141_4" vbProcedure="false">"A32142"</definedName>
    <definedName function="false" hidden="true" name="FDD_141_5" vbProcedure="false">"A32508"</definedName>
    <definedName function="false" hidden="true" name="FDD_141_6" vbProcedure="false">"A32873"</definedName>
    <definedName function="false" hidden="true" name="FDD_141_7" vbProcedure="false">"A33238"</definedName>
    <definedName function="false" hidden="true" name="FDD_141_8" vbProcedure="false">"A33603"</definedName>
    <definedName function="false" hidden="true" name="FDD_141_9" vbProcedure="false">"A33969"</definedName>
    <definedName function="false" hidden="true" name="FDD_142_0" vbProcedure="false">"A30681"</definedName>
    <definedName function="false" hidden="true" name="FDD_142_1" vbProcedure="false">"A31047"</definedName>
    <definedName function="false" hidden="true" name="FDD_142_10" vbProcedure="false">"A34334"</definedName>
    <definedName function="false" hidden="true" name="FDD_142_11" vbProcedure="false">"A34699"</definedName>
    <definedName function="false" hidden="true" name="FDD_142_12" vbProcedure="false">"A35064"</definedName>
    <definedName function="false" hidden="true" name="FDD_142_13" vbProcedure="false">"A35430"</definedName>
    <definedName function="false" hidden="true" name="FDD_142_14" vbProcedure="false">"A35795"</definedName>
    <definedName function="false" hidden="true" name="FDD_142_2" vbProcedure="false">"A31412"</definedName>
    <definedName function="false" hidden="true" name="FDD_142_3" vbProcedure="false">"A31777"</definedName>
    <definedName function="false" hidden="true" name="FDD_142_4" vbProcedure="false">"A32142"</definedName>
    <definedName function="false" hidden="true" name="FDD_142_5" vbProcedure="false">"A32508"</definedName>
    <definedName function="false" hidden="true" name="FDD_142_6" vbProcedure="false">"A32873"</definedName>
    <definedName function="false" hidden="true" name="FDD_142_7" vbProcedure="false">"A33238"</definedName>
    <definedName function="false" hidden="true" name="FDD_142_8" vbProcedure="false">"A33603"</definedName>
    <definedName function="false" hidden="true" name="FDD_142_9" vbProcedure="false">"A33969"</definedName>
    <definedName function="false" hidden="true" name="FDD_143_0" vbProcedure="false">"A30681"</definedName>
    <definedName function="false" hidden="true" name="FDD_143_1" vbProcedure="false">"A31047"</definedName>
    <definedName function="false" hidden="true" name="FDD_143_10" vbProcedure="false">"A34334"</definedName>
    <definedName function="false" hidden="true" name="FDD_143_11" vbProcedure="false">"A34699"</definedName>
    <definedName function="false" hidden="true" name="FDD_143_12" vbProcedure="false">"A35064"</definedName>
    <definedName function="false" hidden="true" name="FDD_143_13" vbProcedure="false">"A35430"</definedName>
    <definedName function="false" hidden="true" name="FDD_143_14" vbProcedure="false">"A35795"</definedName>
    <definedName function="false" hidden="true" name="FDD_143_2" vbProcedure="false">"A31412"</definedName>
    <definedName function="false" hidden="true" name="FDD_143_3" vbProcedure="false">"A31777"</definedName>
    <definedName function="false" hidden="true" name="FDD_143_4" vbProcedure="false">"A32142"</definedName>
    <definedName function="false" hidden="true" name="FDD_143_5" vbProcedure="false">"A32508"</definedName>
    <definedName function="false" hidden="true" name="FDD_143_6" vbProcedure="false">"A32873"</definedName>
    <definedName function="false" hidden="true" name="FDD_143_7" vbProcedure="false">"A33238"</definedName>
    <definedName function="false" hidden="true" name="FDD_143_8" vbProcedure="false">"A33603"</definedName>
    <definedName function="false" hidden="true" name="FDD_143_9" vbProcedure="false">"A33969"</definedName>
    <definedName function="false" hidden="true" name="FDD_144_0" vbProcedure="false">"A30681"</definedName>
    <definedName function="false" hidden="true" name="FDD_144_1" vbProcedure="false">"A31047"</definedName>
    <definedName function="false" hidden="true" name="FDD_144_10" vbProcedure="false">"A34334"</definedName>
    <definedName function="false" hidden="true" name="FDD_144_11" vbProcedure="false">"A34699"</definedName>
    <definedName function="false" hidden="true" name="FDD_144_12" vbProcedure="false">"A35064"</definedName>
    <definedName function="false" hidden="true" name="FDD_144_13" vbProcedure="false">"A35430"</definedName>
    <definedName function="false" hidden="true" name="FDD_144_14" vbProcedure="false">"A35795"</definedName>
    <definedName function="false" hidden="true" name="FDD_144_2" vbProcedure="false">"A31412"</definedName>
    <definedName function="false" hidden="true" name="FDD_144_3" vbProcedure="false">"A31777"</definedName>
    <definedName function="false" hidden="true" name="FDD_144_4" vbProcedure="false">"A32142"</definedName>
    <definedName function="false" hidden="true" name="FDD_144_5" vbProcedure="false">"A32508"</definedName>
    <definedName function="false" hidden="true" name="FDD_144_6" vbProcedure="false">"A32873"</definedName>
    <definedName function="false" hidden="true" name="FDD_144_7" vbProcedure="false">"A33238"</definedName>
    <definedName function="false" hidden="true" name="FDD_144_8" vbProcedure="false">"A33603"</definedName>
    <definedName function="false" hidden="true" name="FDD_144_9" vbProcedure="false">"A33969"</definedName>
    <definedName function="false" hidden="true" name="FDD_145_0" vbProcedure="false">"A30681"</definedName>
    <definedName function="false" hidden="true" name="FDD_145_1" vbProcedure="false">"A31047"</definedName>
    <definedName function="false" hidden="true" name="FDD_145_10" vbProcedure="false">"A34334"</definedName>
    <definedName function="false" hidden="true" name="FDD_145_11" vbProcedure="false">"A34699"</definedName>
    <definedName function="false" hidden="true" name="FDD_145_12" vbProcedure="false">"A35064"</definedName>
    <definedName function="false" hidden="true" name="FDD_145_13" vbProcedure="false">"A35430"</definedName>
    <definedName function="false" hidden="true" name="FDD_145_14" vbProcedure="false">"A35795"</definedName>
    <definedName function="false" hidden="true" name="FDD_145_2" vbProcedure="false">"A31412"</definedName>
    <definedName function="false" hidden="true" name="FDD_145_3" vbProcedure="false">"A31777"</definedName>
    <definedName function="false" hidden="true" name="FDD_145_4" vbProcedure="false">"A32142"</definedName>
    <definedName function="false" hidden="true" name="FDD_145_5" vbProcedure="false">"A32508"</definedName>
    <definedName function="false" hidden="true" name="FDD_145_6" vbProcedure="false">"A32873"</definedName>
    <definedName function="false" hidden="true" name="FDD_145_7" vbProcedure="false">"A33238"</definedName>
    <definedName function="false" hidden="true" name="FDD_145_8" vbProcedure="false">"A33603"</definedName>
    <definedName function="false" hidden="true" name="FDD_145_9" vbProcedure="false">"A33969"</definedName>
    <definedName function="false" hidden="true" name="FDD_146_0" vbProcedure="false">"A30681"</definedName>
    <definedName function="false" hidden="true" name="FDD_146_1" vbProcedure="false">"A31047"</definedName>
    <definedName function="false" hidden="true" name="FDD_146_10" vbProcedure="false">"A34334"</definedName>
    <definedName function="false" hidden="true" name="FDD_146_11" vbProcedure="false">"A34699"</definedName>
    <definedName function="false" hidden="true" name="FDD_146_12" vbProcedure="false">"A35064"</definedName>
    <definedName function="false" hidden="true" name="FDD_146_13" vbProcedure="false">"A35430"</definedName>
    <definedName function="false" hidden="true" name="FDD_146_14" vbProcedure="false">"A35795"</definedName>
    <definedName function="false" hidden="true" name="FDD_146_2" vbProcedure="false">"A31412"</definedName>
    <definedName function="false" hidden="true" name="FDD_146_3" vbProcedure="false">"A31777"</definedName>
    <definedName function="false" hidden="true" name="FDD_146_4" vbProcedure="false">"A32142"</definedName>
    <definedName function="false" hidden="true" name="FDD_146_5" vbProcedure="false">"A32508"</definedName>
    <definedName function="false" hidden="true" name="FDD_146_6" vbProcedure="false">"A32873"</definedName>
    <definedName function="false" hidden="true" name="FDD_146_7" vbProcedure="false">"A33238"</definedName>
    <definedName function="false" hidden="true" name="FDD_146_8" vbProcedure="false">"A33603"</definedName>
    <definedName function="false" hidden="true" name="FDD_146_9" vbProcedure="false">"A33969"</definedName>
    <definedName function="false" hidden="true" name="FDD_147_0" vbProcedure="false">"U30681"</definedName>
    <definedName function="false" hidden="true" name="FDD_147_1" vbProcedure="false">"U31047"</definedName>
    <definedName function="false" hidden="true" name="FDD_147_10" vbProcedure="false">"U34334"</definedName>
    <definedName function="false" hidden="true" name="FDD_147_11" vbProcedure="false">"U34699"</definedName>
    <definedName function="false" hidden="true" name="FDD_147_12" vbProcedure="false">"U35064"</definedName>
    <definedName function="false" hidden="true" name="FDD_147_13" vbProcedure="false">"U35430"</definedName>
    <definedName function="false" hidden="true" name="FDD_147_14" vbProcedure="false">"U35795"</definedName>
    <definedName function="false" hidden="true" name="FDD_147_2" vbProcedure="false">"U31412"</definedName>
    <definedName function="false" hidden="true" name="FDD_147_3" vbProcedure="false">"U31777"</definedName>
    <definedName function="false" hidden="true" name="FDD_147_4" vbProcedure="false">"U32142"</definedName>
    <definedName function="false" hidden="true" name="FDD_147_5" vbProcedure="false">"U32508"</definedName>
    <definedName function="false" hidden="true" name="FDD_147_6" vbProcedure="false">"U32873"</definedName>
    <definedName function="false" hidden="true" name="FDD_147_7" vbProcedure="false">"U33238"</definedName>
    <definedName function="false" hidden="true" name="FDD_147_8" vbProcedure="false">"U33603"</definedName>
    <definedName function="false" hidden="true" name="FDD_147_9" vbProcedure="false">"U33969"</definedName>
    <definedName function="false" hidden="true" name="FDD_148_0" vbProcedure="false">"A30681"</definedName>
    <definedName function="false" hidden="true" name="FDD_148_1" vbProcedure="false">"A31047"</definedName>
    <definedName function="false" hidden="true" name="FDD_148_10" vbProcedure="false">"A34334"</definedName>
    <definedName function="false" hidden="true" name="FDD_148_11" vbProcedure="false">"A34699"</definedName>
    <definedName function="false" hidden="true" name="FDD_148_12" vbProcedure="false">"A35064"</definedName>
    <definedName function="false" hidden="true" name="FDD_148_13" vbProcedure="false">"A35430"</definedName>
    <definedName function="false" hidden="true" name="FDD_148_14" vbProcedure="false">"A35795"</definedName>
    <definedName function="false" hidden="true" name="FDD_148_2" vbProcedure="false">"A31412"</definedName>
    <definedName function="false" hidden="true" name="FDD_148_3" vbProcedure="false">"A31777"</definedName>
    <definedName function="false" hidden="true" name="FDD_148_4" vbProcedure="false">"A32142"</definedName>
    <definedName function="false" hidden="true" name="FDD_148_5" vbProcedure="false">"A32508"</definedName>
    <definedName function="false" hidden="true" name="FDD_148_6" vbProcedure="false">"A32873"</definedName>
    <definedName function="false" hidden="true" name="FDD_148_7" vbProcedure="false">"A33238"</definedName>
    <definedName function="false" hidden="true" name="FDD_148_8" vbProcedure="false">"A33603"</definedName>
    <definedName function="false" hidden="true" name="FDD_148_9" vbProcedure="false">"A33969"</definedName>
    <definedName function="false" hidden="true" name="FDD_149_0" vbProcedure="false">"U30681"</definedName>
    <definedName function="false" hidden="true" name="FDD_149_1" vbProcedure="false">"U31047"</definedName>
    <definedName function="false" hidden="true" name="FDD_149_10" vbProcedure="false">"U34334"</definedName>
    <definedName function="false" hidden="true" name="FDD_149_11" vbProcedure="false">"U34699"</definedName>
    <definedName function="false" hidden="true" name="FDD_149_12" vbProcedure="false">"U35064"</definedName>
    <definedName function="false" hidden="true" name="FDD_149_13" vbProcedure="false">"U35430"</definedName>
    <definedName function="false" hidden="true" name="FDD_149_14" vbProcedure="false">"A35795"</definedName>
    <definedName function="false" hidden="true" name="FDD_149_2" vbProcedure="false">"U31412"</definedName>
    <definedName function="false" hidden="true" name="FDD_149_3" vbProcedure="false">"U31777"</definedName>
    <definedName function="false" hidden="true" name="FDD_149_4" vbProcedure="false">"U32142"</definedName>
    <definedName function="false" hidden="true" name="FDD_149_5" vbProcedure="false">"U32508"</definedName>
    <definedName function="false" hidden="true" name="FDD_149_6" vbProcedure="false">"U32873"</definedName>
    <definedName function="false" hidden="true" name="FDD_149_7" vbProcedure="false">"U33238"</definedName>
    <definedName function="false" hidden="true" name="FDD_149_8" vbProcedure="false">"U33603"</definedName>
    <definedName function="false" hidden="true" name="FDD_149_9" vbProcedure="false">"U33969"</definedName>
    <definedName function="false" hidden="true" name="FDD_14_0" vbProcedure="false">"A25569"</definedName>
    <definedName function="false" hidden="true" name="FDD_151_0" vbProcedure="false">"A30681"</definedName>
    <definedName function="false" hidden="true" name="FDD_151_1" vbProcedure="false">"A31047"</definedName>
    <definedName function="false" hidden="true" name="FDD_151_10" vbProcedure="false">"A34334"</definedName>
    <definedName function="false" hidden="true" name="FDD_151_11" vbProcedure="false">"A34699"</definedName>
    <definedName function="false" hidden="true" name="FDD_151_12" vbProcedure="false">"A35064"</definedName>
    <definedName function="false" hidden="true" name="FDD_151_13" vbProcedure="false">"A35430"</definedName>
    <definedName function="false" hidden="true" name="FDD_151_14" vbProcedure="false">"A35795"</definedName>
    <definedName function="false" hidden="true" name="FDD_151_2" vbProcedure="false">"A31412"</definedName>
    <definedName function="false" hidden="true" name="FDD_151_3" vbProcedure="false">"A31777"</definedName>
    <definedName function="false" hidden="true" name="FDD_151_4" vbProcedure="false">"A32142"</definedName>
    <definedName function="false" hidden="true" name="FDD_151_5" vbProcedure="false">"A32508"</definedName>
    <definedName function="false" hidden="true" name="FDD_151_6" vbProcedure="false">"A32873"</definedName>
    <definedName function="false" hidden="true" name="FDD_151_7" vbProcedure="false">"A33238"</definedName>
    <definedName function="false" hidden="true" name="FDD_151_8" vbProcedure="false">"A33603"</definedName>
    <definedName function="false" hidden="true" name="FDD_151_9" vbProcedure="false">"A33969"</definedName>
    <definedName function="false" hidden="true" name="FDD_152_0" vbProcedure="false">"A30681"</definedName>
    <definedName function="false" hidden="true" name="FDD_152_1" vbProcedure="false">"A31047"</definedName>
    <definedName function="false" hidden="true" name="FDD_152_10" vbProcedure="false">"A34334"</definedName>
    <definedName function="false" hidden="true" name="FDD_152_11" vbProcedure="false">"A34699"</definedName>
    <definedName function="false" hidden="true" name="FDD_152_12" vbProcedure="false">"A35064"</definedName>
    <definedName function="false" hidden="true" name="FDD_152_13" vbProcedure="false">"A35430"</definedName>
    <definedName function="false" hidden="true" name="FDD_152_14" vbProcedure="false">"A35795"</definedName>
    <definedName function="false" hidden="true" name="FDD_152_15" vbProcedure="false">"E36160"</definedName>
    <definedName function="false" hidden="true" name="FDD_152_2" vbProcedure="false">"A31412"</definedName>
    <definedName function="false" hidden="true" name="FDD_152_3" vbProcedure="false">"A31777"</definedName>
    <definedName function="false" hidden="true" name="FDD_152_4" vbProcedure="false">"A32142"</definedName>
    <definedName function="false" hidden="true" name="FDD_152_5" vbProcedure="false">"A32508"</definedName>
    <definedName function="false" hidden="true" name="FDD_152_6" vbProcedure="false">"A32873"</definedName>
    <definedName function="false" hidden="true" name="FDD_152_7" vbProcedure="false">"A33238"</definedName>
    <definedName function="false" hidden="true" name="FDD_152_8" vbProcedure="false">"A33603"</definedName>
    <definedName function="false" hidden="true" name="FDD_152_9" vbProcedure="false">"A33969"</definedName>
    <definedName function="false" hidden="true" name="FDD_153_0" vbProcedure="false">"A30681"</definedName>
    <definedName function="false" hidden="true" name="FDD_153_1" vbProcedure="false">"A31047"</definedName>
    <definedName function="false" hidden="true" name="FDD_153_10" vbProcedure="false">"A34334"</definedName>
    <definedName function="false" hidden="true" name="FDD_153_11" vbProcedure="false">"A34699"</definedName>
    <definedName function="false" hidden="true" name="FDD_153_12" vbProcedure="false">"A35064"</definedName>
    <definedName function="false" hidden="true" name="FDD_153_13" vbProcedure="false">"A35430"</definedName>
    <definedName function="false" hidden="true" name="FDD_153_14" vbProcedure="false">"A35795"</definedName>
    <definedName function="false" hidden="true" name="FDD_153_2" vbProcedure="false">"A31412"</definedName>
    <definedName function="false" hidden="true" name="FDD_153_3" vbProcedure="false">"A31777"</definedName>
    <definedName function="false" hidden="true" name="FDD_153_4" vbProcedure="false">"A32142"</definedName>
    <definedName function="false" hidden="true" name="FDD_153_5" vbProcedure="false">"A32508"</definedName>
    <definedName function="false" hidden="true" name="FDD_153_6" vbProcedure="false">"A32873"</definedName>
    <definedName function="false" hidden="true" name="FDD_153_7" vbProcedure="false">"A33238"</definedName>
    <definedName function="false" hidden="true" name="FDD_153_8" vbProcedure="false">"A33603"</definedName>
    <definedName function="false" hidden="true" name="FDD_153_9" vbProcedure="false">"A33969"</definedName>
    <definedName function="false" hidden="true" name="FDD_154_0" vbProcedure="false">"A30681"</definedName>
    <definedName function="false" hidden="true" name="FDD_154_1" vbProcedure="false">"A31047"</definedName>
    <definedName function="false" hidden="true" name="FDD_154_10" vbProcedure="false">"A34334"</definedName>
    <definedName function="false" hidden="true" name="FDD_154_11" vbProcedure="false">"A34699"</definedName>
    <definedName function="false" hidden="true" name="FDD_154_12" vbProcedure="false">"A35064"</definedName>
    <definedName function="false" hidden="true" name="FDD_154_13" vbProcedure="false">"A35430"</definedName>
    <definedName function="false" hidden="true" name="FDD_154_14" vbProcedure="false">"A35795"</definedName>
    <definedName function="false" hidden="true" name="FDD_154_2" vbProcedure="false">"A31412"</definedName>
    <definedName function="false" hidden="true" name="FDD_154_3" vbProcedure="false">"A31777"</definedName>
    <definedName function="false" hidden="true" name="FDD_154_4" vbProcedure="false">"A32142"</definedName>
    <definedName function="false" hidden="true" name="FDD_154_5" vbProcedure="false">"A32508"</definedName>
    <definedName function="false" hidden="true" name="FDD_154_6" vbProcedure="false">"A32873"</definedName>
    <definedName function="false" hidden="true" name="FDD_154_7" vbProcedure="false">"A33238"</definedName>
    <definedName function="false" hidden="true" name="FDD_154_8" vbProcedure="false">"A33603"</definedName>
    <definedName function="false" hidden="true" name="FDD_154_9" vbProcedure="false">"A33969"</definedName>
    <definedName function="false" hidden="true" name="FDD_155_0" vbProcedure="false">"A25569"</definedName>
    <definedName function="false" hidden="true" name="FDD_156_0" vbProcedure="false">"A30681"</definedName>
    <definedName function="false" hidden="true" name="FDD_156_1" vbProcedure="false">"A31047"</definedName>
    <definedName function="false" hidden="true" name="FDD_156_10" vbProcedure="false">"A34334"</definedName>
    <definedName function="false" hidden="true" name="FDD_156_11" vbProcedure="false">"A34699"</definedName>
    <definedName function="false" hidden="true" name="FDD_156_12" vbProcedure="false">"A35064"</definedName>
    <definedName function="false" hidden="true" name="FDD_156_13" vbProcedure="false">"A35430"</definedName>
    <definedName function="false" hidden="true" name="FDD_156_14" vbProcedure="false">"A35795"</definedName>
    <definedName function="false" hidden="true" name="FDD_156_15" vbProcedure="false">"E36160"</definedName>
    <definedName function="false" hidden="true" name="FDD_156_2" vbProcedure="false">"A31412"</definedName>
    <definedName function="false" hidden="true" name="FDD_156_3" vbProcedure="false">"A31777"</definedName>
    <definedName function="false" hidden="true" name="FDD_156_4" vbProcedure="false">"A32142"</definedName>
    <definedName function="false" hidden="true" name="FDD_156_5" vbProcedure="false">"A32508"</definedName>
    <definedName function="false" hidden="true" name="FDD_156_6" vbProcedure="false">"A32873"</definedName>
    <definedName function="false" hidden="true" name="FDD_156_7" vbProcedure="false">"A33238"</definedName>
    <definedName function="false" hidden="true" name="FDD_156_8" vbProcedure="false">"A33603"</definedName>
    <definedName function="false" hidden="true" name="FDD_156_9" vbProcedure="false">"A33969"</definedName>
    <definedName function="false" hidden="true" name="FDD_157_0" vbProcedure="false">"A30681"</definedName>
    <definedName function="false" hidden="true" name="FDD_157_1" vbProcedure="false">"A31047"</definedName>
    <definedName function="false" hidden="true" name="FDD_157_10" vbProcedure="false">"A34334"</definedName>
    <definedName function="false" hidden="true" name="FDD_157_11" vbProcedure="false">"A34699"</definedName>
    <definedName function="false" hidden="true" name="FDD_157_12" vbProcedure="false">"A35064"</definedName>
    <definedName function="false" hidden="true" name="FDD_157_13" vbProcedure="false">"A35430"</definedName>
    <definedName function="false" hidden="true" name="FDD_157_14" vbProcedure="false">"A35795"</definedName>
    <definedName function="false" hidden="true" name="FDD_157_2" vbProcedure="false">"A31412"</definedName>
    <definedName function="false" hidden="true" name="FDD_157_3" vbProcedure="false">"A31777"</definedName>
    <definedName function="false" hidden="true" name="FDD_157_4" vbProcedure="false">"A32142"</definedName>
    <definedName function="false" hidden="true" name="FDD_157_5" vbProcedure="false">"A32508"</definedName>
    <definedName function="false" hidden="true" name="FDD_157_6" vbProcedure="false">"A32873"</definedName>
    <definedName function="false" hidden="true" name="FDD_157_7" vbProcedure="false">"A33238"</definedName>
    <definedName function="false" hidden="true" name="FDD_157_8" vbProcedure="false">"A33603"</definedName>
    <definedName function="false" hidden="true" name="FDD_157_9" vbProcedure="false">"A33969"</definedName>
    <definedName function="false" hidden="true" name="FDD_158_0" vbProcedure="false">"A30681"</definedName>
    <definedName function="false" hidden="true" name="FDD_158_1" vbProcedure="false">"A31047"</definedName>
    <definedName function="false" hidden="true" name="FDD_158_10" vbProcedure="false">"A34334"</definedName>
    <definedName function="false" hidden="true" name="FDD_158_11" vbProcedure="false">"A34699"</definedName>
    <definedName function="false" hidden="true" name="FDD_158_12" vbProcedure="false">"A35064"</definedName>
    <definedName function="false" hidden="true" name="FDD_158_13" vbProcedure="false">"A35430"</definedName>
    <definedName function="false" hidden="true" name="FDD_158_14" vbProcedure="false">"A35795"</definedName>
    <definedName function="false" hidden="true" name="FDD_158_15" vbProcedure="false">"E36160"</definedName>
    <definedName function="false" hidden="true" name="FDD_158_2" vbProcedure="false">"A31412"</definedName>
    <definedName function="false" hidden="true" name="FDD_158_3" vbProcedure="false">"A31777"</definedName>
    <definedName function="false" hidden="true" name="FDD_158_4" vbProcedure="false">"A32142"</definedName>
    <definedName function="false" hidden="true" name="FDD_158_5" vbProcedure="false">"A32508"</definedName>
    <definedName function="false" hidden="true" name="FDD_158_6" vbProcedure="false">"A32873"</definedName>
    <definedName function="false" hidden="true" name="FDD_158_7" vbProcedure="false">"A33238"</definedName>
    <definedName function="false" hidden="true" name="FDD_158_8" vbProcedure="false">"A33603"</definedName>
    <definedName function="false" hidden="true" name="FDD_158_9" vbProcedure="false">"A33969"</definedName>
    <definedName function="false" hidden="true" name="FDD_159_0" vbProcedure="false">"A30681"</definedName>
    <definedName function="false" hidden="true" name="FDD_159_1" vbProcedure="false">"A31047"</definedName>
    <definedName function="false" hidden="true" name="FDD_159_10" vbProcedure="false">"A34334"</definedName>
    <definedName function="false" hidden="true" name="FDD_159_11" vbProcedure="false">"A34699"</definedName>
    <definedName function="false" hidden="true" name="FDD_159_12" vbProcedure="false">"A35064"</definedName>
    <definedName function="false" hidden="true" name="FDD_159_13" vbProcedure="false">"A35430"</definedName>
    <definedName function="false" hidden="true" name="FDD_159_14" vbProcedure="false">"A35795"</definedName>
    <definedName function="false" hidden="true" name="FDD_159_2" vbProcedure="false">"A31412"</definedName>
    <definedName function="false" hidden="true" name="FDD_159_3" vbProcedure="false">"A31777"</definedName>
    <definedName function="false" hidden="true" name="FDD_159_4" vbProcedure="false">"A32142"</definedName>
    <definedName function="false" hidden="true" name="FDD_159_5" vbProcedure="false">"A32508"</definedName>
    <definedName function="false" hidden="true" name="FDD_159_6" vbProcedure="false">"A32873"</definedName>
    <definedName function="false" hidden="true" name="FDD_159_7" vbProcedure="false">"A33238"</definedName>
    <definedName function="false" hidden="true" name="FDD_159_8" vbProcedure="false">"A33603"</definedName>
    <definedName function="false" hidden="true" name="FDD_159_9" vbProcedure="false">"A33969"</definedName>
    <definedName function="false" hidden="true" name="FDD_15_0" vbProcedure="false">"A25569"</definedName>
    <definedName function="false" hidden="true" name="FDD_160_0" vbProcedure="false">"A30681"</definedName>
    <definedName function="false" hidden="true" name="FDD_160_1" vbProcedure="false">"A31047"</definedName>
    <definedName function="false" hidden="true" name="FDD_160_10" vbProcedure="false">"A34334"</definedName>
    <definedName function="false" hidden="true" name="FDD_160_11" vbProcedure="false">"A34699"</definedName>
    <definedName function="false" hidden="true" name="FDD_160_12" vbProcedure="false">"A35064"</definedName>
    <definedName function="false" hidden="true" name="FDD_160_13" vbProcedure="false">"A35430"</definedName>
    <definedName function="false" hidden="true" name="FDD_160_14" vbProcedure="false">"A35795"</definedName>
    <definedName function="false" hidden="true" name="FDD_160_15" vbProcedure="false">"E36160"</definedName>
    <definedName function="false" hidden="true" name="FDD_160_2" vbProcedure="false">"A31412"</definedName>
    <definedName function="false" hidden="true" name="FDD_160_3" vbProcedure="false">"A31777"</definedName>
    <definedName function="false" hidden="true" name="FDD_160_4" vbProcedure="false">"A32142"</definedName>
    <definedName function="false" hidden="true" name="FDD_160_5" vbProcedure="false">"A32508"</definedName>
    <definedName function="false" hidden="true" name="FDD_160_6" vbProcedure="false">"A32873"</definedName>
    <definedName function="false" hidden="true" name="FDD_160_7" vbProcedure="false">"A33238"</definedName>
    <definedName function="false" hidden="true" name="FDD_160_8" vbProcedure="false">"A33603"</definedName>
    <definedName function="false" hidden="true" name="FDD_160_9" vbProcedure="false">"A33969"</definedName>
    <definedName function="false" hidden="true" name="FDD_161_0" vbProcedure="false">"A30681"</definedName>
    <definedName function="false" hidden="true" name="FDD_161_1" vbProcedure="false">"A31047"</definedName>
    <definedName function="false" hidden="true" name="FDD_161_10" vbProcedure="false">"A34334"</definedName>
    <definedName function="false" hidden="true" name="FDD_161_11" vbProcedure="false">"A34699"</definedName>
    <definedName function="false" hidden="true" name="FDD_161_12" vbProcedure="false">"A35064"</definedName>
    <definedName function="false" hidden="true" name="FDD_161_13" vbProcedure="false">"A35430"</definedName>
    <definedName function="false" hidden="true" name="FDD_161_14" vbProcedure="false">"A35795"</definedName>
    <definedName function="false" hidden="true" name="FDD_161_2" vbProcedure="false">"A31412"</definedName>
    <definedName function="false" hidden="true" name="FDD_161_3" vbProcedure="false">"A31777"</definedName>
    <definedName function="false" hidden="true" name="FDD_161_4" vbProcedure="false">"A32142"</definedName>
    <definedName function="false" hidden="true" name="FDD_161_5" vbProcedure="false">"A32508"</definedName>
    <definedName function="false" hidden="true" name="FDD_161_6" vbProcedure="false">"A32873"</definedName>
    <definedName function="false" hidden="true" name="FDD_161_7" vbProcedure="false">"A33238"</definedName>
    <definedName function="false" hidden="true" name="FDD_161_8" vbProcedure="false">"A33603"</definedName>
    <definedName function="false" hidden="true" name="FDD_161_9" vbProcedure="false">"A33969"</definedName>
    <definedName function="false" hidden="true" name="FDD_162_0" vbProcedure="false">"A30681"</definedName>
    <definedName function="false" hidden="true" name="FDD_162_1" vbProcedure="false">"A31047"</definedName>
    <definedName function="false" hidden="true" name="FDD_162_10" vbProcedure="false">"A34334"</definedName>
    <definedName function="false" hidden="true" name="FDD_162_11" vbProcedure="false">"A34699"</definedName>
    <definedName function="false" hidden="true" name="FDD_162_12" vbProcedure="false">"A35064"</definedName>
    <definedName function="false" hidden="true" name="FDD_162_13" vbProcedure="false">"A35430"</definedName>
    <definedName function="false" hidden="true" name="FDD_162_14" vbProcedure="false">"A35795"</definedName>
    <definedName function="false" hidden="true" name="FDD_162_2" vbProcedure="false">"A31412"</definedName>
    <definedName function="false" hidden="true" name="FDD_162_3" vbProcedure="false">"A31777"</definedName>
    <definedName function="false" hidden="true" name="FDD_162_4" vbProcedure="false">"A32142"</definedName>
    <definedName function="false" hidden="true" name="FDD_162_5" vbProcedure="false">"A32508"</definedName>
    <definedName function="false" hidden="true" name="FDD_162_6" vbProcedure="false">"A32873"</definedName>
    <definedName function="false" hidden="true" name="FDD_162_7" vbProcedure="false">"A33238"</definedName>
    <definedName function="false" hidden="true" name="FDD_162_8" vbProcedure="false">"A33603"</definedName>
    <definedName function="false" hidden="true" name="FDD_162_9" vbProcedure="false">"A33969"</definedName>
    <definedName function="false" hidden="true" name="FDD_163_0" vbProcedure="false">"A30681"</definedName>
    <definedName function="false" hidden="true" name="FDD_163_1" vbProcedure="false">"A31047"</definedName>
    <definedName function="false" hidden="true" name="FDD_163_10" vbProcedure="false">"A34334"</definedName>
    <definedName function="false" hidden="true" name="FDD_163_11" vbProcedure="false">"A34699"</definedName>
    <definedName function="false" hidden="true" name="FDD_163_12" vbProcedure="false">"A35064"</definedName>
    <definedName function="false" hidden="true" name="FDD_163_13" vbProcedure="false">"A35430"</definedName>
    <definedName function="false" hidden="true" name="FDD_163_14" vbProcedure="false">"A35795"</definedName>
    <definedName function="false" hidden="true" name="FDD_163_2" vbProcedure="false">"A31412"</definedName>
    <definedName function="false" hidden="true" name="FDD_163_3" vbProcedure="false">"A31777"</definedName>
    <definedName function="false" hidden="true" name="FDD_163_4" vbProcedure="false">"A32142"</definedName>
    <definedName function="false" hidden="true" name="FDD_163_5" vbProcedure="false">"A32508"</definedName>
    <definedName function="false" hidden="true" name="FDD_163_6" vbProcedure="false">"A32873"</definedName>
    <definedName function="false" hidden="true" name="FDD_163_7" vbProcedure="false">"A33238"</definedName>
    <definedName function="false" hidden="true" name="FDD_163_8" vbProcedure="false">"A33603"</definedName>
    <definedName function="false" hidden="true" name="FDD_163_9" vbProcedure="false">"A33969"</definedName>
    <definedName function="false" hidden="true" name="FDD_164_0" vbProcedure="false">"A25569"</definedName>
    <definedName function="false" hidden="true" name="FDD_165_0" vbProcedure="false">"A30681"</definedName>
    <definedName function="false" hidden="true" name="FDD_165_1" vbProcedure="false">"A31047"</definedName>
    <definedName function="false" hidden="true" name="FDD_165_10" vbProcedure="false">"A34334"</definedName>
    <definedName function="false" hidden="true" name="FDD_165_11" vbProcedure="false">"A34699"</definedName>
    <definedName function="false" hidden="true" name="FDD_165_12" vbProcedure="false">"A35064"</definedName>
    <definedName function="false" hidden="true" name="FDD_165_13" vbProcedure="false">"A35430"</definedName>
    <definedName function="false" hidden="true" name="FDD_165_14" vbProcedure="false">"A35795"</definedName>
    <definedName function="false" hidden="true" name="FDD_165_2" vbProcedure="false">"A31412"</definedName>
    <definedName function="false" hidden="true" name="FDD_165_3" vbProcedure="false">"A31777"</definedName>
    <definedName function="false" hidden="true" name="FDD_165_4" vbProcedure="false">"A32142"</definedName>
    <definedName function="false" hidden="true" name="FDD_165_5" vbProcedure="false">"A32508"</definedName>
    <definedName function="false" hidden="true" name="FDD_165_6" vbProcedure="false">"A32873"</definedName>
    <definedName function="false" hidden="true" name="FDD_165_7" vbProcedure="false">"A33238"</definedName>
    <definedName function="false" hidden="true" name="FDD_165_8" vbProcedure="false">"A33603"</definedName>
    <definedName function="false" hidden="true" name="FDD_165_9" vbProcedure="false">"A33969"</definedName>
    <definedName function="false" hidden="true" name="FDD_166_0" vbProcedure="false">"A30681"</definedName>
    <definedName function="false" hidden="true" name="FDD_166_1" vbProcedure="false">"A31047"</definedName>
    <definedName function="false" hidden="true" name="FDD_166_10" vbProcedure="false">"A34334"</definedName>
    <definedName function="false" hidden="true" name="FDD_166_11" vbProcedure="false">"A34699"</definedName>
    <definedName function="false" hidden="true" name="FDD_166_12" vbProcedure="false">"A35064"</definedName>
    <definedName function="false" hidden="true" name="FDD_166_13" vbProcedure="false">"A35430"</definedName>
    <definedName function="false" hidden="true" name="FDD_166_14" vbProcedure="false">"A35795"</definedName>
    <definedName function="false" hidden="true" name="FDD_166_2" vbProcedure="false">"A31412"</definedName>
    <definedName function="false" hidden="true" name="FDD_166_3" vbProcedure="false">"A31777"</definedName>
    <definedName function="false" hidden="true" name="FDD_166_4" vbProcedure="false">"A32142"</definedName>
    <definedName function="false" hidden="true" name="FDD_166_5" vbProcedure="false">"A32508"</definedName>
    <definedName function="false" hidden="true" name="FDD_166_6" vbProcedure="false">"A32873"</definedName>
    <definedName function="false" hidden="true" name="FDD_166_7" vbProcedure="false">"A33238"</definedName>
    <definedName function="false" hidden="true" name="FDD_166_8" vbProcedure="false">"A33603"</definedName>
    <definedName function="false" hidden="true" name="FDD_166_9" vbProcedure="false">"A33969"</definedName>
    <definedName function="false" hidden="true" name="FDD_167_0" vbProcedure="false">"A30681"</definedName>
    <definedName function="false" hidden="true" name="FDD_167_1" vbProcedure="false">"A31047"</definedName>
    <definedName function="false" hidden="true" name="FDD_167_10" vbProcedure="false">"A34334"</definedName>
    <definedName function="false" hidden="true" name="FDD_167_11" vbProcedure="false">"A34699"</definedName>
    <definedName function="false" hidden="true" name="FDD_167_12" vbProcedure="false">"A35064"</definedName>
    <definedName function="false" hidden="true" name="FDD_167_13" vbProcedure="false">"A35430"</definedName>
    <definedName function="false" hidden="true" name="FDD_167_14" vbProcedure="false">"A35795"</definedName>
    <definedName function="false" hidden="true" name="FDD_167_2" vbProcedure="false">"A31412"</definedName>
    <definedName function="false" hidden="true" name="FDD_167_3" vbProcedure="false">"A31777"</definedName>
    <definedName function="false" hidden="true" name="FDD_167_4" vbProcedure="false">"A32142"</definedName>
    <definedName function="false" hidden="true" name="FDD_167_5" vbProcedure="false">"A32508"</definedName>
    <definedName function="false" hidden="true" name="FDD_167_6" vbProcedure="false">"A32873"</definedName>
    <definedName function="false" hidden="true" name="FDD_167_7" vbProcedure="false">"A33238"</definedName>
    <definedName function="false" hidden="true" name="FDD_167_8" vbProcedure="false">"A33603"</definedName>
    <definedName function="false" hidden="true" name="FDD_167_9" vbProcedure="false">"A33969"</definedName>
    <definedName function="false" hidden="true" name="FDD_168_0" vbProcedure="false">"E36160"</definedName>
    <definedName function="false" hidden="true" name="FDD_168_1" vbProcedure="false">"E36525"</definedName>
    <definedName function="false" hidden="true" name="FDD_168_2" vbProcedure="false">"E36891"</definedName>
    <definedName function="false" hidden="true" name="FDD_169_0" vbProcedure="false">"A30681"</definedName>
    <definedName function="false" hidden="true" name="FDD_169_1" vbProcedure="false">"A31047"</definedName>
    <definedName function="false" hidden="true" name="FDD_169_10" vbProcedure="false">"A34334"</definedName>
    <definedName function="false" hidden="true" name="FDD_169_11" vbProcedure="false">"A34699"</definedName>
    <definedName function="false" hidden="true" name="FDD_169_12" vbProcedure="false">"A35064"</definedName>
    <definedName function="false" hidden="true" name="FDD_169_13" vbProcedure="false">"A35430"</definedName>
    <definedName function="false" hidden="true" name="FDD_169_14" vbProcedure="false">"A35795"</definedName>
    <definedName function="false" hidden="true" name="FDD_169_2" vbProcedure="false">"A31412"</definedName>
    <definedName function="false" hidden="true" name="FDD_169_3" vbProcedure="false">"A31777"</definedName>
    <definedName function="false" hidden="true" name="FDD_169_4" vbProcedure="false">"A32142"</definedName>
    <definedName function="false" hidden="true" name="FDD_169_5" vbProcedure="false">"A32508"</definedName>
    <definedName function="false" hidden="true" name="FDD_169_6" vbProcedure="false">"A32873"</definedName>
    <definedName function="false" hidden="true" name="FDD_169_7" vbProcedure="false">"A33238"</definedName>
    <definedName function="false" hidden="true" name="FDD_169_8" vbProcedure="false">"A33603"</definedName>
    <definedName function="false" hidden="true" name="FDD_169_9" vbProcedure="false">"A33969"</definedName>
    <definedName function="false" hidden="true" name="FDD_16_0" vbProcedure="false">"A25569"</definedName>
    <definedName function="false" hidden="true" name="FDD_170_0" vbProcedure="false">"A30681"</definedName>
    <definedName function="false" hidden="true" name="FDD_170_1" vbProcedure="false">"A31047"</definedName>
    <definedName function="false" hidden="true" name="FDD_170_10" vbProcedure="false">"A34334"</definedName>
    <definedName function="false" hidden="true" name="FDD_170_11" vbProcedure="false">"A34699"</definedName>
    <definedName function="false" hidden="true" name="FDD_170_12" vbProcedure="false">"A35064"</definedName>
    <definedName function="false" hidden="true" name="FDD_170_13" vbProcedure="false">"A35430"</definedName>
    <definedName function="false" hidden="true" name="FDD_170_14" vbProcedure="false">"A35795"</definedName>
    <definedName function="false" hidden="true" name="FDD_170_2" vbProcedure="false">"A31412"</definedName>
    <definedName function="false" hidden="true" name="FDD_170_3" vbProcedure="false">"A31777"</definedName>
    <definedName function="false" hidden="true" name="FDD_170_4" vbProcedure="false">"A32142"</definedName>
    <definedName function="false" hidden="true" name="FDD_170_5" vbProcedure="false">"A32508"</definedName>
    <definedName function="false" hidden="true" name="FDD_170_6" vbProcedure="false">"A32873"</definedName>
    <definedName function="false" hidden="true" name="FDD_170_7" vbProcedure="false">"A33238"</definedName>
    <definedName function="false" hidden="true" name="FDD_170_8" vbProcedure="false">"A33603"</definedName>
    <definedName function="false" hidden="true" name="FDD_170_9" vbProcedure="false">"A33969"</definedName>
    <definedName function="false" hidden="true" name="FDD_171_0" vbProcedure="false">"A30681"</definedName>
    <definedName function="false" hidden="true" name="FDD_171_1" vbProcedure="false">"A31047"</definedName>
    <definedName function="false" hidden="true" name="FDD_171_10" vbProcedure="false">"A34334"</definedName>
    <definedName function="false" hidden="true" name="FDD_171_11" vbProcedure="false">"A34699"</definedName>
    <definedName function="false" hidden="true" name="FDD_171_12" vbProcedure="false">"A35064"</definedName>
    <definedName function="false" hidden="true" name="FDD_171_13" vbProcedure="false">"A35430"</definedName>
    <definedName function="false" hidden="true" name="FDD_171_14" vbProcedure="false">"A35795"</definedName>
    <definedName function="false" hidden="true" name="FDD_171_2" vbProcedure="false">"A31412"</definedName>
    <definedName function="false" hidden="true" name="FDD_171_3" vbProcedure="false">"A31777"</definedName>
    <definedName function="false" hidden="true" name="FDD_171_4" vbProcedure="false">"A32142"</definedName>
    <definedName function="false" hidden="true" name="FDD_171_5" vbProcedure="false">"A32508"</definedName>
    <definedName function="false" hidden="true" name="FDD_171_6" vbProcedure="false">"A32873"</definedName>
    <definedName function="false" hidden="true" name="FDD_171_7" vbProcedure="false">"A33238"</definedName>
    <definedName function="false" hidden="true" name="FDD_171_8" vbProcedure="false">"A33603"</definedName>
    <definedName function="false" hidden="true" name="FDD_171_9" vbProcedure="false">"A33969"</definedName>
    <definedName function="false" hidden="true" name="FDD_172_0" vbProcedure="false">"A30681"</definedName>
    <definedName function="false" hidden="true" name="FDD_172_1" vbProcedure="false">"A31047"</definedName>
    <definedName function="false" hidden="true" name="FDD_172_10" vbProcedure="false">"A34334"</definedName>
    <definedName function="false" hidden="true" name="FDD_172_11" vbProcedure="false">"A34699"</definedName>
    <definedName function="false" hidden="true" name="FDD_172_12" vbProcedure="false">"A35064"</definedName>
    <definedName function="false" hidden="true" name="FDD_172_13" vbProcedure="false">"A35430"</definedName>
    <definedName function="false" hidden="true" name="FDD_172_14" vbProcedure="false">"A35795"</definedName>
    <definedName function="false" hidden="true" name="FDD_172_2" vbProcedure="false">"A31412"</definedName>
    <definedName function="false" hidden="true" name="FDD_172_3" vbProcedure="false">"A31777"</definedName>
    <definedName function="false" hidden="true" name="FDD_172_4" vbProcedure="false">"A32142"</definedName>
    <definedName function="false" hidden="true" name="FDD_172_5" vbProcedure="false">"A32508"</definedName>
    <definedName function="false" hidden="true" name="FDD_172_6" vbProcedure="false">"A32873"</definedName>
    <definedName function="false" hidden="true" name="FDD_172_7" vbProcedure="false">"A33238"</definedName>
    <definedName function="false" hidden="true" name="FDD_172_8" vbProcedure="false">"A33603"</definedName>
    <definedName function="false" hidden="true" name="FDD_172_9" vbProcedure="false">"A33969"</definedName>
    <definedName function="false" hidden="true" name="FDD_173_0" vbProcedure="false">"A30681"</definedName>
    <definedName function="false" hidden="true" name="FDD_173_1" vbProcedure="false">"A31047"</definedName>
    <definedName function="false" hidden="true" name="FDD_173_10" vbProcedure="false">"A34334"</definedName>
    <definedName function="false" hidden="true" name="FDD_173_11" vbProcedure="false">"A34699"</definedName>
    <definedName function="false" hidden="true" name="FDD_173_12" vbProcedure="false">"A35064"</definedName>
    <definedName function="false" hidden="true" name="FDD_173_13" vbProcedure="false">"A35430"</definedName>
    <definedName function="false" hidden="true" name="FDD_173_14" vbProcedure="false">"A35795"</definedName>
    <definedName function="false" hidden="true" name="FDD_173_2" vbProcedure="false">"A31412"</definedName>
    <definedName function="false" hidden="true" name="FDD_173_3" vbProcedure="false">"A31777"</definedName>
    <definedName function="false" hidden="true" name="FDD_173_4" vbProcedure="false">"A32142"</definedName>
    <definedName function="false" hidden="true" name="FDD_173_5" vbProcedure="false">"A32508"</definedName>
    <definedName function="false" hidden="true" name="FDD_173_6" vbProcedure="false">"A32873"</definedName>
    <definedName function="false" hidden="true" name="FDD_173_7" vbProcedure="false">"A33238"</definedName>
    <definedName function="false" hidden="true" name="FDD_173_8" vbProcedure="false">"A33603"</definedName>
    <definedName function="false" hidden="true" name="FDD_173_9" vbProcedure="false">"A33969"</definedName>
    <definedName function="false" hidden="true" name="FDD_174_0" vbProcedure="false">"A30681"</definedName>
    <definedName function="false" hidden="true" name="FDD_174_1" vbProcedure="false">"A31047"</definedName>
    <definedName function="false" hidden="true" name="FDD_174_10" vbProcedure="false">"A34334"</definedName>
    <definedName function="false" hidden="true" name="FDD_174_11" vbProcedure="false">"A34699"</definedName>
    <definedName function="false" hidden="true" name="FDD_174_12" vbProcedure="false">"A35064"</definedName>
    <definedName function="false" hidden="true" name="FDD_174_13" vbProcedure="false">"A35430"</definedName>
    <definedName function="false" hidden="true" name="FDD_174_14" vbProcedure="false">"A35795"</definedName>
    <definedName function="false" hidden="true" name="FDD_174_2" vbProcedure="false">"A31412"</definedName>
    <definedName function="false" hidden="true" name="FDD_174_3" vbProcedure="false">"A31777"</definedName>
    <definedName function="false" hidden="true" name="FDD_174_4" vbProcedure="false">"A32142"</definedName>
    <definedName function="false" hidden="true" name="FDD_174_5" vbProcedure="false">"A32508"</definedName>
    <definedName function="false" hidden="true" name="FDD_174_6" vbProcedure="false">"A32873"</definedName>
    <definedName function="false" hidden="true" name="FDD_174_7" vbProcedure="false">"A33238"</definedName>
    <definedName function="false" hidden="true" name="FDD_174_8" vbProcedure="false">"A33603"</definedName>
    <definedName function="false" hidden="true" name="FDD_174_9" vbProcedure="false">"A33969"</definedName>
    <definedName function="false" hidden="true" name="FDD_175_0" vbProcedure="false">"E36160"</definedName>
    <definedName function="false" hidden="true" name="FDD_175_1" vbProcedure="false">"E36525"</definedName>
    <definedName function="false" hidden="true" name="FDD_175_2" vbProcedure="false">"E36891"</definedName>
    <definedName function="false" hidden="true" name="FDD_176_0" vbProcedure="false">"E36160"</definedName>
    <definedName function="false" hidden="true" name="FDD_176_1" vbProcedure="false">"E36525"</definedName>
    <definedName function="false" hidden="true" name="FDD_176_2" vbProcedure="false">"E36891"</definedName>
    <definedName function="false" hidden="true" name="FDD_177_0" vbProcedure="false">"E36160"</definedName>
    <definedName function="false" hidden="true" name="FDD_177_1" vbProcedure="false">"E36525"</definedName>
    <definedName function="false" hidden="true" name="FDD_177_2" vbProcedure="false">"E36891"</definedName>
    <definedName function="false" hidden="true" name="FDD_178_0" vbProcedure="false">"E36160"</definedName>
    <definedName function="false" hidden="true" name="FDD_178_1" vbProcedure="false">"E36525"</definedName>
    <definedName function="false" hidden="true" name="FDD_178_2" vbProcedure="false">"E36891"</definedName>
    <definedName function="false" hidden="true" name="FDD_179_0" vbProcedure="false">"E36160"</definedName>
    <definedName function="false" hidden="true" name="FDD_179_1" vbProcedure="false">"E36525"</definedName>
    <definedName function="false" hidden="true" name="FDD_179_2" vbProcedure="false">"E36891"</definedName>
    <definedName function="false" hidden="true" name="FDD_17_0" vbProcedure="false">"A25569"</definedName>
    <definedName function="false" hidden="true" name="FDD_180_0" vbProcedure="false">"E36160"</definedName>
    <definedName function="false" hidden="true" name="FDD_180_1" vbProcedure="false">"E36525"</definedName>
    <definedName function="false" hidden="true" name="FDD_180_2" vbProcedure="false">"E36891"</definedName>
    <definedName function="false" hidden="true" name="FDD_181_0" vbProcedure="false">"E36160"</definedName>
    <definedName function="false" hidden="true" name="FDD_181_1" vbProcedure="false">"E36525"</definedName>
    <definedName function="false" hidden="true" name="FDD_181_2" vbProcedure="false">"E36891"</definedName>
    <definedName function="false" hidden="true" name="FDD_182_0" vbProcedure="false">"E36160"</definedName>
    <definedName function="false" hidden="true" name="FDD_182_1" vbProcedure="false">"E36525"</definedName>
    <definedName function="false" hidden="true" name="FDD_182_2" vbProcedure="false">"E36891"</definedName>
    <definedName function="false" hidden="true" name="FDD_183_0" vbProcedure="false">"E36160"</definedName>
    <definedName function="false" hidden="true" name="FDD_183_1" vbProcedure="false">"E36525"</definedName>
    <definedName function="false" hidden="true" name="FDD_183_2" vbProcedure="false">"E36891"</definedName>
    <definedName function="false" hidden="true" name="FDD_184_0" vbProcedure="false">"E36160"</definedName>
    <definedName function="false" hidden="true" name="FDD_184_1" vbProcedure="false">"E36525"</definedName>
    <definedName function="false" hidden="true" name="FDD_184_2" vbProcedure="false">"E36891"</definedName>
    <definedName function="false" hidden="true" name="FDD_185_0" vbProcedure="false">"E36160"</definedName>
    <definedName function="false" hidden="true" name="FDD_185_1" vbProcedure="false">"E36525"</definedName>
    <definedName function="false" hidden="true" name="FDD_185_2" vbProcedure="false">"E36891"</definedName>
    <definedName function="false" hidden="true" name="FDD_186_0" vbProcedure="false">"E36160"</definedName>
    <definedName function="false" hidden="true" name="FDD_186_1" vbProcedure="false">"E36525"</definedName>
    <definedName function="false" hidden="true" name="FDD_186_2" vbProcedure="false">"E36891"</definedName>
    <definedName function="false" hidden="true" name="FDD_187_0" vbProcedure="false">"E36160"</definedName>
    <definedName function="false" hidden="true" name="FDD_187_1" vbProcedure="false">"E36525"</definedName>
    <definedName function="false" hidden="true" name="FDD_187_2" vbProcedure="false">"E36891"</definedName>
    <definedName function="false" hidden="true" name="FDD_188_0" vbProcedure="false">"A30681"</definedName>
    <definedName function="false" hidden="true" name="FDD_188_1" vbProcedure="false">"A31047"</definedName>
    <definedName function="false" hidden="true" name="FDD_188_10" vbProcedure="false">"A34334"</definedName>
    <definedName function="false" hidden="true" name="FDD_188_11" vbProcedure="false">"A34699"</definedName>
    <definedName function="false" hidden="true" name="FDD_188_12" vbProcedure="false">"A35064"</definedName>
    <definedName function="false" hidden="true" name="FDD_188_13" vbProcedure="false">"A35430"</definedName>
    <definedName function="false" hidden="true" name="FDD_188_14" vbProcedure="false">"A35795"</definedName>
    <definedName function="false" hidden="true" name="FDD_188_2" vbProcedure="false">"A31412"</definedName>
    <definedName function="false" hidden="true" name="FDD_188_3" vbProcedure="false">"A31777"</definedName>
    <definedName function="false" hidden="true" name="FDD_188_4" vbProcedure="false">"A32142"</definedName>
    <definedName function="false" hidden="true" name="FDD_188_5" vbProcedure="false">"A32508"</definedName>
    <definedName function="false" hidden="true" name="FDD_188_6" vbProcedure="false">"A32873"</definedName>
    <definedName function="false" hidden="true" name="FDD_188_7" vbProcedure="false">"A33238"</definedName>
    <definedName function="false" hidden="true" name="FDD_188_8" vbProcedure="false">"A33603"</definedName>
    <definedName function="false" hidden="true" name="FDD_188_9" vbProcedure="false">"A33969"</definedName>
    <definedName function="false" hidden="true" name="FDD_189_0" vbProcedure="false">"A30681"</definedName>
    <definedName function="false" hidden="true" name="FDD_189_1" vbProcedure="false">"A31047"</definedName>
    <definedName function="false" hidden="true" name="FDD_189_10" vbProcedure="false">"A34334"</definedName>
    <definedName function="false" hidden="true" name="FDD_189_11" vbProcedure="false">"A34699"</definedName>
    <definedName function="false" hidden="true" name="FDD_189_12" vbProcedure="false">"A35064"</definedName>
    <definedName function="false" hidden="true" name="FDD_189_13" vbProcedure="false">"A35430"</definedName>
    <definedName function="false" hidden="true" name="FDD_189_14" vbProcedure="false">"A35795"</definedName>
    <definedName function="false" hidden="true" name="FDD_189_2" vbProcedure="false">"A31412"</definedName>
    <definedName function="false" hidden="true" name="FDD_189_3" vbProcedure="false">"A31777"</definedName>
    <definedName function="false" hidden="true" name="FDD_189_4" vbProcedure="false">"A32142"</definedName>
    <definedName function="false" hidden="true" name="FDD_189_5" vbProcedure="false">"A32508"</definedName>
    <definedName function="false" hidden="true" name="FDD_189_6" vbProcedure="false">"A32873"</definedName>
    <definedName function="false" hidden="true" name="FDD_189_7" vbProcedure="false">"A33238"</definedName>
    <definedName function="false" hidden="true" name="FDD_189_8" vbProcedure="false">"A33603"</definedName>
    <definedName function="false" hidden="true" name="FDD_189_9" vbProcedure="false">"A33969"</definedName>
    <definedName function="false" hidden="true" name="FDD_18_0" vbProcedure="false">"A25569"</definedName>
    <definedName function="false" hidden="true" name="FDD_190_0" vbProcedure="false">"A30681"</definedName>
    <definedName function="false" hidden="true" name="FDD_190_1" vbProcedure="false">"A31047"</definedName>
    <definedName function="false" hidden="true" name="FDD_190_10" vbProcedure="false">"A34334"</definedName>
    <definedName function="false" hidden="true" name="FDD_190_11" vbProcedure="false">"A34699"</definedName>
    <definedName function="false" hidden="true" name="FDD_190_12" vbProcedure="false">"A35064"</definedName>
    <definedName function="false" hidden="true" name="FDD_190_13" vbProcedure="false">"A35430"</definedName>
    <definedName function="false" hidden="true" name="FDD_190_14" vbProcedure="false">"A35795"</definedName>
    <definedName function="false" hidden="true" name="FDD_190_2" vbProcedure="false">"A31412"</definedName>
    <definedName function="false" hidden="true" name="FDD_190_3" vbProcedure="false">"A31777"</definedName>
    <definedName function="false" hidden="true" name="FDD_190_4" vbProcedure="false">"A32142"</definedName>
    <definedName function="false" hidden="true" name="FDD_190_5" vbProcedure="false">"A32508"</definedName>
    <definedName function="false" hidden="true" name="FDD_190_6" vbProcedure="false">"A32873"</definedName>
    <definedName function="false" hidden="true" name="FDD_190_7" vbProcedure="false">"A33238"</definedName>
    <definedName function="false" hidden="true" name="FDD_190_8" vbProcedure="false">"A33603"</definedName>
    <definedName function="false" hidden="true" name="FDD_190_9" vbProcedure="false">"A33969"</definedName>
    <definedName function="false" hidden="true" name="FDD_191_0" vbProcedure="false">"A30681"</definedName>
    <definedName function="false" hidden="true" name="FDD_191_1" vbProcedure="false">"A31047"</definedName>
    <definedName function="false" hidden="true" name="FDD_191_10" vbProcedure="false">"A34334"</definedName>
    <definedName function="false" hidden="true" name="FDD_191_11" vbProcedure="false">"A34699"</definedName>
    <definedName function="false" hidden="true" name="FDD_191_12" vbProcedure="false">"A35064"</definedName>
    <definedName function="false" hidden="true" name="FDD_191_13" vbProcedure="false">"A35430"</definedName>
    <definedName function="false" hidden="true" name="FDD_191_14" vbProcedure="false">"A35795"</definedName>
    <definedName function="false" hidden="true" name="FDD_191_2" vbProcedure="false">"A31412"</definedName>
    <definedName function="false" hidden="true" name="FDD_191_3" vbProcedure="false">"A31777"</definedName>
    <definedName function="false" hidden="true" name="FDD_191_4" vbProcedure="false">"A32142"</definedName>
    <definedName function="false" hidden="true" name="FDD_191_5" vbProcedure="false">"A32508"</definedName>
    <definedName function="false" hidden="true" name="FDD_191_6" vbProcedure="false">"A32873"</definedName>
    <definedName function="false" hidden="true" name="FDD_191_7" vbProcedure="false">"A33238"</definedName>
    <definedName function="false" hidden="true" name="FDD_191_8" vbProcedure="false">"A33603"</definedName>
    <definedName function="false" hidden="true" name="FDD_191_9" vbProcedure="false">"A33969"</definedName>
    <definedName function="false" hidden="true" name="FDD_192_0" vbProcedure="false">"E36160"</definedName>
    <definedName function="false" hidden="true" name="FDD_192_1" vbProcedure="false">"E36525"</definedName>
    <definedName function="false" hidden="true" name="FDD_192_2" vbProcedure="false">"E36891"</definedName>
    <definedName function="false" hidden="true" name="FDD_193_0" vbProcedure="false">"A30681"</definedName>
    <definedName function="false" hidden="true" name="FDD_193_1" vbProcedure="false">"A31047"</definedName>
    <definedName function="false" hidden="true" name="FDD_193_10" vbProcedure="false">"A34334"</definedName>
    <definedName function="false" hidden="true" name="FDD_193_11" vbProcedure="false">"A34699"</definedName>
    <definedName function="false" hidden="true" name="FDD_193_12" vbProcedure="false">"A35064"</definedName>
    <definedName function="false" hidden="true" name="FDD_193_13" vbProcedure="false">"A35430"</definedName>
    <definedName function="false" hidden="true" name="FDD_193_14" vbProcedure="false">"A35795"</definedName>
    <definedName function="false" hidden="true" name="FDD_193_2" vbProcedure="false">"A31412"</definedName>
    <definedName function="false" hidden="true" name="FDD_193_3" vbProcedure="false">"A31777"</definedName>
    <definedName function="false" hidden="true" name="FDD_193_4" vbProcedure="false">"A32142"</definedName>
    <definedName function="false" hidden="true" name="FDD_193_5" vbProcedure="false">"A32508"</definedName>
    <definedName function="false" hidden="true" name="FDD_193_6" vbProcedure="false">"A32873"</definedName>
    <definedName function="false" hidden="true" name="FDD_193_7" vbProcedure="false">"A33238"</definedName>
    <definedName function="false" hidden="true" name="FDD_193_8" vbProcedure="false">"A33603"</definedName>
    <definedName function="false" hidden="true" name="FDD_193_9" vbProcedure="false">"A33969"</definedName>
    <definedName function="false" hidden="true" name="FDD_194_0" vbProcedure="false">"A30681"</definedName>
    <definedName function="false" hidden="true" name="FDD_194_1" vbProcedure="false">"A31047"</definedName>
    <definedName function="false" hidden="true" name="FDD_194_10" vbProcedure="false">"A34334"</definedName>
    <definedName function="false" hidden="true" name="FDD_194_11" vbProcedure="false">"A34699"</definedName>
    <definedName function="false" hidden="true" name="FDD_194_12" vbProcedure="false">"A35064"</definedName>
    <definedName function="false" hidden="true" name="FDD_194_13" vbProcedure="false">"A35430"</definedName>
    <definedName function="false" hidden="true" name="FDD_194_14" vbProcedure="false">"A35795"</definedName>
    <definedName function="false" hidden="true" name="FDD_194_2" vbProcedure="false">"A31412"</definedName>
    <definedName function="false" hidden="true" name="FDD_194_3" vbProcedure="false">"A31777"</definedName>
    <definedName function="false" hidden="true" name="FDD_194_4" vbProcedure="false">"A32142"</definedName>
    <definedName function="false" hidden="true" name="FDD_194_5" vbProcedure="false">"A32508"</definedName>
    <definedName function="false" hidden="true" name="FDD_194_6" vbProcedure="false">"A32873"</definedName>
    <definedName function="false" hidden="true" name="FDD_194_7" vbProcedure="false">"A33238"</definedName>
    <definedName function="false" hidden="true" name="FDD_194_8" vbProcedure="false">"A33603"</definedName>
    <definedName function="false" hidden="true" name="FDD_194_9" vbProcedure="false">"A33969"</definedName>
    <definedName function="false" hidden="true" name="FDD_195_0" vbProcedure="false">"A30681"</definedName>
    <definedName function="false" hidden="true" name="FDD_195_1" vbProcedure="false">"A31047"</definedName>
    <definedName function="false" hidden="true" name="FDD_195_10" vbProcedure="false">"A34334"</definedName>
    <definedName function="false" hidden="true" name="FDD_195_11" vbProcedure="false">"A34699"</definedName>
    <definedName function="false" hidden="true" name="FDD_195_12" vbProcedure="false">"A35064"</definedName>
    <definedName function="false" hidden="true" name="FDD_195_13" vbProcedure="false">"A35430"</definedName>
    <definedName function="false" hidden="true" name="FDD_195_14" vbProcedure="false">"A35795"</definedName>
    <definedName function="false" hidden="true" name="FDD_195_2" vbProcedure="false">"A31412"</definedName>
    <definedName function="false" hidden="true" name="FDD_195_3" vbProcedure="false">"A31777"</definedName>
    <definedName function="false" hidden="true" name="FDD_195_4" vbProcedure="false">"A32142"</definedName>
    <definedName function="false" hidden="true" name="FDD_195_5" vbProcedure="false">"A32508"</definedName>
    <definedName function="false" hidden="true" name="FDD_195_6" vbProcedure="false">"A32873"</definedName>
    <definedName function="false" hidden="true" name="FDD_195_7" vbProcedure="false">"A33238"</definedName>
    <definedName function="false" hidden="true" name="FDD_195_8" vbProcedure="false">"A33603"</definedName>
    <definedName function="false" hidden="true" name="FDD_195_9" vbProcedure="false">"A33969"</definedName>
    <definedName function="false" hidden="true" name="FDD_196_0" vbProcedure="false">"E36160"</definedName>
    <definedName function="false" hidden="true" name="FDD_196_1" vbProcedure="false">"E36525"</definedName>
    <definedName function="false" hidden="true" name="FDD_196_2" vbProcedure="false">"E36891"</definedName>
    <definedName function="false" hidden="true" name="FDD_197_0" vbProcedure="false">"A30681"</definedName>
    <definedName function="false" hidden="true" name="FDD_197_1" vbProcedure="false">"A31047"</definedName>
    <definedName function="false" hidden="true" name="FDD_197_10" vbProcedure="false">"A34334"</definedName>
    <definedName function="false" hidden="true" name="FDD_197_11" vbProcedure="false">"A34699"</definedName>
    <definedName function="false" hidden="true" name="FDD_197_12" vbProcedure="false">"A35064"</definedName>
    <definedName function="false" hidden="true" name="FDD_197_13" vbProcedure="false">"A35430"</definedName>
    <definedName function="false" hidden="true" name="FDD_197_14" vbProcedure="false">"A35795"</definedName>
    <definedName function="false" hidden="true" name="FDD_197_2" vbProcedure="false">"A31412"</definedName>
    <definedName function="false" hidden="true" name="FDD_197_3" vbProcedure="false">"A31777"</definedName>
    <definedName function="false" hidden="true" name="FDD_197_4" vbProcedure="false">"A32142"</definedName>
    <definedName function="false" hidden="true" name="FDD_197_5" vbProcedure="false">"A32508"</definedName>
    <definedName function="false" hidden="true" name="FDD_197_6" vbProcedure="false">"A32873"</definedName>
    <definedName function="false" hidden="true" name="FDD_197_7" vbProcedure="false">"A33238"</definedName>
    <definedName function="false" hidden="true" name="FDD_197_8" vbProcedure="false">"A33603"</definedName>
    <definedName function="false" hidden="true" name="FDD_197_9" vbProcedure="false">"A33969"</definedName>
    <definedName function="false" hidden="true" name="FDD_198_0" vbProcedure="false">"A30681"</definedName>
    <definedName function="false" hidden="true" name="FDD_198_1" vbProcedure="false">"A31047"</definedName>
    <definedName function="false" hidden="true" name="FDD_198_10" vbProcedure="false">"U34334"</definedName>
    <definedName function="false" hidden="true" name="FDD_198_11" vbProcedure="false">"U34699"</definedName>
    <definedName function="false" hidden="true" name="FDD_198_12" vbProcedure="false">"U35064"</definedName>
    <definedName function="false" hidden="true" name="FDD_198_13" vbProcedure="false">"U35430"</definedName>
    <definedName function="false" hidden="true" name="FDD_198_14" vbProcedure="false">"U35795"</definedName>
    <definedName function="false" hidden="true" name="FDD_198_2" vbProcedure="false">"A31412"</definedName>
    <definedName function="false" hidden="true" name="FDD_198_3" vbProcedure="false">"U31777"</definedName>
    <definedName function="false" hidden="true" name="FDD_198_4" vbProcedure="false">"U32142"</definedName>
    <definedName function="false" hidden="true" name="FDD_198_5" vbProcedure="false">"U32508"</definedName>
    <definedName function="false" hidden="true" name="FDD_198_6" vbProcedure="false">"U32873"</definedName>
    <definedName function="false" hidden="true" name="FDD_198_7" vbProcedure="false">"U33238"</definedName>
    <definedName function="false" hidden="true" name="FDD_198_8" vbProcedure="false">"U33603"</definedName>
    <definedName function="false" hidden="true" name="FDD_198_9" vbProcedure="false">"U33969"</definedName>
    <definedName function="false" hidden="true" name="FDD_199_0" vbProcedure="false">"E36160"</definedName>
    <definedName function="false" hidden="true" name="FDD_199_1" vbProcedure="false">"E36525"</definedName>
    <definedName function="false" hidden="true" name="FDD_199_2" vbProcedure="false">"E36891"</definedName>
    <definedName function="false" hidden="true" name="FDD_19_0" vbProcedure="false">"A25569"</definedName>
    <definedName function="false" hidden="true" name="FDD_19_1" vbProcedure="false">"A35795"</definedName>
    <definedName function="false" hidden="true" name="FDD_19_2" vbProcedure="false">"E36160"</definedName>
    <definedName function="false" hidden="true" name="FDD_19_3" vbProcedure="false">"E36525"</definedName>
    <definedName function="false" hidden="true" name="FDD_1_0" vbProcedure="false">"U25569"</definedName>
    <definedName function="false" hidden="true" name="FDD_200_0" vbProcedure="false">"E36160"</definedName>
    <definedName function="false" hidden="true" name="FDD_200_1" vbProcedure="false">"E36525"</definedName>
    <definedName function="false" hidden="true" name="FDD_200_2" vbProcedure="false">"E36891"</definedName>
    <definedName function="false" hidden="true" name="FDD_201_0" vbProcedure="false">"A30681"</definedName>
    <definedName function="false" hidden="true" name="FDD_201_1" vbProcedure="false">"A31047"</definedName>
    <definedName function="false" hidden="true" name="FDD_201_10" vbProcedure="false">"A34334"</definedName>
    <definedName function="false" hidden="true" name="FDD_201_11" vbProcedure="false">"A34699"</definedName>
    <definedName function="false" hidden="true" name="FDD_201_12" vbProcedure="false">"A35064"</definedName>
    <definedName function="false" hidden="true" name="FDD_201_13" vbProcedure="false">"A35430"</definedName>
    <definedName function="false" hidden="true" name="FDD_201_14" vbProcedure="false">"A35795"</definedName>
    <definedName function="false" hidden="true" name="FDD_201_2" vbProcedure="false">"A31412"</definedName>
    <definedName function="false" hidden="true" name="FDD_201_3" vbProcedure="false">"A31777"</definedName>
    <definedName function="false" hidden="true" name="FDD_201_4" vbProcedure="false">"A32142"</definedName>
    <definedName function="false" hidden="true" name="FDD_201_5" vbProcedure="false">"A32508"</definedName>
    <definedName function="false" hidden="true" name="FDD_201_6" vbProcedure="false">"A32873"</definedName>
    <definedName function="false" hidden="true" name="FDD_201_7" vbProcedure="false">"A33238"</definedName>
    <definedName function="false" hidden="true" name="FDD_201_8" vbProcedure="false">"A33603"</definedName>
    <definedName function="false" hidden="true" name="FDD_201_9" vbProcedure="false">"A33969"</definedName>
    <definedName function="false" hidden="true" name="FDD_202_0" vbProcedure="false">"A30681"</definedName>
    <definedName function="false" hidden="true" name="FDD_202_1" vbProcedure="false">"A31047"</definedName>
    <definedName function="false" hidden="true" name="FDD_202_10" vbProcedure="false">"A34334"</definedName>
    <definedName function="false" hidden="true" name="FDD_202_11" vbProcedure="false">"A34699"</definedName>
    <definedName function="false" hidden="true" name="FDD_202_12" vbProcedure="false">"A35064"</definedName>
    <definedName function="false" hidden="true" name="FDD_202_13" vbProcedure="false">"A35430"</definedName>
    <definedName function="false" hidden="true" name="FDD_202_14" vbProcedure="false">"A35795"</definedName>
    <definedName function="false" hidden="true" name="FDD_202_2" vbProcedure="false">"A31412"</definedName>
    <definedName function="false" hidden="true" name="FDD_202_3" vbProcedure="false">"A31777"</definedName>
    <definedName function="false" hidden="true" name="FDD_202_4" vbProcedure="false">"A32142"</definedName>
    <definedName function="false" hidden="true" name="FDD_202_5" vbProcedure="false">"A32508"</definedName>
    <definedName function="false" hidden="true" name="FDD_202_6" vbProcedure="false">"A32873"</definedName>
    <definedName function="false" hidden="true" name="FDD_202_7" vbProcedure="false">"A33238"</definedName>
    <definedName function="false" hidden="true" name="FDD_202_8" vbProcedure="false">"A33603"</definedName>
    <definedName function="false" hidden="true" name="FDD_202_9" vbProcedure="false">"A33969"</definedName>
    <definedName function="false" hidden="true" name="FDD_203_0" vbProcedure="false">"E36160"</definedName>
    <definedName function="false" hidden="true" name="FDD_203_1" vbProcedure="false">"E36525"</definedName>
    <definedName function="false" hidden="true" name="FDD_203_2" vbProcedure="false">"E36891"</definedName>
    <definedName function="false" hidden="true" name="FDD_204_0" vbProcedure="false">"A25569"</definedName>
    <definedName function="false" hidden="true" name="FDD_205_0" vbProcedure="false">"A25569"</definedName>
    <definedName function="false" hidden="true" name="FDD_206_0" vbProcedure="false">"A25569"</definedName>
    <definedName function="false" hidden="true" name="FDD_207_0" vbProcedure="false">"A25569"</definedName>
    <definedName function="false" hidden="true" name="FDD_208_0" vbProcedure="false">"E36160"</definedName>
    <definedName function="false" hidden="true" name="FDD_208_1" vbProcedure="false">"E36525"</definedName>
    <definedName function="false" hidden="true" name="FDD_208_2" vbProcedure="false">"E36891"</definedName>
    <definedName function="false" hidden="true" name="FDD_209_0" vbProcedure="false">"A25569"</definedName>
    <definedName function="false" hidden="true" name="FDD_20_0" vbProcedure="false">"A25569"</definedName>
    <definedName function="false" hidden="true" name="FDD_210_0" vbProcedure="false">"A25569"</definedName>
    <definedName function="false" hidden="true" name="FDD_211_0" vbProcedure="false">"A25569"</definedName>
    <definedName function="false" hidden="true" name="FDD_212_0" vbProcedure="false">"A25569"</definedName>
    <definedName function="false" hidden="true" name="FDD_213_0" vbProcedure="false">"E36160"</definedName>
    <definedName function="false" hidden="true" name="FDD_213_1" vbProcedure="false">"E36525"</definedName>
    <definedName function="false" hidden="true" name="FDD_213_2" vbProcedure="false">"E36891"</definedName>
    <definedName function="false" hidden="true" name="FDD_214_0" vbProcedure="false">"A25569"</definedName>
    <definedName function="false" hidden="true" name="FDD_215_0" vbProcedure="false">"A25569"</definedName>
    <definedName function="false" hidden="true" name="FDD_216_0" vbProcedure="false">"A25569"</definedName>
    <definedName function="false" hidden="true" name="FDD_217_0" vbProcedure="false">"A25569"</definedName>
    <definedName function="false" hidden="true" name="FDD_218_0" vbProcedure="false">"E36160"</definedName>
    <definedName function="false" hidden="true" name="FDD_218_1" vbProcedure="false">"E36525"</definedName>
    <definedName function="false" hidden="true" name="FDD_218_2" vbProcedure="false">"E36891"</definedName>
    <definedName function="false" hidden="true" name="FDD_219_0" vbProcedure="false">"U25569"</definedName>
    <definedName function="false" hidden="true" name="FDD_21_0" vbProcedure="false">"A25569"</definedName>
    <definedName function="false" hidden="true" name="FDD_220_0" vbProcedure="false">"U25569"</definedName>
    <definedName function="false" hidden="true" name="FDD_221_0" vbProcedure="false">"U25569"</definedName>
    <definedName function="false" hidden="true" name="FDD_222_0" vbProcedure="false">"U25569"</definedName>
    <definedName function="false" hidden="true" name="FDD_223_0" vbProcedure="false">"E36160"</definedName>
    <definedName function="false" hidden="true" name="FDD_223_1" vbProcedure="false">"E36525"</definedName>
    <definedName function="false" hidden="true" name="FDD_223_2" vbProcedure="false">"E36891"</definedName>
    <definedName function="false" hidden="true" name="FDD_224_0" vbProcedure="false">"A25569"</definedName>
    <definedName function="false" hidden="true" name="FDD_225_0" vbProcedure="false">"A25569"</definedName>
    <definedName function="false" hidden="true" name="FDD_226_0" vbProcedure="false">"A25569"</definedName>
    <definedName function="false" hidden="true" name="FDD_227_0" vbProcedure="false">"A25569"</definedName>
    <definedName function="false" hidden="true" name="FDD_228_0" vbProcedure="false">"E36160"</definedName>
    <definedName function="false" hidden="true" name="FDD_228_1" vbProcedure="false">"E36525"</definedName>
    <definedName function="false" hidden="true" name="FDD_228_2" vbProcedure="false">"E36891"</definedName>
    <definedName function="false" hidden="true" name="FDD_229_0" vbProcedure="false">"A25569"</definedName>
    <definedName function="false" hidden="true" name="FDD_22_0" vbProcedure="false">"A25569"</definedName>
    <definedName function="false" hidden="true" name="FDD_230_0" vbProcedure="false">"A25569"</definedName>
    <definedName function="false" hidden="true" name="FDD_231_0" vbProcedure="false">"A25569"</definedName>
    <definedName function="false" hidden="true" name="FDD_232_0" vbProcedure="false">"A25569"</definedName>
    <definedName function="false" hidden="true" name="FDD_233_0" vbProcedure="false">"A25569"</definedName>
    <definedName function="false" hidden="true" name="FDD_234_0" vbProcedure="false">"A25569"</definedName>
    <definedName function="false" hidden="true" name="FDD_235_0" vbProcedure="false">"A25569"</definedName>
    <definedName function="false" hidden="true" name="FDD_236_0" vbProcedure="false">"A25569"</definedName>
    <definedName function="false" hidden="true" name="FDD_237_0" vbProcedure="false">"A25569"</definedName>
    <definedName function="false" hidden="true" name="FDD_238_0" vbProcedure="false">"A30681"</definedName>
    <definedName function="false" hidden="true" name="FDD_238_1" vbProcedure="false">"A31047"</definedName>
    <definedName function="false" hidden="true" name="FDD_238_10" vbProcedure="false">"A34334"</definedName>
    <definedName function="false" hidden="true" name="FDD_238_11" vbProcedure="false">"A34699"</definedName>
    <definedName function="false" hidden="true" name="FDD_238_12" vbProcedure="false">"A35064"</definedName>
    <definedName function="false" hidden="true" name="FDD_238_13" vbProcedure="false">"A35430"</definedName>
    <definedName function="false" hidden="true" name="FDD_238_14" vbProcedure="false">"A35795"</definedName>
    <definedName function="false" hidden="true" name="FDD_238_2" vbProcedure="false">"A31412"</definedName>
    <definedName function="false" hidden="true" name="FDD_238_3" vbProcedure="false">"A31777"</definedName>
    <definedName function="false" hidden="true" name="FDD_238_4" vbProcedure="false">"A32142"</definedName>
    <definedName function="false" hidden="true" name="FDD_238_5" vbProcedure="false">"A32508"</definedName>
    <definedName function="false" hidden="true" name="FDD_238_6" vbProcedure="false">"A32873"</definedName>
    <definedName function="false" hidden="true" name="FDD_238_7" vbProcedure="false">"A33238"</definedName>
    <definedName function="false" hidden="true" name="FDD_238_8" vbProcedure="false">"A33603"</definedName>
    <definedName function="false" hidden="true" name="FDD_238_9" vbProcedure="false">"A33969"</definedName>
    <definedName function="false" hidden="true" name="FDD_23_0" vbProcedure="false">"A25569"</definedName>
    <definedName function="false" hidden="true" name="FDD_243_0" vbProcedure="false">"E36160"</definedName>
    <definedName function="false" hidden="true" name="FDD_243_1" vbProcedure="false">"E36525"</definedName>
    <definedName function="false" hidden="true" name="FDD_243_2" vbProcedure="false">"E36891"</definedName>
    <definedName function="false" hidden="true" name="FDD_244_0" vbProcedure="false">"A25569"</definedName>
    <definedName function="false" hidden="true" name="FDD_245_0" vbProcedure="false">"A25569"</definedName>
    <definedName function="false" hidden="true" name="FDD_246_0" vbProcedure="false">"A25569"</definedName>
    <definedName function="false" hidden="true" name="FDD_247_0" vbProcedure="false">"A25569"</definedName>
    <definedName function="false" hidden="true" name="FDD_248_0" vbProcedure="false">"E36160"</definedName>
    <definedName function="false" hidden="true" name="FDD_248_1" vbProcedure="false">"E36525"</definedName>
    <definedName function="false" hidden="true" name="FDD_248_2" vbProcedure="false">"E36891"</definedName>
    <definedName function="false" hidden="true" name="FDD_249_0" vbProcedure="false">"A25569"</definedName>
    <definedName function="false" hidden="true" name="FDD_24_0" vbProcedure="false">"A25569"</definedName>
    <definedName function="false" hidden="true" name="FDD_250_0" vbProcedure="false">"A25569"</definedName>
    <definedName function="false" hidden="true" name="FDD_251_0" vbProcedure="false">"A25569"</definedName>
    <definedName function="false" hidden="true" name="FDD_252_0" vbProcedure="false">"A25569"</definedName>
    <definedName function="false" hidden="true" name="FDD_253_0" vbProcedure="false">"E36160"</definedName>
    <definedName function="false" hidden="true" name="FDD_253_1" vbProcedure="false">"E36525"</definedName>
    <definedName function="false" hidden="true" name="FDD_253_2" vbProcedure="false">"E36891"</definedName>
    <definedName function="false" hidden="true" name="FDD_254_0" vbProcedure="false">"E36160"</definedName>
    <definedName function="false" hidden="true" name="FDD_254_1" vbProcedure="false">"E36525"</definedName>
    <definedName function="false" hidden="true" name="FDD_254_2" vbProcedure="false">"E36891"</definedName>
    <definedName function="false" hidden="true" name="FDD_255_0" vbProcedure="false">"E36160"</definedName>
    <definedName function="false" hidden="true" name="FDD_255_1" vbProcedure="false">"E36525"</definedName>
    <definedName function="false" hidden="true" name="FDD_255_2" vbProcedure="false">"E36891"</definedName>
    <definedName function="false" hidden="true" name="FDD_256_0" vbProcedure="false">"U36160"</definedName>
    <definedName function="false" hidden="true" name="FDD_256_1" vbProcedure="false">"U36525"</definedName>
    <definedName function="false" hidden="true" name="FDD_256_2" vbProcedure="false">"U36891"</definedName>
    <definedName function="false" hidden="true" name="FDD_257_0" vbProcedure="false">"E36160"</definedName>
    <definedName function="false" hidden="true" name="FDD_257_1" vbProcedure="false">"E36525"</definedName>
    <definedName function="false" hidden="true" name="FDD_257_2" vbProcedure="false">"E36891"</definedName>
    <definedName function="false" hidden="true" name="FDD_258_0" vbProcedure="false">"E36160"</definedName>
    <definedName function="false" hidden="true" name="FDD_258_1" vbProcedure="false">"E36525"</definedName>
    <definedName function="false" hidden="true" name="FDD_258_2" vbProcedure="false">"E36891"</definedName>
    <definedName function="false" hidden="true" name="FDD_259_0" vbProcedure="false">"E36160"</definedName>
    <definedName function="false" hidden="true" name="FDD_259_1" vbProcedure="false">"E36525"</definedName>
    <definedName function="false" hidden="true" name="FDD_259_2" vbProcedure="false">"E36891"</definedName>
    <definedName function="false" hidden="true" name="FDD_25_0" vbProcedure="false">"A25569"</definedName>
    <definedName function="false" hidden="true" name="FDD_25_1" vbProcedure="false">"U35795"</definedName>
    <definedName function="false" hidden="true" name="FDD_25_2" vbProcedure="false">"U36160"</definedName>
    <definedName function="false" hidden="true" name="FDD_25_3" vbProcedure="false">"U36525"</definedName>
    <definedName function="false" hidden="true" name="FDD_260_0" vbProcedure="false">"E36160"</definedName>
    <definedName function="false" hidden="true" name="FDD_260_1" vbProcedure="false">"E36525"</definedName>
    <definedName function="false" hidden="true" name="FDD_260_2" vbProcedure="false">"E36891"</definedName>
    <definedName function="false" hidden="true" name="FDD_261_0" vbProcedure="false">"E36160"</definedName>
    <definedName function="false" hidden="true" name="FDD_261_1" vbProcedure="false">"E36525"</definedName>
    <definedName function="false" hidden="true" name="FDD_261_2" vbProcedure="false">"E36891"</definedName>
    <definedName function="false" hidden="true" name="FDD_264_0" vbProcedure="false">"E36160"</definedName>
    <definedName function="false" hidden="true" name="FDD_264_1" vbProcedure="false">"E36525"</definedName>
    <definedName function="false" hidden="true" name="FDD_264_2" vbProcedure="false">"E36891"</definedName>
    <definedName function="false" hidden="true" name="FDD_265_0" vbProcedure="false">"A25569"</definedName>
    <definedName function="false" hidden="true" name="FDD_266_0" vbProcedure="false">"A25569"</definedName>
    <definedName function="false" hidden="true" name="FDD_267_0" vbProcedure="false">"A25569"</definedName>
    <definedName function="false" hidden="true" name="FDD_268_0" vbProcedure="false">"A25569"</definedName>
    <definedName function="false" hidden="true" name="FDD_269_0" vbProcedure="false">"E36160"</definedName>
    <definedName function="false" hidden="true" name="FDD_269_1" vbProcedure="false">"E36525"</definedName>
    <definedName function="false" hidden="true" name="FDD_269_2" vbProcedure="false">"E36891"</definedName>
    <definedName function="false" hidden="true" name="FDD_26_0" vbProcedure="false">"A25569"</definedName>
    <definedName function="false" hidden="true" name="FDD_270_0" vbProcedure="false">"A25569"</definedName>
    <definedName function="false" hidden="true" name="FDD_271_0" vbProcedure="false">"A25569"</definedName>
    <definedName function="false" hidden="true" name="FDD_272_0" vbProcedure="false">"A25569"</definedName>
    <definedName function="false" hidden="true" name="FDD_273_0" vbProcedure="false">"A25569"</definedName>
    <definedName function="false" hidden="true" name="FDD_274_0" vbProcedure="false">"E36160"</definedName>
    <definedName function="false" hidden="true" name="FDD_274_1" vbProcedure="false">"E36525"</definedName>
    <definedName function="false" hidden="true" name="FDD_274_2" vbProcedure="false">"E36891"</definedName>
    <definedName function="false" hidden="true" name="FDD_275_0" vbProcedure="false">"A25569"</definedName>
    <definedName function="false" hidden="true" name="FDD_276_0" vbProcedure="false">"A25569"</definedName>
    <definedName function="false" hidden="true" name="FDD_277_0" vbProcedure="false">"A25569"</definedName>
    <definedName function="false" hidden="true" name="FDD_278_0" vbProcedure="false">"A25569"</definedName>
    <definedName function="false" hidden="true" name="FDD_279_0" vbProcedure="false">"E36160"</definedName>
    <definedName function="false" hidden="true" name="FDD_279_1" vbProcedure="false">"E36525"</definedName>
    <definedName function="false" hidden="true" name="FDD_279_2" vbProcedure="false">"E36891"</definedName>
    <definedName function="false" hidden="true" name="FDD_27_0" vbProcedure="false">"A25569"</definedName>
    <definedName function="false" hidden="true" name="FDD_280_0" vbProcedure="false">"E36160"</definedName>
    <definedName function="false" hidden="true" name="FDD_280_1" vbProcedure="false">"E36525"</definedName>
    <definedName function="false" hidden="true" name="FDD_280_2" vbProcedure="false">"E36891"</definedName>
    <definedName function="false" hidden="true" name="FDD_281_0" vbProcedure="false">"E36160"</definedName>
    <definedName function="false" hidden="true" name="FDD_281_1" vbProcedure="false">"E36525"</definedName>
    <definedName function="false" hidden="true" name="FDD_281_2" vbProcedure="false">"E36891"</definedName>
    <definedName function="false" hidden="true" name="FDD_282_0" vbProcedure="false">"E36160"</definedName>
    <definedName function="false" hidden="true" name="FDD_282_1" vbProcedure="false">"E36525"</definedName>
    <definedName function="false" hidden="true" name="FDD_282_2" vbProcedure="false">"E36891"</definedName>
    <definedName function="false" hidden="true" name="FDD_283_0" vbProcedure="false">"E36160"</definedName>
    <definedName function="false" hidden="true" name="FDD_283_1" vbProcedure="false">"E36525"</definedName>
    <definedName function="false" hidden="true" name="FDD_283_2" vbProcedure="false">"E36891"</definedName>
    <definedName function="false" hidden="true" name="FDD_284_0" vbProcedure="false">"A30681"</definedName>
    <definedName function="false" hidden="true" name="FDD_284_1" vbProcedure="false">"A31047"</definedName>
    <definedName function="false" hidden="true" name="FDD_284_10" vbProcedure="false">"A34334"</definedName>
    <definedName function="false" hidden="true" name="FDD_284_11" vbProcedure="false">"A34699"</definedName>
    <definedName function="false" hidden="true" name="FDD_284_12" vbProcedure="false">"A35064"</definedName>
    <definedName function="false" hidden="true" name="FDD_284_13" vbProcedure="false">"A35430"</definedName>
    <definedName function="false" hidden="true" name="FDD_284_14" vbProcedure="false">"A35795"</definedName>
    <definedName function="false" hidden="true" name="FDD_284_2" vbProcedure="false">"A31412"</definedName>
    <definedName function="false" hidden="true" name="FDD_284_3" vbProcedure="false">"A31777"</definedName>
    <definedName function="false" hidden="true" name="FDD_284_4" vbProcedure="false">"A32142"</definedName>
    <definedName function="false" hidden="true" name="FDD_284_5" vbProcedure="false">"A32508"</definedName>
    <definedName function="false" hidden="true" name="FDD_284_6" vbProcedure="false">"A32873"</definedName>
    <definedName function="false" hidden="true" name="FDD_284_7" vbProcedure="false">"A33238"</definedName>
    <definedName function="false" hidden="true" name="FDD_284_8" vbProcedure="false">"A33603"</definedName>
    <definedName function="false" hidden="true" name="FDD_284_9" vbProcedure="false">"A33969"</definedName>
    <definedName function="false" hidden="true" name="FDD_285_0" vbProcedure="false">"A35795"</definedName>
    <definedName function="false" hidden="true" name="FDD_285_1" vbProcedure="false">"E36160"</definedName>
    <definedName function="false" hidden="true" name="FDD_285_10" vbProcedure="false">"E39447"</definedName>
    <definedName function="false" hidden="true" name="FDD_285_11" vbProcedure="false">"E39813"</definedName>
    <definedName function="false" hidden="true" name="FDD_285_12" vbProcedure="false">"E40178"</definedName>
    <definedName function="false" hidden="true" name="FDD_285_13" vbProcedure="false">"E40543"</definedName>
    <definedName function="false" hidden="true" name="FDD_285_14" vbProcedure="false">"E40908"</definedName>
    <definedName function="false" hidden="true" name="FDD_285_15" vbProcedure="false">"E41274"</definedName>
    <definedName function="false" hidden="true" name="FDD_285_16" vbProcedure="false">"E41639"</definedName>
    <definedName function="false" hidden="true" name="FDD_285_17" vbProcedure="false">"E42004"</definedName>
    <definedName function="false" hidden="true" name="FDD_285_18" vbProcedure="false">"E42369"</definedName>
    <definedName function="false" hidden="true" name="FDD_285_19" vbProcedure="false">"E42735"</definedName>
    <definedName function="false" hidden="true" name="FDD_285_2" vbProcedure="false">"E36525"</definedName>
    <definedName function="false" hidden="true" name="FDD_285_20" vbProcedure="false">"E43100"</definedName>
    <definedName function="false" hidden="true" name="FDD_285_21" vbProcedure="false">"E43465"</definedName>
    <definedName function="false" hidden="true" name="FDD_285_22" vbProcedure="false">"E43830"</definedName>
    <definedName function="false" hidden="true" name="FDD_285_23" vbProcedure="false">"E44196"</definedName>
    <definedName function="false" hidden="true" name="FDD_285_24" vbProcedure="false">"E44561"</definedName>
    <definedName function="false" hidden="true" name="FDD_285_25" vbProcedure="false">"E44926"</definedName>
    <definedName function="false" hidden="true" name="FDD_285_3" vbProcedure="false">"E36891"</definedName>
    <definedName function="false" hidden="true" name="FDD_285_4" vbProcedure="false">"E37256"</definedName>
    <definedName function="false" hidden="true" name="FDD_285_5" vbProcedure="false">"E37621"</definedName>
    <definedName function="false" hidden="true" name="FDD_285_6" vbProcedure="false">"E37986"</definedName>
    <definedName function="false" hidden="true" name="FDD_285_7" vbProcedure="false">"E38352"</definedName>
    <definedName function="false" hidden="true" name="FDD_285_8" vbProcedure="false">"E38717"</definedName>
    <definedName function="false" hidden="true" name="FDD_285_9" vbProcedure="false">"E39082"</definedName>
    <definedName function="false" hidden="true" name="FDD_286_0" vbProcedure="false">"E36160"</definedName>
    <definedName function="false" hidden="true" name="FDD_286_1" vbProcedure="false">"E36525"</definedName>
    <definedName function="false" hidden="true" name="FDD_286_10" vbProcedure="false">"E39813"</definedName>
    <definedName function="false" hidden="true" name="FDD_286_11" vbProcedure="false">"E40178"</definedName>
    <definedName function="false" hidden="true" name="FDD_286_12" vbProcedure="false">"E40543"</definedName>
    <definedName function="false" hidden="true" name="FDD_286_13" vbProcedure="false">"E40908"</definedName>
    <definedName function="false" hidden="true" name="FDD_286_14" vbProcedure="false">"E41274"</definedName>
    <definedName function="false" hidden="true" name="FDD_286_15" vbProcedure="false">"E41639"</definedName>
    <definedName function="false" hidden="true" name="FDD_286_16" vbProcedure="false">"E42004"</definedName>
    <definedName function="false" hidden="true" name="FDD_286_17" vbProcedure="false">"E42369"</definedName>
    <definedName function="false" hidden="true" name="FDD_286_18" vbProcedure="false">"E42735"</definedName>
    <definedName function="false" hidden="true" name="FDD_286_19" vbProcedure="false">"E43100"</definedName>
    <definedName function="false" hidden="true" name="FDD_286_2" vbProcedure="false">"E36891"</definedName>
    <definedName function="false" hidden="true" name="FDD_286_20" vbProcedure="false">"E43465"</definedName>
    <definedName function="false" hidden="true" name="FDD_286_21" vbProcedure="false">"E43830"</definedName>
    <definedName function="false" hidden="true" name="FDD_286_22" vbProcedure="false">"E44196"</definedName>
    <definedName function="false" hidden="true" name="FDD_286_23" vbProcedure="false">"E44561"</definedName>
    <definedName function="false" hidden="true" name="FDD_286_24" vbProcedure="false">"E44926"</definedName>
    <definedName function="false" hidden="true" name="FDD_286_3" vbProcedure="false">"E37256"</definedName>
    <definedName function="false" hidden="true" name="FDD_286_4" vbProcedure="false">"E37621"</definedName>
    <definedName function="false" hidden="true" name="FDD_286_5" vbProcedure="false">"E37986"</definedName>
    <definedName function="false" hidden="true" name="FDD_286_6" vbProcedure="false">"E38352"</definedName>
    <definedName function="false" hidden="true" name="FDD_286_7" vbProcedure="false">"E38717"</definedName>
    <definedName function="false" hidden="true" name="FDD_286_8" vbProcedure="false">"E39082"</definedName>
    <definedName function="false" hidden="true" name="FDD_286_9" vbProcedure="false">"E39447"</definedName>
    <definedName function="false" hidden="true" name="FDD_287_0" vbProcedure="false">"A25569"</definedName>
    <definedName function="false" hidden="true" name="FDD_288_0" vbProcedure="false">"A25569"</definedName>
    <definedName function="false" hidden="true" name="FDD_289_0" vbProcedure="false">"A36890"</definedName>
    <definedName function="false" hidden="true" name="FDD_28_0" vbProcedure="false">"A25569"</definedName>
    <definedName function="false" hidden="true" name="FDD_290_0" vbProcedure="false">"A36890"</definedName>
    <definedName function="false" hidden="true" name="FDD_291_0" vbProcedure="false">"A25569"</definedName>
    <definedName function="false" hidden="true" name="FDD_295_0" vbProcedure="false">"U25569"</definedName>
    <definedName function="false" hidden="true" name="FDD_296_0" vbProcedure="false">"A25569"</definedName>
    <definedName function="false" hidden="true" name="FDD_297_0" vbProcedure="false">"A25569"</definedName>
    <definedName function="false" hidden="true" name="FDD_298_0" vbProcedure="false">"A25569"</definedName>
    <definedName function="false" hidden="true" name="FDD_299_0" vbProcedure="false">"A25569"</definedName>
    <definedName function="false" hidden="true" name="FDD_29_0" vbProcedure="false">"A25569"</definedName>
    <definedName function="false" hidden="true" name="FDD_2_0" vbProcedure="false">"A25569"</definedName>
    <definedName function="false" hidden="true" name="FDD_300_0" vbProcedure="false">"U25569"</definedName>
    <definedName function="false" hidden="true" name="FDD_301_0" vbProcedure="false">"U35795"</definedName>
    <definedName function="false" hidden="true" name="FDD_301_1" vbProcedure="false">"U36160"</definedName>
    <definedName function="false" hidden="true" name="FDD_301_2" vbProcedure="false">"U36525"</definedName>
    <definedName function="false" hidden="true" name="FDD_302_0" vbProcedure="false">"U35795"</definedName>
    <definedName function="false" hidden="true" name="FDD_302_1" vbProcedure="false">"U36160"</definedName>
    <definedName function="false" hidden="true" name="FDD_302_2" vbProcedure="false">"U36525"</definedName>
    <definedName function="false" hidden="true" name="FDD_303_0" vbProcedure="false">"U35795"</definedName>
    <definedName function="false" hidden="true" name="FDD_303_1" vbProcedure="false">"U36160"</definedName>
    <definedName function="false" hidden="true" name="FDD_303_2" vbProcedure="false">"U36525"</definedName>
    <definedName function="false" hidden="true" name="FDD_304_0" vbProcedure="false">"U35795"</definedName>
    <definedName function="false" hidden="true" name="FDD_304_1" vbProcedure="false">"U36160"</definedName>
    <definedName function="false" hidden="true" name="FDD_304_2" vbProcedure="false">"U36525"</definedName>
    <definedName function="false" hidden="true" name="FDD_305_0" vbProcedure="false">"A30681"</definedName>
    <definedName function="false" hidden="true" name="FDD_305_1" vbProcedure="false">"A31047"</definedName>
    <definedName function="false" hidden="true" name="FDD_305_10" vbProcedure="false">"U34334"</definedName>
    <definedName function="false" hidden="true" name="FDD_305_11" vbProcedure="false">"U34699"</definedName>
    <definedName function="false" hidden="true" name="FDD_305_12" vbProcedure="false">"U35064"</definedName>
    <definedName function="false" hidden="true" name="FDD_305_13" vbProcedure="false">"U35430"</definedName>
    <definedName function="false" hidden="true" name="FDD_305_14" vbProcedure="false">"U35795"</definedName>
    <definedName function="false" hidden="true" name="FDD_305_2" vbProcedure="false">"A31412"</definedName>
    <definedName function="false" hidden="true" name="FDD_305_3" vbProcedure="false">"U31777"</definedName>
    <definedName function="false" hidden="true" name="FDD_305_4" vbProcedure="false">"U32142"</definedName>
    <definedName function="false" hidden="true" name="FDD_305_5" vbProcedure="false">"U32508"</definedName>
    <definedName function="false" hidden="true" name="FDD_305_6" vbProcedure="false">"U32873"</definedName>
    <definedName function="false" hidden="true" name="FDD_305_7" vbProcedure="false">"U33238"</definedName>
    <definedName function="false" hidden="true" name="FDD_305_8" vbProcedure="false">"U33603"</definedName>
    <definedName function="false" hidden="true" name="FDD_305_9" vbProcedure="false">"U33969"</definedName>
    <definedName function="false" hidden="true" name="FDD_306_0" vbProcedure="false">"U35795"</definedName>
    <definedName function="false" hidden="true" name="FDD_306_1" vbProcedure="false">"E36160"</definedName>
    <definedName function="false" hidden="true" name="FDD_306_2" vbProcedure="false">"U36525"</definedName>
    <definedName function="false" hidden="true" name="FDD_307_0" vbProcedure="false">"A35795"</definedName>
    <definedName function="false" hidden="true" name="FDD_307_1" vbProcedure="false">"U36160"</definedName>
    <definedName function="false" hidden="true" name="FDD_307_2" vbProcedure="false">"U36525"</definedName>
    <definedName function="false" hidden="true" name="FDD_30_0" vbProcedure="false">"A25569"</definedName>
    <definedName function="false" hidden="true" name="FDD_31_0" vbProcedure="false">"A25569"</definedName>
    <definedName function="false" hidden="true" name="FDD_32_0" vbProcedure="false">"A25569"</definedName>
    <definedName function="false" hidden="true" name="FDD_33_0" vbProcedure="false">"A25569"</definedName>
    <definedName function="false" hidden="true" name="FDD_34_0" vbProcedure="false">"A25569"</definedName>
    <definedName function="false" hidden="true" name="FDD_35_0" vbProcedure="false">"A25569"</definedName>
    <definedName function="false" hidden="true" name="FDD_36_0" vbProcedure="false">"A25569"</definedName>
    <definedName function="false" hidden="true" name="FDD_37_0" vbProcedure="false">"A25569"</definedName>
    <definedName function="false" hidden="true" name="FDD_38_0" vbProcedure="false">"A25569"</definedName>
    <definedName function="false" hidden="true" name="FDD_39_0" vbProcedure="false">"A25569"</definedName>
    <definedName function="false" hidden="true" name="FDD_3_0" vbProcedure="false">"A25569"</definedName>
    <definedName function="false" hidden="true" name="FDD_40_0" vbProcedure="false">"A25569"</definedName>
    <definedName function="false" hidden="true" name="FDD_41_0" vbProcedure="false">"U25569"</definedName>
    <definedName function="false" hidden="true" name="FDD_41_1" vbProcedure="false">"A35795"</definedName>
    <definedName function="false" hidden="true" name="FDD_41_2" vbProcedure="false">"E36160"</definedName>
    <definedName function="false" hidden="true" name="FDD_41_3" vbProcedure="false">"E36525"</definedName>
    <definedName function="false" hidden="true" name="FDD_42_0" vbProcedure="false">"U25569"</definedName>
    <definedName function="false" hidden="true" name="FDD_42_1" vbProcedure="false">"U35795"</definedName>
    <definedName function="false" hidden="true" name="FDD_42_2" vbProcedure="false">"U36160"</definedName>
    <definedName function="false" hidden="true" name="FDD_42_3" vbProcedure="false">"U36525"</definedName>
    <definedName function="false" hidden="true" name="FDD_43_0" vbProcedure="false">"A25569"</definedName>
    <definedName function="false" hidden="true" name="FDD_44_0" vbProcedure="false">"A30681"</definedName>
    <definedName function="false" hidden="true" name="FDD_44_1" vbProcedure="false">"A31047"</definedName>
    <definedName function="false" hidden="true" name="FDD_44_10" vbProcedure="false">"A34334"</definedName>
    <definedName function="false" hidden="true" name="FDD_44_11" vbProcedure="false">"A34699"</definedName>
    <definedName function="false" hidden="true" name="FDD_44_12" vbProcedure="false">"A35064"</definedName>
    <definedName function="false" hidden="true" name="FDD_44_13" vbProcedure="false">"A35430"</definedName>
    <definedName function="false" hidden="true" name="FDD_44_14" vbProcedure="false">"A35795"</definedName>
    <definedName function="false" hidden="true" name="FDD_44_2" vbProcedure="false">"A31412"</definedName>
    <definedName function="false" hidden="true" name="FDD_44_3" vbProcedure="false">"A31777"</definedName>
    <definedName function="false" hidden="true" name="FDD_44_4" vbProcedure="false">"A32142"</definedName>
    <definedName function="false" hidden="true" name="FDD_44_5" vbProcedure="false">"A32508"</definedName>
    <definedName function="false" hidden="true" name="FDD_44_6" vbProcedure="false">"A32873"</definedName>
    <definedName function="false" hidden="true" name="FDD_44_7" vbProcedure="false">"A33238"</definedName>
    <definedName function="false" hidden="true" name="FDD_44_8" vbProcedure="false">"A33603"</definedName>
    <definedName function="false" hidden="true" name="FDD_44_9" vbProcedure="false">"A33969"</definedName>
    <definedName function="false" hidden="true" name="FDD_45_0" vbProcedure="false">"A30681"</definedName>
    <definedName function="false" hidden="true" name="FDD_45_1" vbProcedure="false">"A31047"</definedName>
    <definedName function="false" hidden="true" name="FDD_45_10" vbProcedure="false">"A34334"</definedName>
    <definedName function="false" hidden="true" name="FDD_45_11" vbProcedure="false">"A34699"</definedName>
    <definedName function="false" hidden="true" name="FDD_45_12" vbProcedure="false">"A35064"</definedName>
    <definedName function="false" hidden="true" name="FDD_45_13" vbProcedure="false">"A35430"</definedName>
    <definedName function="false" hidden="true" name="FDD_45_14" vbProcedure="false">"A35795"</definedName>
    <definedName function="false" hidden="true" name="FDD_45_2" vbProcedure="false">"A31412"</definedName>
    <definedName function="false" hidden="true" name="FDD_45_3" vbProcedure="false">"A31777"</definedName>
    <definedName function="false" hidden="true" name="FDD_45_4" vbProcedure="false">"A32142"</definedName>
    <definedName function="false" hidden="true" name="FDD_45_5" vbProcedure="false">"A32508"</definedName>
    <definedName function="false" hidden="true" name="FDD_45_6" vbProcedure="false">"A32873"</definedName>
    <definedName function="false" hidden="true" name="FDD_45_7" vbProcedure="false">"A33238"</definedName>
    <definedName function="false" hidden="true" name="FDD_45_8" vbProcedure="false">"A33603"</definedName>
    <definedName function="false" hidden="true" name="FDD_45_9" vbProcedure="false">"A33969"</definedName>
    <definedName function="false" hidden="true" name="FDD_46_0" vbProcedure="false">"A30681"</definedName>
    <definedName function="false" hidden="true" name="FDD_46_1" vbProcedure="false">"A31047"</definedName>
    <definedName function="false" hidden="true" name="FDD_46_10" vbProcedure="false">"A34334"</definedName>
    <definedName function="false" hidden="true" name="FDD_46_11" vbProcedure="false">"A34699"</definedName>
    <definedName function="false" hidden="true" name="FDD_46_12" vbProcedure="false">"A35064"</definedName>
    <definedName function="false" hidden="true" name="FDD_46_13" vbProcedure="false">"A35430"</definedName>
    <definedName function="false" hidden="true" name="FDD_46_14" vbProcedure="false">"A35795"</definedName>
    <definedName function="false" hidden="true" name="FDD_46_2" vbProcedure="false">"A31412"</definedName>
    <definedName function="false" hidden="true" name="FDD_46_3" vbProcedure="false">"A31777"</definedName>
    <definedName function="false" hidden="true" name="FDD_46_4" vbProcedure="false">"A32142"</definedName>
    <definedName function="false" hidden="true" name="FDD_46_5" vbProcedure="false">"A32508"</definedName>
    <definedName function="false" hidden="true" name="FDD_46_6" vbProcedure="false">"A32873"</definedName>
    <definedName function="false" hidden="true" name="FDD_46_7" vbProcedure="false">"A33238"</definedName>
    <definedName function="false" hidden="true" name="FDD_46_8" vbProcedure="false">"A33603"</definedName>
    <definedName function="false" hidden="true" name="FDD_46_9" vbProcedure="false">"A33969"</definedName>
    <definedName function="false" hidden="true" name="FDD_47_0" vbProcedure="false">"A30681"</definedName>
    <definedName function="false" hidden="true" name="FDD_47_1" vbProcedure="false">"A31047"</definedName>
    <definedName function="false" hidden="true" name="FDD_47_10" vbProcedure="false">"A34334"</definedName>
    <definedName function="false" hidden="true" name="FDD_47_11" vbProcedure="false">"A34699"</definedName>
    <definedName function="false" hidden="true" name="FDD_47_12" vbProcedure="false">"A35064"</definedName>
    <definedName function="false" hidden="true" name="FDD_47_13" vbProcedure="false">"A35430"</definedName>
    <definedName function="false" hidden="true" name="FDD_47_14" vbProcedure="false">"A35795"</definedName>
    <definedName function="false" hidden="true" name="FDD_47_2" vbProcedure="false">"A31412"</definedName>
    <definedName function="false" hidden="true" name="FDD_47_3" vbProcedure="false">"A31777"</definedName>
    <definedName function="false" hidden="true" name="FDD_47_4" vbProcedure="false">"A32142"</definedName>
    <definedName function="false" hidden="true" name="FDD_47_5" vbProcedure="false">"A32508"</definedName>
    <definedName function="false" hidden="true" name="FDD_47_6" vbProcedure="false">"A32873"</definedName>
    <definedName function="false" hidden="true" name="FDD_47_7" vbProcedure="false">"A33238"</definedName>
    <definedName function="false" hidden="true" name="FDD_47_8" vbProcedure="false">"A33603"</definedName>
    <definedName function="false" hidden="true" name="FDD_47_9" vbProcedure="false">"A33969"</definedName>
    <definedName function="false" hidden="true" name="FDD_48_0" vbProcedure="false">"A30681"</definedName>
    <definedName function="false" hidden="true" name="FDD_48_1" vbProcedure="false">"A31047"</definedName>
    <definedName function="false" hidden="true" name="FDD_48_10" vbProcedure="false">"A34334"</definedName>
    <definedName function="false" hidden="true" name="FDD_48_11" vbProcedure="false">"A34699"</definedName>
    <definedName function="false" hidden="true" name="FDD_48_12" vbProcedure="false">"A35064"</definedName>
    <definedName function="false" hidden="true" name="FDD_48_13" vbProcedure="false">"A35430"</definedName>
    <definedName function="false" hidden="true" name="FDD_48_14" vbProcedure="false">"A35795"</definedName>
    <definedName function="false" hidden="true" name="FDD_48_2" vbProcedure="false">"A31412"</definedName>
    <definedName function="false" hidden="true" name="FDD_48_3" vbProcedure="false">"A31777"</definedName>
    <definedName function="false" hidden="true" name="FDD_48_4" vbProcedure="false">"A32142"</definedName>
    <definedName function="false" hidden="true" name="FDD_48_5" vbProcedure="false">"A32508"</definedName>
    <definedName function="false" hidden="true" name="FDD_48_6" vbProcedure="false">"A32873"</definedName>
    <definedName function="false" hidden="true" name="FDD_48_7" vbProcedure="false">"A33238"</definedName>
    <definedName function="false" hidden="true" name="FDD_48_8" vbProcedure="false">"A33603"</definedName>
    <definedName function="false" hidden="true" name="FDD_48_9" vbProcedure="false">"A33969"</definedName>
    <definedName function="false" hidden="true" name="FDD_49_0" vbProcedure="false">"A30681"</definedName>
    <definedName function="false" hidden="true" name="FDD_49_1" vbProcedure="false">"A31047"</definedName>
    <definedName function="false" hidden="true" name="FDD_49_10" vbProcedure="false">"A34334"</definedName>
    <definedName function="false" hidden="true" name="FDD_49_11" vbProcedure="false">"A34699"</definedName>
    <definedName function="false" hidden="true" name="FDD_49_12" vbProcedure="false">"A35064"</definedName>
    <definedName function="false" hidden="true" name="FDD_49_13" vbProcedure="false">"A35430"</definedName>
    <definedName function="false" hidden="true" name="FDD_49_14" vbProcedure="false">"A35795"</definedName>
    <definedName function="false" hidden="true" name="FDD_49_2" vbProcedure="false">"A31412"</definedName>
    <definedName function="false" hidden="true" name="FDD_49_3" vbProcedure="false">"A31777"</definedName>
    <definedName function="false" hidden="true" name="FDD_49_4" vbProcedure="false">"A32142"</definedName>
    <definedName function="false" hidden="true" name="FDD_49_5" vbProcedure="false">"A32508"</definedName>
    <definedName function="false" hidden="true" name="FDD_49_6" vbProcedure="false">"A32873"</definedName>
    <definedName function="false" hidden="true" name="FDD_49_7" vbProcedure="false">"A33238"</definedName>
    <definedName function="false" hidden="true" name="FDD_49_8" vbProcedure="false">"A33603"</definedName>
    <definedName function="false" hidden="true" name="FDD_49_9" vbProcedure="false">"A33969"</definedName>
    <definedName function="false" hidden="true" name="FDD_4_0" vbProcedure="false">"A25569"</definedName>
    <definedName function="false" hidden="true" name="FDD_50_0" vbProcedure="false">"A30681"</definedName>
    <definedName function="false" hidden="true" name="FDD_50_1" vbProcedure="false">"A31047"</definedName>
    <definedName function="false" hidden="true" name="FDD_50_10" vbProcedure="false">"A34334"</definedName>
    <definedName function="false" hidden="true" name="FDD_50_11" vbProcedure="false">"A34699"</definedName>
    <definedName function="false" hidden="true" name="FDD_50_12" vbProcedure="false">"A35064"</definedName>
    <definedName function="false" hidden="true" name="FDD_50_13" vbProcedure="false">"A35430"</definedName>
    <definedName function="false" hidden="true" name="FDD_50_14" vbProcedure="false">"A35795"</definedName>
    <definedName function="false" hidden="true" name="FDD_50_2" vbProcedure="false">"A31412"</definedName>
    <definedName function="false" hidden="true" name="FDD_50_3" vbProcedure="false">"A31777"</definedName>
    <definedName function="false" hidden="true" name="FDD_50_4" vbProcedure="false">"A32142"</definedName>
    <definedName function="false" hidden="true" name="FDD_50_5" vbProcedure="false">"A32508"</definedName>
    <definedName function="false" hidden="true" name="FDD_50_6" vbProcedure="false">"A32873"</definedName>
    <definedName function="false" hidden="true" name="FDD_50_7" vbProcedure="false">"A33238"</definedName>
    <definedName function="false" hidden="true" name="FDD_50_8" vbProcedure="false">"A33603"</definedName>
    <definedName function="false" hidden="true" name="FDD_50_9" vbProcedure="false">"A33969"</definedName>
    <definedName function="false" hidden="true" name="FDD_51_0" vbProcedure="false">"A30681"</definedName>
    <definedName function="false" hidden="true" name="FDD_51_1" vbProcedure="false">"A31047"</definedName>
    <definedName function="false" hidden="true" name="FDD_51_10" vbProcedure="false">"A34334"</definedName>
    <definedName function="false" hidden="true" name="FDD_51_11" vbProcedure="false">"A34699"</definedName>
    <definedName function="false" hidden="true" name="FDD_51_12" vbProcedure="false">"A35064"</definedName>
    <definedName function="false" hidden="true" name="FDD_51_13" vbProcedure="false">"A35430"</definedName>
    <definedName function="false" hidden="true" name="FDD_51_14" vbProcedure="false">"A35795"</definedName>
    <definedName function="false" hidden="true" name="FDD_51_2" vbProcedure="false">"A31412"</definedName>
    <definedName function="false" hidden="true" name="FDD_51_3" vbProcedure="false">"A31777"</definedName>
    <definedName function="false" hidden="true" name="FDD_51_4" vbProcedure="false">"A32142"</definedName>
    <definedName function="false" hidden="true" name="FDD_51_5" vbProcedure="false">"A32508"</definedName>
    <definedName function="false" hidden="true" name="FDD_51_6" vbProcedure="false">"A32873"</definedName>
    <definedName function="false" hidden="true" name="FDD_51_7" vbProcedure="false">"A33238"</definedName>
    <definedName function="false" hidden="true" name="FDD_51_8" vbProcedure="false">"A33603"</definedName>
    <definedName function="false" hidden="true" name="FDD_51_9" vbProcedure="false">"A33969"</definedName>
    <definedName function="false" hidden="true" name="FDD_52_0" vbProcedure="false">"A30681"</definedName>
    <definedName function="false" hidden="true" name="FDD_52_1" vbProcedure="false">"A31047"</definedName>
    <definedName function="false" hidden="true" name="FDD_52_10" vbProcedure="false">"A34334"</definedName>
    <definedName function="false" hidden="true" name="FDD_52_11" vbProcedure="false">"A34699"</definedName>
    <definedName function="false" hidden="true" name="FDD_52_12" vbProcedure="false">"A35064"</definedName>
    <definedName function="false" hidden="true" name="FDD_52_13" vbProcedure="false">"A35430"</definedName>
    <definedName function="false" hidden="true" name="FDD_52_14" vbProcedure="false">"A35795"</definedName>
    <definedName function="false" hidden="true" name="FDD_52_2" vbProcedure="false">"A31412"</definedName>
    <definedName function="false" hidden="true" name="FDD_52_3" vbProcedure="false">"A31777"</definedName>
    <definedName function="false" hidden="true" name="FDD_52_4" vbProcedure="false">"A32142"</definedName>
    <definedName function="false" hidden="true" name="FDD_52_5" vbProcedure="false">"A32508"</definedName>
    <definedName function="false" hidden="true" name="FDD_52_6" vbProcedure="false">"A32873"</definedName>
    <definedName function="false" hidden="true" name="FDD_52_7" vbProcedure="false">"A33238"</definedName>
    <definedName function="false" hidden="true" name="FDD_52_8" vbProcedure="false">"A33603"</definedName>
    <definedName function="false" hidden="true" name="FDD_52_9" vbProcedure="false">"A33969"</definedName>
    <definedName function="false" hidden="true" name="FDD_53_0" vbProcedure="false">"U30681"</definedName>
    <definedName function="false" hidden="true" name="FDD_53_1" vbProcedure="false">"A31047"</definedName>
    <definedName function="false" hidden="true" name="FDD_53_10" vbProcedure="false">"A34334"</definedName>
    <definedName function="false" hidden="true" name="FDD_53_11" vbProcedure="false">"A34699"</definedName>
    <definedName function="false" hidden="true" name="FDD_53_12" vbProcedure="false">"A35064"</definedName>
    <definedName function="false" hidden="true" name="FDD_53_13" vbProcedure="false">"A35430"</definedName>
    <definedName function="false" hidden="true" name="FDD_53_14" vbProcedure="false">"A35795"</definedName>
    <definedName function="false" hidden="true" name="FDD_53_2" vbProcedure="false">"A31412"</definedName>
    <definedName function="false" hidden="true" name="FDD_53_3" vbProcedure="false">"A31777"</definedName>
    <definedName function="false" hidden="true" name="FDD_53_4" vbProcedure="false">"A32142"</definedName>
    <definedName function="false" hidden="true" name="FDD_53_5" vbProcedure="false">"A32508"</definedName>
    <definedName function="false" hidden="true" name="FDD_53_6" vbProcedure="false">"A32873"</definedName>
    <definedName function="false" hidden="true" name="FDD_53_7" vbProcedure="false">"A33238"</definedName>
    <definedName function="false" hidden="true" name="FDD_53_8" vbProcedure="false">"A33603"</definedName>
    <definedName function="false" hidden="true" name="FDD_53_9" vbProcedure="false">"A33969"</definedName>
    <definedName function="false" hidden="true" name="FDD_54_0" vbProcedure="false">"A30681"</definedName>
    <definedName function="false" hidden="true" name="FDD_54_1" vbProcedure="false">"A31047"</definedName>
    <definedName function="false" hidden="true" name="FDD_54_10" vbProcedure="false">"A34334"</definedName>
    <definedName function="false" hidden="true" name="FDD_54_11" vbProcedure="false">"A34699"</definedName>
    <definedName function="false" hidden="true" name="FDD_54_12" vbProcedure="false">"A35064"</definedName>
    <definedName function="false" hidden="true" name="FDD_54_13" vbProcedure="false">"A35430"</definedName>
    <definedName function="false" hidden="true" name="FDD_54_14" vbProcedure="false">"A35795"</definedName>
    <definedName function="false" hidden="true" name="FDD_54_2" vbProcedure="false">"A31412"</definedName>
    <definedName function="false" hidden="true" name="FDD_54_3" vbProcedure="false">"A31777"</definedName>
    <definedName function="false" hidden="true" name="FDD_54_4" vbProcedure="false">"A32142"</definedName>
    <definedName function="false" hidden="true" name="FDD_54_5" vbProcedure="false">"A32508"</definedName>
    <definedName function="false" hidden="true" name="FDD_54_6" vbProcedure="false">"A32873"</definedName>
    <definedName function="false" hidden="true" name="FDD_54_7" vbProcedure="false">"A33238"</definedName>
    <definedName function="false" hidden="true" name="FDD_54_8" vbProcedure="false">"A33603"</definedName>
    <definedName function="false" hidden="true" name="FDD_54_9" vbProcedure="false">"A33969"</definedName>
    <definedName function="false" hidden="true" name="FDD_55_0" vbProcedure="false">"A30681"</definedName>
    <definedName function="false" hidden="true" name="FDD_55_1" vbProcedure="false">"A31047"</definedName>
    <definedName function="false" hidden="true" name="FDD_55_10" vbProcedure="false">"A34334"</definedName>
    <definedName function="false" hidden="true" name="FDD_55_11" vbProcedure="false">"A34699"</definedName>
    <definedName function="false" hidden="true" name="FDD_55_12" vbProcedure="false">"A35064"</definedName>
    <definedName function="false" hidden="true" name="FDD_55_13" vbProcedure="false">"A35430"</definedName>
    <definedName function="false" hidden="true" name="FDD_55_14" vbProcedure="false">"A35795"</definedName>
    <definedName function="false" hidden="true" name="FDD_55_2" vbProcedure="false">"A31412"</definedName>
    <definedName function="false" hidden="true" name="FDD_55_3" vbProcedure="false">"A31777"</definedName>
    <definedName function="false" hidden="true" name="FDD_55_4" vbProcedure="false">"A32142"</definedName>
    <definedName function="false" hidden="true" name="FDD_55_5" vbProcedure="false">"A32508"</definedName>
    <definedName function="false" hidden="true" name="FDD_55_6" vbProcedure="false">"A32873"</definedName>
    <definedName function="false" hidden="true" name="FDD_55_7" vbProcedure="false">"A33238"</definedName>
    <definedName function="false" hidden="true" name="FDD_55_8" vbProcedure="false">"A33603"</definedName>
    <definedName function="false" hidden="true" name="FDD_55_9" vbProcedure="false">"A33969"</definedName>
    <definedName function="false" hidden="true" name="FDD_56_0" vbProcedure="false">"A30681"</definedName>
    <definedName function="false" hidden="true" name="FDD_56_1" vbProcedure="false">"A31047"</definedName>
    <definedName function="false" hidden="true" name="FDD_56_10" vbProcedure="false">"A34334"</definedName>
    <definedName function="false" hidden="true" name="FDD_56_11" vbProcedure="false">"A34699"</definedName>
    <definedName function="false" hidden="true" name="FDD_56_12" vbProcedure="false">"A35064"</definedName>
    <definedName function="false" hidden="true" name="FDD_56_13" vbProcedure="false">"A35430"</definedName>
    <definedName function="false" hidden="true" name="FDD_56_14" vbProcedure="false">"A35795"</definedName>
    <definedName function="false" hidden="true" name="FDD_56_2" vbProcedure="false">"A31412"</definedName>
    <definedName function="false" hidden="true" name="FDD_56_3" vbProcedure="false">"A31777"</definedName>
    <definedName function="false" hidden="true" name="FDD_56_4" vbProcedure="false">"A32142"</definedName>
    <definedName function="false" hidden="true" name="FDD_56_5" vbProcedure="false">"A32508"</definedName>
    <definedName function="false" hidden="true" name="FDD_56_6" vbProcedure="false">"A32873"</definedName>
    <definedName function="false" hidden="true" name="FDD_56_7" vbProcedure="false">"A33238"</definedName>
    <definedName function="false" hidden="true" name="FDD_56_8" vbProcedure="false">"A33603"</definedName>
    <definedName function="false" hidden="true" name="FDD_56_9" vbProcedure="false">"A33969"</definedName>
    <definedName function="false" hidden="true" name="FDD_57_0" vbProcedure="false">"A30681"</definedName>
    <definedName function="false" hidden="true" name="FDD_57_1" vbProcedure="false">"A31047"</definedName>
    <definedName function="false" hidden="true" name="FDD_57_10" vbProcedure="false">"A34334"</definedName>
    <definedName function="false" hidden="true" name="FDD_57_11" vbProcedure="false">"A34699"</definedName>
    <definedName function="false" hidden="true" name="FDD_57_12" vbProcedure="false">"A35064"</definedName>
    <definedName function="false" hidden="true" name="FDD_57_13" vbProcedure="false">"A35430"</definedName>
    <definedName function="false" hidden="true" name="FDD_57_14" vbProcedure="false">"A35795"</definedName>
    <definedName function="false" hidden="true" name="FDD_57_2" vbProcedure="false">"A31412"</definedName>
    <definedName function="false" hidden="true" name="FDD_57_3" vbProcedure="false">"A31777"</definedName>
    <definedName function="false" hidden="true" name="FDD_57_4" vbProcedure="false">"A32142"</definedName>
    <definedName function="false" hidden="true" name="FDD_57_5" vbProcedure="false">"A32508"</definedName>
    <definedName function="false" hidden="true" name="FDD_57_6" vbProcedure="false">"A32873"</definedName>
    <definedName function="false" hidden="true" name="FDD_57_7" vbProcedure="false">"A33238"</definedName>
    <definedName function="false" hidden="true" name="FDD_57_8" vbProcedure="false">"A33603"</definedName>
    <definedName function="false" hidden="true" name="FDD_57_9" vbProcedure="false">"A33969"</definedName>
    <definedName function="false" hidden="true" name="FDD_58_0" vbProcedure="false">"A30681"</definedName>
    <definedName function="false" hidden="true" name="FDD_58_1" vbProcedure="false">"A31047"</definedName>
    <definedName function="false" hidden="true" name="FDD_58_10" vbProcedure="false">"A34334"</definedName>
    <definedName function="false" hidden="true" name="FDD_58_100" vbProcedure="false">"A35044"</definedName>
    <definedName function="false" hidden="true" name="FDD_58_101" vbProcedure="false">"A35051"</definedName>
    <definedName function="false" hidden="true" name="FDD_58_102" vbProcedure="false">"A35058"</definedName>
    <definedName function="false" hidden="true" name="FDD_58_103" vbProcedure="false">"A35065"</definedName>
    <definedName function="false" hidden="true" name="FDD_58_104" vbProcedure="false">"A35072"</definedName>
    <definedName function="false" hidden="true" name="FDD_58_105" vbProcedure="false">"A35079"</definedName>
    <definedName function="false" hidden="true" name="FDD_58_106" vbProcedure="false">"A35086"</definedName>
    <definedName function="false" hidden="true" name="FDD_58_107" vbProcedure="false">"A35093"</definedName>
    <definedName function="false" hidden="true" name="FDD_58_108" vbProcedure="false">"A35100"</definedName>
    <definedName function="false" hidden="true" name="FDD_58_109" vbProcedure="false">"A35107"</definedName>
    <definedName function="false" hidden="true" name="FDD_58_11" vbProcedure="false">"A34699"</definedName>
    <definedName function="false" hidden="true" name="FDD_58_110" vbProcedure="false">"A35114"</definedName>
    <definedName function="false" hidden="true" name="FDD_58_111" vbProcedure="false">"A35121"</definedName>
    <definedName function="false" hidden="true" name="FDD_58_112" vbProcedure="false">"A35128"</definedName>
    <definedName function="false" hidden="true" name="FDD_58_113" vbProcedure="false">"A35135"</definedName>
    <definedName function="false" hidden="true" name="FDD_58_114" vbProcedure="false">"A35142"</definedName>
    <definedName function="false" hidden="true" name="FDD_58_115" vbProcedure="false">"A35149"</definedName>
    <definedName function="false" hidden="true" name="FDD_58_116" vbProcedure="false">"A35156"</definedName>
    <definedName function="false" hidden="true" name="FDD_58_117" vbProcedure="false">"A35162"</definedName>
    <definedName function="false" hidden="true" name="FDD_58_118" vbProcedure="false">"A35170"</definedName>
    <definedName function="false" hidden="true" name="FDD_58_119" vbProcedure="false">"A35177"</definedName>
    <definedName function="false" hidden="true" name="FDD_58_12" vbProcedure="false">"A35064"</definedName>
    <definedName function="false" hidden="true" name="FDD_58_120" vbProcedure="false">"A35184"</definedName>
    <definedName function="false" hidden="true" name="FDD_58_121" vbProcedure="false">"A35191"</definedName>
    <definedName function="false" hidden="true" name="FDD_58_122" vbProcedure="false">"A35198"</definedName>
    <definedName function="false" hidden="true" name="FDD_58_123" vbProcedure="false">"A35205"</definedName>
    <definedName function="false" hidden="true" name="FDD_58_124" vbProcedure="false">"A35212"</definedName>
    <definedName function="false" hidden="true" name="FDD_58_125" vbProcedure="false">"A35219"</definedName>
    <definedName function="false" hidden="true" name="FDD_58_126" vbProcedure="false">"A35226"</definedName>
    <definedName function="false" hidden="true" name="FDD_58_127" vbProcedure="false">"A35233"</definedName>
    <definedName function="false" hidden="true" name="FDD_58_128" vbProcedure="false">"A35240"</definedName>
    <definedName function="false" hidden="true" name="FDD_58_129" vbProcedure="false">"A35247"</definedName>
    <definedName function="false" hidden="true" name="FDD_58_13" vbProcedure="false">"A35430"</definedName>
    <definedName function="false" hidden="true" name="FDD_58_130" vbProcedure="false">"A35254"</definedName>
    <definedName function="false" hidden="true" name="FDD_58_131" vbProcedure="false">"A35261"</definedName>
    <definedName function="false" hidden="true" name="FDD_58_132" vbProcedure="false">"A35268"</definedName>
    <definedName function="false" hidden="true" name="FDD_58_133" vbProcedure="false">"A35275"</definedName>
    <definedName function="false" hidden="true" name="FDD_58_134" vbProcedure="false">"A35282"</definedName>
    <definedName function="false" hidden="true" name="FDD_58_135" vbProcedure="false">"A35289"</definedName>
    <definedName function="false" hidden="true" name="FDD_58_136" vbProcedure="false">"A35296"</definedName>
    <definedName function="false" hidden="true" name="FDD_58_137" vbProcedure="false">"A35303"</definedName>
    <definedName function="false" hidden="true" name="FDD_58_138" vbProcedure="false">"A35310"</definedName>
    <definedName function="false" hidden="true" name="FDD_58_139" vbProcedure="false">"A35317"</definedName>
    <definedName function="false" hidden="true" name="FDD_58_14" vbProcedure="false">"A35795"</definedName>
    <definedName function="false" hidden="true" name="FDD_58_140" vbProcedure="false">"A35324"</definedName>
    <definedName function="false" hidden="true" name="FDD_58_141" vbProcedure="false">"A35331"</definedName>
    <definedName function="false" hidden="true" name="FDD_58_142" vbProcedure="false">"A35338"</definedName>
    <definedName function="false" hidden="true" name="FDD_58_143" vbProcedure="false">"A35345"</definedName>
    <definedName function="false" hidden="true" name="FDD_58_144" vbProcedure="false">"A35352"</definedName>
    <definedName function="false" hidden="true" name="FDD_58_145" vbProcedure="false">"A35359"</definedName>
    <definedName function="false" hidden="true" name="FDD_58_146" vbProcedure="false">"A35366"</definedName>
    <definedName function="false" hidden="true" name="FDD_58_147" vbProcedure="false">"A35373"</definedName>
    <definedName function="false" hidden="true" name="FDD_58_148" vbProcedure="false">"A35380"</definedName>
    <definedName function="false" hidden="true" name="FDD_58_149" vbProcedure="false">"A35387"</definedName>
    <definedName function="false" hidden="true" name="FDD_58_15" vbProcedure="false">"A34449"</definedName>
    <definedName function="false" hidden="true" name="FDD_58_150" vbProcedure="false">"A35394"</definedName>
    <definedName function="false" hidden="true" name="FDD_58_151" vbProcedure="false">"A35401"</definedName>
    <definedName function="false" hidden="true" name="FDD_58_152" vbProcedure="false">"A35408"</definedName>
    <definedName function="false" hidden="true" name="FDD_58_153" vbProcedure="false">"A35415"</definedName>
    <definedName function="false" hidden="true" name="FDD_58_154" vbProcedure="false">"A35422"</definedName>
    <definedName function="false" hidden="true" name="FDD_58_155" vbProcedure="false">"A35429"</definedName>
    <definedName function="false" hidden="true" name="FDD_58_156" vbProcedure="false">"A35436"</definedName>
    <definedName function="false" hidden="true" name="FDD_58_157" vbProcedure="false">"A35443"</definedName>
    <definedName function="false" hidden="true" name="FDD_58_158" vbProcedure="false">"A35450"</definedName>
    <definedName function="false" hidden="true" name="FDD_58_159" vbProcedure="false">"A35457"</definedName>
    <definedName function="false" hidden="true" name="FDD_58_16" vbProcedure="false">"A34456"</definedName>
    <definedName function="false" hidden="true" name="FDD_58_160" vbProcedure="false">"A35464"</definedName>
    <definedName function="false" hidden="true" name="FDD_58_161" vbProcedure="false">"A35471"</definedName>
    <definedName function="false" hidden="true" name="FDD_58_162" vbProcedure="false">"A35478"</definedName>
    <definedName function="false" hidden="true" name="FDD_58_163" vbProcedure="false">"A35485"</definedName>
    <definedName function="false" hidden="true" name="FDD_58_164" vbProcedure="false">"A35492"</definedName>
    <definedName function="false" hidden="true" name="FDD_58_165" vbProcedure="false">"A35499"</definedName>
    <definedName function="false" hidden="true" name="FDD_58_166" vbProcedure="false">"A35506"</definedName>
    <definedName function="false" hidden="true" name="FDD_58_167" vbProcedure="false">"A35513"</definedName>
    <definedName function="false" hidden="true" name="FDD_58_168" vbProcedure="false">"A35520"</definedName>
    <definedName function="false" hidden="true" name="FDD_58_169" vbProcedure="false">"A35527"</definedName>
    <definedName function="false" hidden="true" name="FDD_58_17" vbProcedure="false">"A34463"</definedName>
    <definedName function="false" hidden="true" name="FDD_58_170" vbProcedure="false">"A35534"</definedName>
    <definedName function="false" hidden="true" name="FDD_58_171" vbProcedure="false">"A35541"</definedName>
    <definedName function="false" hidden="true" name="FDD_58_172" vbProcedure="false">"A35548"</definedName>
    <definedName function="false" hidden="true" name="FDD_58_173" vbProcedure="false">"A35555"</definedName>
    <definedName function="false" hidden="true" name="FDD_58_174" vbProcedure="false">"A35562"</definedName>
    <definedName function="false" hidden="true" name="FDD_58_175" vbProcedure="false">"A35569"</definedName>
    <definedName function="false" hidden="true" name="FDD_58_176" vbProcedure="false">"A35576"</definedName>
    <definedName function="false" hidden="true" name="FDD_58_177" vbProcedure="false">"A35583"</definedName>
    <definedName function="false" hidden="true" name="FDD_58_178" vbProcedure="false">"A35590"</definedName>
    <definedName function="false" hidden="true" name="FDD_58_179" vbProcedure="false">"A35597"</definedName>
    <definedName function="false" hidden="true" name="FDD_58_18" vbProcedure="false">"A34470"</definedName>
    <definedName function="false" hidden="true" name="FDD_58_180" vbProcedure="false">"A35604"</definedName>
    <definedName function="false" hidden="true" name="FDD_58_181" vbProcedure="false">"A35611"</definedName>
    <definedName function="false" hidden="true" name="FDD_58_182" vbProcedure="false">"A35618"</definedName>
    <definedName function="false" hidden="true" name="FDD_58_183" vbProcedure="false">"A35625"</definedName>
    <definedName function="false" hidden="true" name="FDD_58_184" vbProcedure="false">"A35632"</definedName>
    <definedName function="false" hidden="true" name="FDD_58_185" vbProcedure="false">"A35639"</definedName>
    <definedName function="false" hidden="true" name="FDD_58_186" vbProcedure="false">"A35646"</definedName>
    <definedName function="false" hidden="true" name="FDD_58_187" vbProcedure="false">"A35653"</definedName>
    <definedName function="false" hidden="true" name="FDD_58_188" vbProcedure="false">"A35660"</definedName>
    <definedName function="false" hidden="true" name="FDD_58_189" vbProcedure="false">"A35667"</definedName>
    <definedName function="false" hidden="true" name="FDD_58_19" vbProcedure="false">"A34477"</definedName>
    <definedName function="false" hidden="true" name="FDD_58_190" vbProcedure="false">"A35674"</definedName>
    <definedName function="false" hidden="true" name="FDD_58_191" vbProcedure="false">"A35681"</definedName>
    <definedName function="false" hidden="true" name="FDD_58_192" vbProcedure="false">"A35688"</definedName>
    <definedName function="false" hidden="true" name="FDD_58_193" vbProcedure="false">"A35695"</definedName>
    <definedName function="false" hidden="true" name="FDD_58_194" vbProcedure="false">"A35702"</definedName>
    <definedName function="false" hidden="true" name="FDD_58_195" vbProcedure="false">"A35709"</definedName>
    <definedName function="false" hidden="true" name="FDD_58_196" vbProcedure="false">"A35716"</definedName>
    <definedName function="false" hidden="true" name="FDD_58_197" vbProcedure="false">"A35723"</definedName>
    <definedName function="false" hidden="true" name="FDD_58_198" vbProcedure="false">"A35730"</definedName>
    <definedName function="false" hidden="true" name="FDD_58_199" vbProcedure="false">"A35737"</definedName>
    <definedName function="false" hidden="true" name="FDD_58_2" vbProcedure="false">"A31412"</definedName>
    <definedName function="false" hidden="true" name="FDD_58_20" vbProcedure="false">"A34484"</definedName>
    <definedName function="false" hidden="true" name="FDD_58_200" vbProcedure="false">"A35744"</definedName>
    <definedName function="false" hidden="true" name="FDD_58_201" vbProcedure="false">"A35751"</definedName>
    <definedName function="false" hidden="true" name="FDD_58_202" vbProcedure="false">"A35758"</definedName>
    <definedName function="false" hidden="true" name="FDD_58_203" vbProcedure="false">"A35765"</definedName>
    <definedName function="false" hidden="true" name="FDD_58_204" vbProcedure="false">"A35772"</definedName>
    <definedName function="false" hidden="true" name="FDD_58_205" vbProcedure="false">"A35779"</definedName>
    <definedName function="false" hidden="true" name="FDD_58_206" vbProcedure="false">"A35786"</definedName>
    <definedName function="false" hidden="true" name="FDD_58_207" vbProcedure="false">"A35793"</definedName>
    <definedName function="false" hidden="true" name="FDD_58_208" vbProcedure="false">"A35800"</definedName>
    <definedName function="false" hidden="true" name="FDD_58_209" vbProcedure="false">"A35807"</definedName>
    <definedName function="false" hidden="true" name="FDD_58_21" vbProcedure="false">"A34491"</definedName>
    <definedName function="false" hidden="true" name="FDD_58_210" vbProcedure="false">"A35814"</definedName>
    <definedName function="false" hidden="true" name="FDD_58_211" vbProcedure="false">"A35821"</definedName>
    <definedName function="false" hidden="true" name="FDD_58_212" vbProcedure="false">"A35828"</definedName>
    <definedName function="false" hidden="true" name="FDD_58_213" vbProcedure="false">"A35835"</definedName>
    <definedName function="false" hidden="true" name="FDD_58_214" vbProcedure="false">"A35842"</definedName>
    <definedName function="false" hidden="true" name="FDD_58_215" vbProcedure="false">"A35849"</definedName>
    <definedName function="false" hidden="true" name="FDD_58_216" vbProcedure="false">"A35856"</definedName>
    <definedName function="false" hidden="true" name="FDD_58_217" vbProcedure="false">"A35863"</definedName>
    <definedName function="false" hidden="true" name="FDD_58_218" vbProcedure="false">"A35870"</definedName>
    <definedName function="false" hidden="true" name="FDD_58_219" vbProcedure="false">"A35877"</definedName>
    <definedName function="false" hidden="true" name="FDD_58_22" vbProcedure="false">"A34498"</definedName>
    <definedName function="false" hidden="true" name="FDD_58_220" vbProcedure="false">"A35884"</definedName>
    <definedName function="false" hidden="true" name="FDD_58_221" vbProcedure="false">"A35891"</definedName>
    <definedName function="false" hidden="true" name="FDD_58_222" vbProcedure="false">"A35898"</definedName>
    <definedName function="false" hidden="true" name="FDD_58_223" vbProcedure="false">"A35905"</definedName>
    <definedName function="false" hidden="true" name="FDD_58_224" vbProcedure="false">"A35912"</definedName>
    <definedName function="false" hidden="true" name="FDD_58_225" vbProcedure="false">"A35919"</definedName>
    <definedName function="false" hidden="true" name="FDD_58_226" vbProcedure="false">"A35926"</definedName>
    <definedName function="false" hidden="true" name="FDD_58_227" vbProcedure="false">"A35933"</definedName>
    <definedName function="false" hidden="true" name="FDD_58_228" vbProcedure="false">"A35940"</definedName>
    <definedName function="false" hidden="true" name="FDD_58_229" vbProcedure="false">"A35947"</definedName>
    <definedName function="false" hidden="true" name="FDD_58_23" vbProcedure="false">"A34505"</definedName>
    <definedName function="false" hidden="true" name="FDD_58_230" vbProcedure="false">"A35954"</definedName>
    <definedName function="false" hidden="true" name="FDD_58_231" vbProcedure="false">"A35961"</definedName>
    <definedName function="false" hidden="true" name="FDD_58_232" vbProcedure="false">"A35968"</definedName>
    <definedName function="false" hidden="true" name="FDD_58_233" vbProcedure="false">"A35975"</definedName>
    <definedName function="false" hidden="true" name="FDD_58_234" vbProcedure="false">"A35982"</definedName>
    <definedName function="false" hidden="true" name="FDD_58_235" vbProcedure="false">"A35989"</definedName>
    <definedName function="false" hidden="true" name="FDD_58_236" vbProcedure="false">"A35996"</definedName>
    <definedName function="false" hidden="true" name="FDD_58_237" vbProcedure="false">"A36003"</definedName>
    <definedName function="false" hidden="true" name="FDD_58_238" vbProcedure="false">"A36010"</definedName>
    <definedName function="false" hidden="true" name="FDD_58_239" vbProcedure="false">"A36017"</definedName>
    <definedName function="false" hidden="true" name="FDD_58_24" vbProcedure="false">"A34512"</definedName>
    <definedName function="false" hidden="true" name="FDD_58_240" vbProcedure="false">"A36024"</definedName>
    <definedName function="false" hidden="true" name="FDD_58_241" vbProcedure="false">"A36031"</definedName>
    <definedName function="false" hidden="true" name="FDD_58_242" vbProcedure="false">"A36038"</definedName>
    <definedName function="false" hidden="true" name="FDD_58_243" vbProcedure="false">"A36045"</definedName>
    <definedName function="false" hidden="true" name="FDD_58_244" vbProcedure="false">"A36052"</definedName>
    <definedName function="false" hidden="true" name="FDD_58_245" vbProcedure="false">"A36059"</definedName>
    <definedName function="false" hidden="true" name="FDD_58_246" vbProcedure="false">"A36066"</definedName>
    <definedName function="false" hidden="true" name="FDD_58_247" vbProcedure="false">"A36073"</definedName>
    <definedName function="false" hidden="true" name="FDD_58_248" vbProcedure="false">"A36080"</definedName>
    <definedName function="false" hidden="true" name="FDD_58_249" vbProcedure="false">"A36087"</definedName>
    <definedName function="false" hidden="true" name="FDD_58_25" vbProcedure="false">"A34519"</definedName>
    <definedName function="false" hidden="true" name="FDD_58_250" vbProcedure="false">"A36094"</definedName>
    <definedName function="false" hidden="true" name="FDD_58_251" vbProcedure="false">"A36101"</definedName>
    <definedName function="false" hidden="true" name="FDD_58_252" vbProcedure="false">"A36108"</definedName>
    <definedName function="false" hidden="true" name="FDD_58_253" vbProcedure="false">"A36115"</definedName>
    <definedName function="false" hidden="true" name="FDD_58_254" vbProcedure="false">"A36122"</definedName>
    <definedName function="false" hidden="true" name="FDD_58_255" vbProcedure="false">"A36129"</definedName>
    <definedName function="false" hidden="true" name="FDD_58_256" vbProcedure="false">"A36136"</definedName>
    <definedName function="false" hidden="true" name="FDD_58_257" vbProcedure="false">"A36143"</definedName>
    <definedName function="false" hidden="true" name="FDD_58_258" vbProcedure="false">"A36150"</definedName>
    <definedName function="false" hidden="true" name="FDD_58_259" vbProcedure="false">"A36157"</definedName>
    <definedName function="false" hidden="true" name="FDD_58_26" vbProcedure="false">"A34526"</definedName>
    <definedName function="false" hidden="true" name="FDD_58_260" vbProcedure="false">"A36164"</definedName>
    <definedName function="false" hidden="true" name="FDD_58_27" vbProcedure="false">"A34533"</definedName>
    <definedName function="false" hidden="true" name="FDD_58_28" vbProcedure="false">"A34540"</definedName>
    <definedName function="false" hidden="true" name="FDD_58_29" vbProcedure="false">"A34547"</definedName>
    <definedName function="false" hidden="true" name="FDD_58_3" vbProcedure="false">"A31777"</definedName>
    <definedName function="false" hidden="true" name="FDD_58_30" vbProcedure="false">"A34554"</definedName>
    <definedName function="false" hidden="true" name="FDD_58_31" vbProcedure="false">"A34561"</definedName>
    <definedName function="false" hidden="true" name="FDD_58_32" vbProcedure="false">"A34568"</definedName>
    <definedName function="false" hidden="true" name="FDD_58_33" vbProcedure="false">"A34575"</definedName>
    <definedName function="false" hidden="true" name="FDD_58_34" vbProcedure="false">"A34582"</definedName>
    <definedName function="false" hidden="true" name="FDD_58_35" vbProcedure="false">"A34589"</definedName>
    <definedName function="false" hidden="true" name="FDD_58_36" vbProcedure="false">"A34596"</definedName>
    <definedName function="false" hidden="true" name="FDD_58_37" vbProcedure="false">"A34603"</definedName>
    <definedName function="false" hidden="true" name="FDD_58_38" vbProcedure="false">"A34610"</definedName>
    <definedName function="false" hidden="true" name="FDD_58_39" vbProcedure="false">"A34617"</definedName>
    <definedName function="false" hidden="true" name="FDD_58_4" vbProcedure="false">"A32142"</definedName>
    <definedName function="false" hidden="true" name="FDD_58_40" vbProcedure="false">"A34624"</definedName>
    <definedName function="false" hidden="true" name="FDD_58_41" vbProcedure="false">"A34631"</definedName>
    <definedName function="false" hidden="true" name="FDD_58_42" vbProcedure="false">"A34638"</definedName>
    <definedName function="false" hidden="true" name="FDD_58_43" vbProcedure="false">"A34645"</definedName>
    <definedName function="false" hidden="true" name="FDD_58_44" vbProcedure="false">"A34652"</definedName>
    <definedName function="false" hidden="true" name="FDD_58_45" vbProcedure="false">"A34659"</definedName>
    <definedName function="false" hidden="true" name="FDD_58_46" vbProcedure="false">"A34666"</definedName>
    <definedName function="false" hidden="true" name="FDD_58_47" vbProcedure="false">"A34673"</definedName>
    <definedName function="false" hidden="true" name="FDD_58_48" vbProcedure="false">"A34680"</definedName>
    <definedName function="false" hidden="true" name="FDD_58_49" vbProcedure="false">"A34687"</definedName>
    <definedName function="false" hidden="true" name="FDD_58_5" vbProcedure="false">"A32508"</definedName>
    <definedName function="false" hidden="true" name="FDD_58_50" vbProcedure="false">"A34694"</definedName>
    <definedName function="false" hidden="true" name="FDD_58_51" vbProcedure="false">"A34701"</definedName>
    <definedName function="false" hidden="true" name="FDD_58_52" vbProcedure="false">"A34708"</definedName>
    <definedName function="false" hidden="true" name="FDD_58_53" vbProcedure="false">"A34715"</definedName>
    <definedName function="false" hidden="true" name="FDD_58_54" vbProcedure="false">"A34722"</definedName>
    <definedName function="false" hidden="true" name="FDD_58_55" vbProcedure="false">"A34729"</definedName>
    <definedName function="false" hidden="true" name="FDD_58_56" vbProcedure="false">"A34736"</definedName>
    <definedName function="false" hidden="true" name="FDD_58_57" vbProcedure="false">"A34743"</definedName>
    <definedName function="false" hidden="true" name="FDD_58_58" vbProcedure="false">"A34750"</definedName>
    <definedName function="false" hidden="true" name="FDD_58_59" vbProcedure="false">"A34757"</definedName>
    <definedName function="false" hidden="true" name="FDD_58_6" vbProcedure="false">"A32873"</definedName>
    <definedName function="false" hidden="true" name="FDD_58_60" vbProcedure="false">"A34764"</definedName>
    <definedName function="false" hidden="true" name="FDD_58_61" vbProcedure="false">"A34771"</definedName>
    <definedName function="false" hidden="true" name="FDD_58_62" vbProcedure="false">"A34778"</definedName>
    <definedName function="false" hidden="true" name="FDD_58_63" vbProcedure="false">"A34785"</definedName>
    <definedName function="false" hidden="true" name="FDD_58_64" vbProcedure="false">"A34792"</definedName>
    <definedName function="false" hidden="true" name="FDD_58_65" vbProcedure="false">"A34799"</definedName>
    <definedName function="false" hidden="true" name="FDD_58_66" vbProcedure="false">"A34806"</definedName>
    <definedName function="false" hidden="true" name="FDD_58_67" vbProcedure="false">"A34813"</definedName>
    <definedName function="false" hidden="true" name="FDD_58_68" vbProcedure="false">"A34820"</definedName>
    <definedName function="false" hidden="true" name="FDD_58_69" vbProcedure="false">"A34827"</definedName>
    <definedName function="false" hidden="true" name="FDD_58_7" vbProcedure="false">"A33238"</definedName>
    <definedName function="false" hidden="true" name="FDD_58_70" vbProcedure="false">"A34834"</definedName>
    <definedName function="false" hidden="true" name="FDD_58_71" vbProcedure="false">"A34841"</definedName>
    <definedName function="false" hidden="true" name="FDD_58_72" vbProcedure="false">"A34848"</definedName>
    <definedName function="false" hidden="true" name="FDD_58_73" vbProcedure="false">"A34855"</definedName>
    <definedName function="false" hidden="true" name="FDD_58_74" vbProcedure="false">"A34862"</definedName>
    <definedName function="false" hidden="true" name="FDD_58_75" vbProcedure="false">"A34869"</definedName>
    <definedName function="false" hidden="true" name="FDD_58_76" vbProcedure="false">"A34876"</definedName>
    <definedName function="false" hidden="true" name="FDD_58_77" vbProcedure="false">"A34883"</definedName>
    <definedName function="false" hidden="true" name="FDD_58_78" vbProcedure="false">"A34890"</definedName>
    <definedName function="false" hidden="true" name="FDD_58_79" vbProcedure="false">"A34897"</definedName>
    <definedName function="false" hidden="true" name="FDD_58_8" vbProcedure="false">"A33603"</definedName>
    <definedName function="false" hidden="true" name="FDD_58_80" vbProcedure="false">"A34904"</definedName>
    <definedName function="false" hidden="true" name="FDD_58_81" vbProcedure="false">"A34911"</definedName>
    <definedName function="false" hidden="true" name="FDD_58_82" vbProcedure="false">"A34918"</definedName>
    <definedName function="false" hidden="true" name="FDD_58_83" vbProcedure="false">"A34925"</definedName>
    <definedName function="false" hidden="true" name="FDD_58_84" vbProcedure="false">"A34932"</definedName>
    <definedName function="false" hidden="true" name="FDD_58_85" vbProcedure="false">"A34939"</definedName>
    <definedName function="false" hidden="true" name="FDD_58_86" vbProcedure="false">"A34946"</definedName>
    <definedName function="false" hidden="true" name="FDD_58_87" vbProcedure="false">"A34953"</definedName>
    <definedName function="false" hidden="true" name="FDD_58_88" vbProcedure="false">"A34960"</definedName>
    <definedName function="false" hidden="true" name="FDD_58_89" vbProcedure="false">"A34967"</definedName>
    <definedName function="false" hidden="true" name="FDD_58_9" vbProcedure="false">"A33969"</definedName>
    <definedName function="false" hidden="true" name="FDD_58_90" vbProcedure="false">"A34974"</definedName>
    <definedName function="false" hidden="true" name="FDD_58_91" vbProcedure="false">"A34981"</definedName>
    <definedName function="false" hidden="true" name="FDD_58_92" vbProcedure="false">"A34988"</definedName>
    <definedName function="false" hidden="true" name="FDD_58_93" vbProcedure="false">"A34995"</definedName>
    <definedName function="false" hidden="true" name="FDD_58_94" vbProcedure="false">"A35002"</definedName>
    <definedName function="false" hidden="true" name="FDD_58_95" vbProcedure="false">"A35009"</definedName>
    <definedName function="false" hidden="true" name="FDD_58_96" vbProcedure="false">"A35016"</definedName>
    <definedName function="false" hidden="true" name="FDD_58_97" vbProcedure="false">"A35023"</definedName>
    <definedName function="false" hidden="true" name="FDD_58_98" vbProcedure="false">"A35030"</definedName>
    <definedName function="false" hidden="true" name="FDD_58_99" vbProcedure="false">"A35037"</definedName>
    <definedName function="false" hidden="true" name="FDD_59_0" vbProcedure="false">"A30681"</definedName>
    <definedName function="false" hidden="true" name="FDD_59_1" vbProcedure="false">"A31047"</definedName>
    <definedName function="false" hidden="true" name="FDD_59_10" vbProcedure="false">"A34334"</definedName>
    <definedName function="false" hidden="true" name="FDD_59_100" vbProcedure="false">"A35044"</definedName>
    <definedName function="false" hidden="true" name="FDD_59_101" vbProcedure="false">"A35051"</definedName>
    <definedName function="false" hidden="true" name="FDD_59_102" vbProcedure="false">"A35059"</definedName>
    <definedName function="false" hidden="true" name="FDD_59_103" vbProcedure="false">"A35065"</definedName>
    <definedName function="false" hidden="true" name="FDD_59_104" vbProcedure="false">"A35072"</definedName>
    <definedName function="false" hidden="true" name="FDD_59_105" vbProcedure="false">"A35079"</definedName>
    <definedName function="false" hidden="true" name="FDD_59_106" vbProcedure="false">"A35086"</definedName>
    <definedName function="false" hidden="true" name="FDD_59_107" vbProcedure="false">"A35093"</definedName>
    <definedName function="false" hidden="true" name="FDD_59_108" vbProcedure="false">"A35100"</definedName>
    <definedName function="false" hidden="true" name="FDD_59_109" vbProcedure="false">"A35107"</definedName>
    <definedName function="false" hidden="true" name="FDD_59_11" vbProcedure="false">"A34699"</definedName>
    <definedName function="false" hidden="true" name="FDD_59_110" vbProcedure="false">"A35114"</definedName>
    <definedName function="false" hidden="true" name="FDD_59_111" vbProcedure="false">"A35121"</definedName>
    <definedName function="false" hidden="true" name="FDD_59_112" vbProcedure="false">"A35128"</definedName>
    <definedName function="false" hidden="true" name="FDD_59_113" vbProcedure="false">"A35135"</definedName>
    <definedName function="false" hidden="true" name="FDD_59_114" vbProcedure="false">"A35141"</definedName>
    <definedName function="false" hidden="true" name="FDD_59_115" vbProcedure="false">"A35149"</definedName>
    <definedName function="false" hidden="true" name="FDD_59_116" vbProcedure="false">"A35156"</definedName>
    <definedName function="false" hidden="true" name="FDD_59_117" vbProcedure="false">"A35163"</definedName>
    <definedName function="false" hidden="true" name="FDD_59_118" vbProcedure="false">"A35170"</definedName>
    <definedName function="false" hidden="true" name="FDD_59_119" vbProcedure="false">"A35177"</definedName>
    <definedName function="false" hidden="true" name="FDD_59_12" vbProcedure="false">"A35064"</definedName>
    <definedName function="false" hidden="true" name="FDD_59_120" vbProcedure="false">"A35184"</definedName>
    <definedName function="false" hidden="true" name="FDD_59_121" vbProcedure="false">"A35192"</definedName>
    <definedName function="false" hidden="true" name="FDD_59_122" vbProcedure="false">"A35198"</definedName>
    <definedName function="false" hidden="true" name="FDD_59_123" vbProcedure="false">"A35205"</definedName>
    <definedName function="false" hidden="true" name="FDD_59_124" vbProcedure="false">"A35213"</definedName>
    <definedName function="false" hidden="true" name="FDD_59_125" vbProcedure="false">"A35219"</definedName>
    <definedName function="false" hidden="true" name="FDD_59_126" vbProcedure="false">"A35226"</definedName>
    <definedName function="false" hidden="true" name="FDD_59_127" vbProcedure="false">"A35233"</definedName>
    <definedName function="false" hidden="true" name="FDD_59_128" vbProcedure="false">"A35240"</definedName>
    <definedName function="false" hidden="true" name="FDD_59_129" vbProcedure="false">"A35247"</definedName>
    <definedName function="false" hidden="true" name="FDD_59_13" vbProcedure="false">"A35430"</definedName>
    <definedName function="false" hidden="true" name="FDD_59_130" vbProcedure="false">"A35254"</definedName>
    <definedName function="false" hidden="true" name="FDD_59_131" vbProcedure="false">"A35261"</definedName>
    <definedName function="false" hidden="true" name="FDD_59_132" vbProcedure="false">"A35268"</definedName>
    <definedName function="false" hidden="true" name="FDD_59_133" vbProcedure="false">"A35275"</definedName>
    <definedName function="false" hidden="true" name="FDD_59_134" vbProcedure="false">"A35282"</definedName>
    <definedName function="false" hidden="true" name="FDD_59_135" vbProcedure="false">"A35289"</definedName>
    <definedName function="false" hidden="true" name="FDD_59_136" vbProcedure="false">"A35296"</definedName>
    <definedName function="false" hidden="true" name="FDD_59_137" vbProcedure="false">"A35303"</definedName>
    <definedName function="false" hidden="true" name="FDD_59_138" vbProcedure="false">"A35310"</definedName>
    <definedName function="false" hidden="true" name="FDD_59_139" vbProcedure="false">"A35317"</definedName>
    <definedName function="false" hidden="true" name="FDD_59_14" vbProcedure="false">"A35795"</definedName>
    <definedName function="false" hidden="true" name="FDD_59_140" vbProcedure="false">"A35324"</definedName>
    <definedName function="false" hidden="true" name="FDD_59_141" vbProcedure="false">"A35331"</definedName>
    <definedName function="false" hidden="true" name="FDD_59_142" vbProcedure="false">"A35338"</definedName>
    <definedName function="false" hidden="true" name="FDD_59_143" vbProcedure="false">"A35345"</definedName>
    <definedName function="false" hidden="true" name="FDD_59_144" vbProcedure="false">"A35352"</definedName>
    <definedName function="false" hidden="true" name="FDD_59_145" vbProcedure="false">"A35359"</definedName>
    <definedName function="false" hidden="true" name="FDD_59_146" vbProcedure="false">"A35366"</definedName>
    <definedName function="false" hidden="true" name="FDD_59_147" vbProcedure="false">"A35373"</definedName>
    <definedName function="false" hidden="true" name="FDD_59_148" vbProcedure="false">"A35380"</definedName>
    <definedName function="false" hidden="true" name="FDD_59_149" vbProcedure="false">"A35387"</definedName>
    <definedName function="false" hidden="true" name="FDD_59_15" vbProcedure="false">"A34449"</definedName>
    <definedName function="false" hidden="true" name="FDD_59_150" vbProcedure="false">"A35394"</definedName>
    <definedName function="false" hidden="true" name="FDD_59_151" vbProcedure="false">"A35401"</definedName>
    <definedName function="false" hidden="true" name="FDD_59_152" vbProcedure="false">"A35408"</definedName>
    <definedName function="false" hidden="true" name="FDD_59_153" vbProcedure="false">"A35415"</definedName>
    <definedName function="false" hidden="true" name="FDD_59_154" vbProcedure="false">"A35422"</definedName>
    <definedName function="false" hidden="true" name="FDD_59_155" vbProcedure="false">"A35429"</definedName>
    <definedName function="false" hidden="true" name="FDD_59_156" vbProcedure="false">"A35436"</definedName>
    <definedName function="false" hidden="true" name="FDD_59_157" vbProcedure="false">"A35443"</definedName>
    <definedName function="false" hidden="true" name="FDD_59_158" vbProcedure="false">"A35450"</definedName>
    <definedName function="false" hidden="true" name="FDD_59_159" vbProcedure="false">"A35457"</definedName>
    <definedName function="false" hidden="true" name="FDD_59_16" vbProcedure="false">"A34457"</definedName>
    <definedName function="false" hidden="true" name="FDD_59_160" vbProcedure="false">"A35464"</definedName>
    <definedName function="false" hidden="true" name="FDD_59_161" vbProcedure="false">"A35471"</definedName>
    <definedName function="false" hidden="true" name="FDD_59_162" vbProcedure="false">"A35478"</definedName>
    <definedName function="false" hidden="true" name="FDD_59_163" vbProcedure="false">"A35485"</definedName>
    <definedName function="false" hidden="true" name="FDD_59_164" vbProcedure="false">"A35492"</definedName>
    <definedName function="false" hidden="true" name="FDD_59_165" vbProcedure="false">"A35499"</definedName>
    <definedName function="false" hidden="true" name="FDD_59_166" vbProcedure="false">"A35506"</definedName>
    <definedName function="false" hidden="true" name="FDD_59_167" vbProcedure="false">"A35513"</definedName>
    <definedName function="false" hidden="true" name="FDD_59_168" vbProcedure="false">"A35521"</definedName>
    <definedName function="false" hidden="true" name="FDD_59_169" vbProcedure="false">"A35527"</definedName>
    <definedName function="false" hidden="true" name="FDD_59_17" vbProcedure="false">"A34463"</definedName>
    <definedName function="false" hidden="true" name="FDD_59_170" vbProcedure="false">"A35534"</definedName>
    <definedName function="false" hidden="true" name="FDD_59_171" vbProcedure="false">"A35541"</definedName>
    <definedName function="false" hidden="true" name="FDD_59_172" vbProcedure="false">"A35548"</definedName>
    <definedName function="false" hidden="true" name="FDD_59_173" vbProcedure="false">"A35556"</definedName>
    <definedName function="false" hidden="true" name="FDD_59_174" vbProcedure="false">"A35562"</definedName>
    <definedName function="false" hidden="true" name="FDD_59_175" vbProcedure="false">"A35569"</definedName>
    <definedName function="false" hidden="true" name="FDD_59_176" vbProcedure="false">"A35577"</definedName>
    <definedName function="false" hidden="true" name="FDD_59_177" vbProcedure="false">"A35583"</definedName>
    <definedName function="false" hidden="true" name="FDD_59_178" vbProcedure="false">"A35590"</definedName>
    <definedName function="false" hidden="true" name="FDD_59_179" vbProcedure="false">"A35597"</definedName>
    <definedName function="false" hidden="true" name="FDD_59_18" vbProcedure="false">"A34470"</definedName>
    <definedName function="false" hidden="true" name="FDD_59_180" vbProcedure="false">"A35604"</definedName>
    <definedName function="false" hidden="true" name="FDD_59_181" vbProcedure="false">"A35611"</definedName>
    <definedName function="false" hidden="true" name="FDD_59_182" vbProcedure="false">"A35618"</definedName>
    <definedName function="false" hidden="true" name="FDD_59_183" vbProcedure="false">"A35625"</definedName>
    <definedName function="false" hidden="true" name="FDD_59_184" vbProcedure="false">"A35632"</definedName>
    <definedName function="false" hidden="true" name="FDD_59_185" vbProcedure="false">"A35639"</definedName>
    <definedName function="false" hidden="true" name="FDD_59_186" vbProcedure="false">"A35646"</definedName>
    <definedName function="false" hidden="true" name="FDD_59_187" vbProcedure="false">"A35653"</definedName>
    <definedName function="false" hidden="true" name="FDD_59_188" vbProcedure="false">"A35660"</definedName>
    <definedName function="false" hidden="true" name="FDD_59_189" vbProcedure="false">"A35668"</definedName>
    <definedName function="false" hidden="true" name="FDD_59_19" vbProcedure="false">"A34477"</definedName>
    <definedName function="false" hidden="true" name="FDD_59_190" vbProcedure="false">"A35674"</definedName>
    <definedName function="false" hidden="true" name="FDD_59_191" vbProcedure="false">"A35681"</definedName>
    <definedName function="false" hidden="true" name="FDD_59_192" vbProcedure="false">"A35688"</definedName>
    <definedName function="false" hidden="true" name="FDD_59_193" vbProcedure="false">"A35695"</definedName>
    <definedName function="false" hidden="true" name="FDD_59_194" vbProcedure="false">"A35702"</definedName>
    <definedName function="false" hidden="true" name="FDD_59_195" vbProcedure="false">"A35709"</definedName>
    <definedName function="false" hidden="true" name="FDD_59_196" vbProcedure="false">"A35716"</definedName>
    <definedName function="false" hidden="true" name="FDD_59_197" vbProcedure="false">"A35723"</definedName>
    <definedName function="false" hidden="true" name="FDD_59_198" vbProcedure="false">"A35730"</definedName>
    <definedName function="false" hidden="true" name="FDD_59_199" vbProcedure="false">"A35737"</definedName>
    <definedName function="false" hidden="true" name="FDD_59_2" vbProcedure="false">"A31412"</definedName>
    <definedName function="false" hidden="true" name="FDD_59_20" vbProcedure="false">"A34485"</definedName>
    <definedName function="false" hidden="true" name="FDD_59_200" vbProcedure="false">"A35744"</definedName>
    <definedName function="false" hidden="true" name="FDD_59_201" vbProcedure="false">"A35751"</definedName>
    <definedName function="false" hidden="true" name="FDD_59_202" vbProcedure="false">"A35758"</definedName>
    <definedName function="false" hidden="true" name="FDD_59_203" vbProcedure="false">"A35765"</definedName>
    <definedName function="false" hidden="true" name="FDD_59_204" vbProcedure="false">"A35772"</definedName>
    <definedName function="false" hidden="true" name="FDD_59_205" vbProcedure="false">"A35779"</definedName>
    <definedName function="false" hidden="true" name="FDD_59_206" vbProcedure="false">"A35786"</definedName>
    <definedName function="false" hidden="true" name="FDD_59_207" vbProcedure="false">"A35793"</definedName>
    <definedName function="false" hidden="true" name="FDD_59_208" vbProcedure="false">"A35800"</definedName>
    <definedName function="false" hidden="true" name="FDD_59_209" vbProcedure="false">"A35807"</definedName>
    <definedName function="false" hidden="true" name="FDD_59_21" vbProcedure="false">"A34491"</definedName>
    <definedName function="false" hidden="true" name="FDD_59_210" vbProcedure="false">"A35814"</definedName>
    <definedName function="false" hidden="true" name="FDD_59_211" vbProcedure="false">"A35821"</definedName>
    <definedName function="false" hidden="true" name="FDD_59_212" vbProcedure="false">"A35828"</definedName>
    <definedName function="false" hidden="true" name="FDD_59_213" vbProcedure="false">"A35835"</definedName>
    <definedName function="false" hidden="true" name="FDD_59_214" vbProcedure="false">"A35842"</definedName>
    <definedName function="false" hidden="true" name="FDD_59_215" vbProcedure="false">"A35849"</definedName>
    <definedName function="false" hidden="true" name="FDD_59_216" vbProcedure="false">"A35856"</definedName>
    <definedName function="false" hidden="true" name="FDD_59_217" vbProcedure="false">"A35863"</definedName>
    <definedName function="false" hidden="true" name="FDD_59_218" vbProcedure="false">"A35870"</definedName>
    <definedName function="false" hidden="true" name="FDD_59_219" vbProcedure="false">"A35877"</definedName>
    <definedName function="false" hidden="true" name="FDD_59_22" vbProcedure="false">"A34498"</definedName>
    <definedName function="false" hidden="true" name="FDD_59_220" vbProcedure="false">"A35884"</definedName>
    <definedName function="false" hidden="true" name="FDD_59_221" vbProcedure="false">"A35891"</definedName>
    <definedName function="false" hidden="true" name="FDD_59_222" vbProcedure="false">"A35899"</definedName>
    <definedName function="false" hidden="true" name="FDD_59_223" vbProcedure="false">"A35905"</definedName>
    <definedName function="false" hidden="true" name="FDD_59_224" vbProcedure="false">"A35912"</definedName>
    <definedName function="false" hidden="true" name="FDD_59_225" vbProcedure="false">"A35919"</definedName>
    <definedName function="false" hidden="true" name="FDD_59_226" vbProcedure="false">"A35926"</definedName>
    <definedName function="false" hidden="true" name="FDD_59_227" vbProcedure="false">"A35933"</definedName>
    <definedName function="false" hidden="true" name="FDD_59_228" vbProcedure="false">"A35941"</definedName>
    <definedName function="false" hidden="true" name="FDD_59_229" vbProcedure="false">"A35947"</definedName>
    <definedName function="false" hidden="true" name="FDD_59_23" vbProcedure="false">"A34505"</definedName>
    <definedName function="false" hidden="true" name="FDD_59_230" vbProcedure="false">"A35954"</definedName>
    <definedName function="false" hidden="true" name="FDD_59_231" vbProcedure="false">"A35961"</definedName>
    <definedName function="false" hidden="true" name="FDD_59_232" vbProcedure="false">"A35968"</definedName>
    <definedName function="false" hidden="true" name="FDD_59_233" vbProcedure="false">"A35975"</definedName>
    <definedName function="false" hidden="true" name="FDD_59_234" vbProcedure="false">"A35982"</definedName>
    <definedName function="false" hidden="true" name="FDD_59_235" vbProcedure="false">"A35989"</definedName>
    <definedName function="false" hidden="true" name="FDD_59_236" vbProcedure="false">"A35996"</definedName>
    <definedName function="false" hidden="true" name="FDD_59_237" vbProcedure="false">"A36003"</definedName>
    <definedName function="false" hidden="true" name="FDD_59_238" vbProcedure="false">"A36010"</definedName>
    <definedName function="false" hidden="true" name="FDD_59_239" vbProcedure="false">"A36017"</definedName>
    <definedName function="false" hidden="true" name="FDD_59_24" vbProcedure="false">"A34512"</definedName>
    <definedName function="false" hidden="true" name="FDD_59_240" vbProcedure="false">"A36024"</definedName>
    <definedName function="false" hidden="true" name="FDD_59_241" vbProcedure="false">"A36031"</definedName>
    <definedName function="false" hidden="true" name="FDD_59_242" vbProcedure="false">"A36039"</definedName>
    <definedName function="false" hidden="true" name="FDD_59_243" vbProcedure="false">"A36045"</definedName>
    <definedName function="false" hidden="true" name="FDD_59_244" vbProcedure="false">"A36052"</definedName>
    <definedName function="false" hidden="true" name="FDD_59_245" vbProcedure="false">"A36059"</definedName>
    <definedName function="false" hidden="true" name="FDD_59_246" vbProcedure="false">"A36066"</definedName>
    <definedName function="false" hidden="true" name="FDD_59_247" vbProcedure="false">"A36073"</definedName>
    <definedName function="false" hidden="true" name="FDD_59_248" vbProcedure="false">"A36080"</definedName>
    <definedName function="false" hidden="true" name="FDD_59_249" vbProcedure="false">"A36087"</definedName>
    <definedName function="false" hidden="true" name="FDD_59_25" vbProcedure="false">"A34519"</definedName>
    <definedName function="false" hidden="true" name="FDD_59_250" vbProcedure="false">"A36094"</definedName>
    <definedName function="false" hidden="true" name="FDD_59_251" vbProcedure="false">"A36101"</definedName>
    <definedName function="false" hidden="true" name="FDD_59_252" vbProcedure="false">"A36108"</definedName>
    <definedName function="false" hidden="true" name="FDD_59_253" vbProcedure="false">"A36116"</definedName>
    <definedName function="false" hidden="true" name="FDD_59_254" vbProcedure="false">"A36122"</definedName>
    <definedName function="false" hidden="true" name="FDD_59_255" vbProcedure="false">"A36129"</definedName>
    <definedName function="false" hidden="true" name="FDD_59_256" vbProcedure="false">"A36136"</definedName>
    <definedName function="false" hidden="true" name="FDD_59_257" vbProcedure="false">"A36143"</definedName>
    <definedName function="false" hidden="true" name="FDD_59_258" vbProcedure="false">"A36150"</definedName>
    <definedName function="false" hidden="true" name="FDD_59_259" vbProcedure="false">"A36157"</definedName>
    <definedName function="false" hidden="true" name="FDD_59_26" vbProcedure="false">"A34526"</definedName>
    <definedName function="false" hidden="true" name="FDD_59_260" vbProcedure="false">"A36164"</definedName>
    <definedName function="false" hidden="true" name="FDD_59_27" vbProcedure="false">"A34533"</definedName>
    <definedName function="false" hidden="true" name="FDD_59_28" vbProcedure="false">"A34540"</definedName>
    <definedName function="false" hidden="true" name="FDD_59_29" vbProcedure="false">"A34547"</definedName>
    <definedName function="false" hidden="true" name="FDD_59_3" vbProcedure="false">"A31777"</definedName>
    <definedName function="false" hidden="true" name="FDD_59_30" vbProcedure="false">"A34554"</definedName>
    <definedName function="false" hidden="true" name="FDD_59_31" vbProcedure="false">"A34561"</definedName>
    <definedName function="false" hidden="true" name="FDD_59_32" vbProcedure="false">"A34568"</definedName>
    <definedName function="false" hidden="true" name="FDD_59_33" vbProcedure="false">"A34576"</definedName>
    <definedName function="false" hidden="true" name="FDD_59_34" vbProcedure="false">"A34582"</definedName>
    <definedName function="false" hidden="true" name="FDD_59_35" vbProcedure="false">"A34589"</definedName>
    <definedName function="false" hidden="true" name="FDD_59_36" vbProcedure="false">"A34596"</definedName>
    <definedName function="false" hidden="true" name="FDD_59_37" vbProcedure="false">"A34603"</definedName>
    <definedName function="false" hidden="true" name="FDD_59_38" vbProcedure="false">"A34610"</definedName>
    <definedName function="false" hidden="true" name="FDD_59_39" vbProcedure="false">"A34617"</definedName>
    <definedName function="false" hidden="true" name="FDD_59_4" vbProcedure="false">"A32142"</definedName>
    <definedName function="false" hidden="true" name="FDD_59_40" vbProcedure="false">"A34624"</definedName>
    <definedName function="false" hidden="true" name="FDD_59_41" vbProcedure="false">"A34631"</definedName>
    <definedName function="false" hidden="true" name="FDD_59_42" vbProcedure="false">"A34638"</definedName>
    <definedName function="false" hidden="true" name="FDD_59_43" vbProcedure="false">"A34645"</definedName>
    <definedName function="false" hidden="true" name="FDD_59_44" vbProcedure="false">"A34652"</definedName>
    <definedName function="false" hidden="true" name="FDD_59_45" vbProcedure="false">"A34659"</definedName>
    <definedName function="false" hidden="true" name="FDD_59_46" vbProcedure="false">"A34666"</definedName>
    <definedName function="false" hidden="true" name="FDD_59_47" vbProcedure="false">"A34673"</definedName>
    <definedName function="false" hidden="true" name="FDD_59_48" vbProcedure="false">"A34680"</definedName>
    <definedName function="false" hidden="true" name="FDD_59_49" vbProcedure="false">"A34687"</definedName>
    <definedName function="false" hidden="true" name="FDD_59_5" vbProcedure="false">"A32508"</definedName>
    <definedName function="false" hidden="true" name="FDD_59_50" vbProcedure="false">"A34696"</definedName>
    <definedName function="false" hidden="true" name="FDD_59_51" vbProcedure="false">"A34702"</definedName>
    <definedName function="false" hidden="true" name="FDD_59_52" vbProcedure="false">"A34708"</definedName>
    <definedName function="false" hidden="true" name="FDD_59_53" vbProcedure="false">"A34715"</definedName>
    <definedName function="false" hidden="true" name="FDD_59_54" vbProcedure="false">"A34722"</definedName>
    <definedName function="false" hidden="true" name="FDD_59_55" vbProcedure="false">"A34729"</definedName>
    <definedName function="false" hidden="true" name="FDD_59_56" vbProcedure="false">"A34736"</definedName>
    <definedName function="false" hidden="true" name="FDD_59_57" vbProcedure="false">"A34743"</definedName>
    <definedName function="false" hidden="true" name="FDD_59_58" vbProcedure="false">"A34750"</definedName>
    <definedName function="false" hidden="true" name="FDD_59_59" vbProcedure="false">"A34757"</definedName>
    <definedName function="false" hidden="true" name="FDD_59_6" vbProcedure="false">"A32873"</definedName>
    <definedName function="false" hidden="true" name="FDD_59_60" vbProcedure="false">"A34764"</definedName>
    <definedName function="false" hidden="true" name="FDD_59_61" vbProcedure="false">"A34771"</definedName>
    <definedName function="false" hidden="true" name="FDD_59_62" vbProcedure="false">"A34778"</definedName>
    <definedName function="false" hidden="true" name="FDD_59_63" vbProcedure="false">"A34785"</definedName>
    <definedName function="false" hidden="true" name="FDD_59_64" vbProcedure="false">"A34792"</definedName>
    <definedName function="false" hidden="true" name="FDD_59_65" vbProcedure="false">"A34799"</definedName>
    <definedName function="false" hidden="true" name="FDD_59_66" vbProcedure="false">"A34807"</definedName>
    <definedName function="false" hidden="true" name="FDD_59_67" vbProcedure="false">"A34813"</definedName>
    <definedName function="false" hidden="true" name="FDD_59_68" vbProcedure="false">"A34820"</definedName>
    <definedName function="false" hidden="true" name="FDD_59_69" vbProcedure="false">"A34828"</definedName>
    <definedName function="false" hidden="true" name="FDD_59_7" vbProcedure="false">"A33238"</definedName>
    <definedName function="false" hidden="true" name="FDD_59_70" vbProcedure="false">"A34834"</definedName>
    <definedName function="false" hidden="true" name="FDD_59_71" vbProcedure="false">"A34841"</definedName>
    <definedName function="false" hidden="true" name="FDD_59_72" vbProcedure="false">"A34848"</definedName>
    <definedName function="false" hidden="true" name="FDD_59_73" vbProcedure="false">"A34855"</definedName>
    <definedName function="false" hidden="true" name="FDD_59_74" vbProcedure="false">"A34862"</definedName>
    <definedName function="false" hidden="true" name="FDD_59_75" vbProcedure="false">"A34870"</definedName>
    <definedName function="false" hidden="true" name="FDD_59_76" vbProcedure="false">"A34876"</definedName>
    <definedName function="false" hidden="true" name="FDD_59_77" vbProcedure="false">"A34883"</definedName>
    <definedName function="false" hidden="true" name="FDD_59_78" vbProcedure="false">"A34891"</definedName>
    <definedName function="false" hidden="true" name="FDD_59_79" vbProcedure="false">"A34897"</definedName>
    <definedName function="false" hidden="true" name="FDD_59_8" vbProcedure="false">"A33603"</definedName>
    <definedName function="false" hidden="true" name="FDD_59_80" vbProcedure="false">"A34904"</definedName>
    <definedName function="false" hidden="true" name="FDD_59_81" vbProcedure="false">"A34911"</definedName>
    <definedName function="false" hidden="true" name="FDD_59_82" vbProcedure="false">"A34918"</definedName>
    <definedName function="false" hidden="true" name="FDD_59_83" vbProcedure="false">"A34925"</definedName>
    <definedName function="false" hidden="true" name="FDD_59_84" vbProcedure="false">"A34932"</definedName>
    <definedName function="false" hidden="true" name="FDD_59_85" vbProcedure="false">"A34940"</definedName>
    <definedName function="false" hidden="true" name="FDD_59_86" vbProcedure="false">"A34946"</definedName>
    <definedName function="false" hidden="true" name="FDD_59_87" vbProcedure="false">"A34953"</definedName>
    <definedName function="false" hidden="true" name="FDD_59_88" vbProcedure="false">"A34960"</definedName>
    <definedName function="false" hidden="true" name="FDD_59_89" vbProcedure="false">"A34967"</definedName>
    <definedName function="false" hidden="true" name="FDD_59_9" vbProcedure="false">"A33969"</definedName>
    <definedName function="false" hidden="true" name="FDD_59_90" vbProcedure="false">"A34974"</definedName>
    <definedName function="false" hidden="true" name="FDD_59_91" vbProcedure="false">"A34981"</definedName>
    <definedName function="false" hidden="true" name="FDD_59_92" vbProcedure="false">"A34988"</definedName>
    <definedName function="false" hidden="true" name="FDD_59_93" vbProcedure="false">"A34995"</definedName>
    <definedName function="false" hidden="true" name="FDD_59_94" vbProcedure="false">"A35002"</definedName>
    <definedName function="false" hidden="true" name="FDD_59_95" vbProcedure="false">"A35009"</definedName>
    <definedName function="false" hidden="true" name="FDD_59_96" vbProcedure="false">"A35016"</definedName>
    <definedName function="false" hidden="true" name="FDD_59_97" vbProcedure="false">"A35023"</definedName>
    <definedName function="false" hidden="true" name="FDD_59_98" vbProcedure="false">"A35030"</definedName>
    <definedName function="false" hidden="true" name="FDD_59_99" vbProcedure="false">"A35037"</definedName>
    <definedName function="false" hidden="true" name="FDD_5_0" vbProcedure="false">"A25569"</definedName>
    <definedName function="false" hidden="true" name="FDD_5_1" vbProcedure="false">"E35795"</definedName>
    <definedName function="false" hidden="true" name="FDD_5_2" vbProcedure="false">"E36160"</definedName>
    <definedName function="false" hidden="true" name="FDD_5_3" vbProcedure="false">"E36525"</definedName>
    <definedName function="false" hidden="true" name="FDD_60_0" vbProcedure="false">"A30681"</definedName>
    <definedName function="false" hidden="true" name="FDD_60_1" vbProcedure="false">"A31047"</definedName>
    <definedName function="false" hidden="true" name="FDD_60_10" vbProcedure="false">"A34334"</definedName>
    <definedName function="false" hidden="true" name="FDD_60_11" vbProcedure="false">"A34699"</definedName>
    <definedName function="false" hidden="true" name="FDD_60_12" vbProcedure="false">"A35064"</definedName>
    <definedName function="false" hidden="true" name="FDD_60_13" vbProcedure="false">"A35430"</definedName>
    <definedName function="false" hidden="true" name="FDD_60_14" vbProcedure="false">"A35795"</definedName>
    <definedName function="false" hidden="true" name="FDD_60_2" vbProcedure="false">"A31412"</definedName>
    <definedName function="false" hidden="true" name="FDD_60_3" vbProcedure="false">"A31777"</definedName>
    <definedName function="false" hidden="true" name="FDD_60_4" vbProcedure="false">"A32142"</definedName>
    <definedName function="false" hidden="true" name="FDD_60_5" vbProcedure="false">"A32508"</definedName>
    <definedName function="false" hidden="true" name="FDD_60_6" vbProcedure="false">"A32873"</definedName>
    <definedName function="false" hidden="true" name="FDD_60_7" vbProcedure="false">"A33238"</definedName>
    <definedName function="false" hidden="true" name="FDD_60_8" vbProcedure="false">"A33603"</definedName>
    <definedName function="false" hidden="true" name="FDD_60_9" vbProcedure="false">"A33969"</definedName>
    <definedName function="false" hidden="true" name="FDD_61_0" vbProcedure="false">"A30681"</definedName>
    <definedName function="false" hidden="true" name="FDD_61_1" vbProcedure="false">"A31047"</definedName>
    <definedName function="false" hidden="true" name="FDD_61_10" vbProcedure="false">"A34334"</definedName>
    <definedName function="false" hidden="true" name="FDD_61_11" vbProcedure="false">"A34699"</definedName>
    <definedName function="false" hidden="true" name="FDD_61_12" vbProcedure="false">"A35064"</definedName>
    <definedName function="false" hidden="true" name="FDD_61_13" vbProcedure="false">"A35430"</definedName>
    <definedName function="false" hidden="true" name="FDD_61_14" vbProcedure="false">"A35795"</definedName>
    <definedName function="false" hidden="true" name="FDD_61_2" vbProcedure="false">"A31412"</definedName>
    <definedName function="false" hidden="true" name="FDD_61_3" vbProcedure="false">"A31777"</definedName>
    <definedName function="false" hidden="true" name="FDD_61_4" vbProcedure="false">"A32142"</definedName>
    <definedName function="false" hidden="true" name="FDD_61_5" vbProcedure="false">"A32508"</definedName>
    <definedName function="false" hidden="true" name="FDD_61_6" vbProcedure="false">"A32873"</definedName>
    <definedName function="false" hidden="true" name="FDD_61_7" vbProcedure="false">"A33238"</definedName>
    <definedName function="false" hidden="true" name="FDD_61_8" vbProcedure="false">"A33603"</definedName>
    <definedName function="false" hidden="true" name="FDD_61_9" vbProcedure="false">"A33969"</definedName>
    <definedName function="false" hidden="true" name="FDD_62_0" vbProcedure="false">"A30681"</definedName>
    <definedName function="false" hidden="true" name="FDD_62_1" vbProcedure="false">"A31047"</definedName>
    <definedName function="false" hidden="true" name="FDD_62_10" vbProcedure="false">"A34334"</definedName>
    <definedName function="false" hidden="true" name="FDD_62_11" vbProcedure="false">"A34699"</definedName>
    <definedName function="false" hidden="true" name="FDD_62_12" vbProcedure="false">"A35064"</definedName>
    <definedName function="false" hidden="true" name="FDD_62_13" vbProcedure="false">"A35430"</definedName>
    <definedName function="false" hidden="true" name="FDD_62_14" vbProcedure="false">"A35795"</definedName>
    <definedName function="false" hidden="true" name="FDD_62_2" vbProcedure="false">"A31412"</definedName>
    <definedName function="false" hidden="true" name="FDD_62_3" vbProcedure="false">"A31777"</definedName>
    <definedName function="false" hidden="true" name="FDD_62_4" vbProcedure="false">"A32142"</definedName>
    <definedName function="false" hidden="true" name="FDD_62_5" vbProcedure="false">"A32508"</definedName>
    <definedName function="false" hidden="true" name="FDD_62_6" vbProcedure="false">"A32873"</definedName>
    <definedName function="false" hidden="true" name="FDD_62_7" vbProcedure="false">"A33238"</definedName>
    <definedName function="false" hidden="true" name="FDD_62_8" vbProcedure="false">"A33603"</definedName>
    <definedName function="false" hidden="true" name="FDD_62_9" vbProcedure="false">"A33969"</definedName>
    <definedName function="false" hidden="true" name="FDD_63_0" vbProcedure="false">"A30681"</definedName>
    <definedName function="false" hidden="true" name="FDD_63_1" vbProcedure="false">"A31047"</definedName>
    <definedName function="false" hidden="true" name="FDD_63_10" vbProcedure="false">"A34334"</definedName>
    <definedName function="false" hidden="true" name="FDD_63_11" vbProcedure="false">"A34699"</definedName>
    <definedName function="false" hidden="true" name="FDD_63_12" vbProcedure="false">"A35064"</definedName>
    <definedName function="false" hidden="true" name="FDD_63_13" vbProcedure="false">"A35430"</definedName>
    <definedName function="false" hidden="true" name="FDD_63_14" vbProcedure="false">"A35795"</definedName>
    <definedName function="false" hidden="true" name="FDD_63_2" vbProcedure="false">"A31412"</definedName>
    <definedName function="false" hidden="true" name="FDD_63_3" vbProcedure="false">"A31777"</definedName>
    <definedName function="false" hidden="true" name="FDD_63_4" vbProcedure="false">"A32142"</definedName>
    <definedName function="false" hidden="true" name="FDD_63_5" vbProcedure="false">"A32508"</definedName>
    <definedName function="false" hidden="true" name="FDD_63_6" vbProcedure="false">"A32873"</definedName>
    <definedName function="false" hidden="true" name="FDD_63_7" vbProcedure="false">"A33238"</definedName>
    <definedName function="false" hidden="true" name="FDD_63_8" vbProcedure="false">"A33603"</definedName>
    <definedName function="false" hidden="true" name="FDD_63_9" vbProcedure="false">"A33969"</definedName>
    <definedName function="false" hidden="true" name="FDD_64_0" vbProcedure="false">"A30681"</definedName>
    <definedName function="false" hidden="true" name="FDD_64_1" vbProcedure="false">"A31047"</definedName>
    <definedName function="false" hidden="true" name="FDD_64_10" vbProcedure="false">"A34334"</definedName>
    <definedName function="false" hidden="true" name="FDD_64_11" vbProcedure="false">"A34699"</definedName>
    <definedName function="false" hidden="true" name="FDD_64_12" vbProcedure="false">"A35064"</definedName>
    <definedName function="false" hidden="true" name="FDD_64_13" vbProcedure="false">"A35430"</definedName>
    <definedName function="false" hidden="true" name="FDD_64_14" vbProcedure="false">"A35795"</definedName>
    <definedName function="false" hidden="true" name="FDD_64_2" vbProcedure="false">"A31412"</definedName>
    <definedName function="false" hidden="true" name="FDD_64_3" vbProcedure="false">"A31777"</definedName>
    <definedName function="false" hidden="true" name="FDD_64_4" vbProcedure="false">"A32142"</definedName>
    <definedName function="false" hidden="true" name="FDD_64_5" vbProcedure="false">"A32508"</definedName>
    <definedName function="false" hidden="true" name="FDD_64_6" vbProcedure="false">"A32873"</definedName>
    <definedName function="false" hidden="true" name="FDD_64_7" vbProcedure="false">"A33238"</definedName>
    <definedName function="false" hidden="true" name="FDD_64_8" vbProcedure="false">"A33603"</definedName>
    <definedName function="false" hidden="true" name="FDD_64_9" vbProcedure="false">"A33969"</definedName>
    <definedName function="false" hidden="true" name="FDD_65_0" vbProcedure="false">"A30681"</definedName>
    <definedName function="false" hidden="true" name="FDD_65_1" vbProcedure="false">"A31047"</definedName>
    <definedName function="false" hidden="true" name="FDD_65_10" vbProcedure="false">"A34334"</definedName>
    <definedName function="false" hidden="true" name="FDD_65_11" vbProcedure="false">"A34699"</definedName>
    <definedName function="false" hidden="true" name="FDD_65_12" vbProcedure="false">"A35064"</definedName>
    <definedName function="false" hidden="true" name="FDD_65_13" vbProcedure="false">"A35430"</definedName>
    <definedName function="false" hidden="true" name="FDD_65_14" vbProcedure="false">"A35795"</definedName>
    <definedName function="false" hidden="true" name="FDD_65_2" vbProcedure="false">"A31412"</definedName>
    <definedName function="false" hidden="true" name="FDD_65_3" vbProcedure="false">"A31777"</definedName>
    <definedName function="false" hidden="true" name="FDD_65_4" vbProcedure="false">"A32142"</definedName>
    <definedName function="false" hidden="true" name="FDD_65_5" vbProcedure="false">"A32508"</definedName>
    <definedName function="false" hidden="true" name="FDD_65_6" vbProcedure="false">"A32873"</definedName>
    <definedName function="false" hidden="true" name="FDD_65_7" vbProcedure="false">"A33238"</definedName>
    <definedName function="false" hidden="true" name="FDD_65_8" vbProcedure="false">"A33603"</definedName>
    <definedName function="false" hidden="true" name="FDD_65_9" vbProcedure="false">"A33969"</definedName>
    <definedName function="false" hidden="true" name="FDD_66_0" vbProcedure="false">"A30681"</definedName>
    <definedName function="false" hidden="true" name="FDD_66_1" vbProcedure="false">"A31047"</definedName>
    <definedName function="false" hidden="true" name="FDD_66_10" vbProcedure="false">"A34334"</definedName>
    <definedName function="false" hidden="true" name="FDD_66_11" vbProcedure="false">"A34699"</definedName>
    <definedName function="false" hidden="true" name="FDD_66_12" vbProcedure="false">"A35064"</definedName>
    <definedName function="false" hidden="true" name="FDD_66_13" vbProcedure="false">"A35430"</definedName>
    <definedName function="false" hidden="true" name="FDD_66_14" vbProcedure="false">"A35795"</definedName>
    <definedName function="false" hidden="true" name="FDD_66_2" vbProcedure="false">"A31412"</definedName>
    <definedName function="false" hidden="true" name="FDD_66_3" vbProcedure="false">"A31777"</definedName>
    <definedName function="false" hidden="true" name="FDD_66_4" vbProcedure="false">"A32142"</definedName>
    <definedName function="false" hidden="true" name="FDD_66_5" vbProcedure="false">"A32508"</definedName>
    <definedName function="false" hidden="true" name="FDD_66_6" vbProcedure="false">"A32873"</definedName>
    <definedName function="false" hidden="true" name="FDD_66_7" vbProcedure="false">"A33238"</definedName>
    <definedName function="false" hidden="true" name="FDD_66_8" vbProcedure="false">"A33603"</definedName>
    <definedName function="false" hidden="true" name="FDD_66_9" vbProcedure="false">"A33969"</definedName>
    <definedName function="false" hidden="true" name="FDD_67_0" vbProcedure="false">"A30681"</definedName>
    <definedName function="false" hidden="true" name="FDD_67_1" vbProcedure="false">"A31047"</definedName>
    <definedName function="false" hidden="true" name="FDD_67_10" vbProcedure="false">"A34334"</definedName>
    <definedName function="false" hidden="true" name="FDD_67_11" vbProcedure="false">"A34699"</definedName>
    <definedName function="false" hidden="true" name="FDD_67_12" vbProcedure="false">"A35064"</definedName>
    <definedName function="false" hidden="true" name="FDD_67_13" vbProcedure="false">"A35430"</definedName>
    <definedName function="false" hidden="true" name="FDD_67_14" vbProcedure="false">"A35795"</definedName>
    <definedName function="false" hidden="true" name="FDD_67_2" vbProcedure="false">"A31412"</definedName>
    <definedName function="false" hidden="true" name="FDD_67_3" vbProcedure="false">"A31777"</definedName>
    <definedName function="false" hidden="true" name="FDD_67_4" vbProcedure="false">"A32142"</definedName>
    <definedName function="false" hidden="true" name="FDD_67_5" vbProcedure="false">"A32508"</definedName>
    <definedName function="false" hidden="true" name="FDD_67_6" vbProcedure="false">"A32873"</definedName>
    <definedName function="false" hidden="true" name="FDD_67_7" vbProcedure="false">"A33238"</definedName>
    <definedName function="false" hidden="true" name="FDD_67_8" vbProcedure="false">"A33603"</definedName>
    <definedName function="false" hidden="true" name="FDD_67_9" vbProcedure="false">"A33969"</definedName>
    <definedName function="false" hidden="true" name="FDD_68_0" vbProcedure="false">"A30681"</definedName>
    <definedName function="false" hidden="true" name="FDD_68_1" vbProcedure="false">"A31047"</definedName>
    <definedName function="false" hidden="true" name="FDD_68_10" vbProcedure="false">"A34334"</definedName>
    <definedName function="false" hidden="true" name="FDD_68_11" vbProcedure="false">"A34699"</definedName>
    <definedName function="false" hidden="true" name="FDD_68_12" vbProcedure="false">"A35064"</definedName>
    <definedName function="false" hidden="true" name="FDD_68_13" vbProcedure="false">"A35430"</definedName>
    <definedName function="false" hidden="true" name="FDD_68_14" vbProcedure="false">"A35795"</definedName>
    <definedName function="false" hidden="true" name="FDD_68_2" vbProcedure="false">"A31412"</definedName>
    <definedName function="false" hidden="true" name="FDD_68_3" vbProcedure="false">"A31777"</definedName>
    <definedName function="false" hidden="true" name="FDD_68_4" vbProcedure="false">"A32142"</definedName>
    <definedName function="false" hidden="true" name="FDD_68_5" vbProcedure="false">"A32508"</definedName>
    <definedName function="false" hidden="true" name="FDD_68_6" vbProcedure="false">"A32873"</definedName>
    <definedName function="false" hidden="true" name="FDD_68_7" vbProcedure="false">"A33238"</definedName>
    <definedName function="false" hidden="true" name="FDD_68_8" vbProcedure="false">"A33603"</definedName>
    <definedName function="false" hidden="true" name="FDD_68_9" vbProcedure="false">"A33969"</definedName>
    <definedName function="false" hidden="true" name="FDD_69_0" vbProcedure="false">"U30681"</definedName>
    <definedName function="false" hidden="true" name="FDD_69_1" vbProcedure="false">"A31047"</definedName>
    <definedName function="false" hidden="true" name="FDD_69_10" vbProcedure="false">"A34334"</definedName>
    <definedName function="false" hidden="true" name="FDD_69_11" vbProcedure="false">"A34699"</definedName>
    <definedName function="false" hidden="true" name="FDD_69_12" vbProcedure="false">"A35064"</definedName>
    <definedName function="false" hidden="true" name="FDD_69_13" vbProcedure="false">"A35430"</definedName>
    <definedName function="false" hidden="true" name="FDD_69_14" vbProcedure="false">"A35795"</definedName>
    <definedName function="false" hidden="true" name="FDD_69_2" vbProcedure="false">"A31412"</definedName>
    <definedName function="false" hidden="true" name="FDD_69_3" vbProcedure="false">"A31777"</definedName>
    <definedName function="false" hidden="true" name="FDD_69_4" vbProcedure="false">"A32142"</definedName>
    <definedName function="false" hidden="true" name="FDD_69_5" vbProcedure="false">"A32508"</definedName>
    <definedName function="false" hidden="true" name="FDD_69_6" vbProcedure="false">"A32873"</definedName>
    <definedName function="false" hidden="true" name="FDD_69_7" vbProcedure="false">"A33238"</definedName>
    <definedName function="false" hidden="true" name="FDD_69_8" vbProcedure="false">"A33603"</definedName>
    <definedName function="false" hidden="true" name="FDD_69_9" vbProcedure="false">"A33969"</definedName>
    <definedName function="false" hidden="true" name="FDD_6_0" vbProcedure="false">"A25569"</definedName>
    <definedName function="false" hidden="true" name="FDD_6_1" vbProcedure="false">"A35795"</definedName>
    <definedName function="false" hidden="true" name="FDD_6_2" vbProcedure="false">"E36160"</definedName>
    <definedName function="false" hidden="true" name="FDD_6_3" vbProcedure="false">"E36525"</definedName>
    <definedName function="false" hidden="true" name="FDD_70_0" vbProcedure="false">"A30681"</definedName>
    <definedName function="false" hidden="true" name="FDD_70_1" vbProcedure="false">"A31047"</definedName>
    <definedName function="false" hidden="true" name="FDD_70_10" vbProcedure="false">"A34334"</definedName>
    <definedName function="false" hidden="true" name="FDD_70_11" vbProcedure="false">"A34699"</definedName>
    <definedName function="false" hidden="true" name="FDD_70_12" vbProcedure="false">"A35064"</definedName>
    <definedName function="false" hidden="true" name="FDD_70_13" vbProcedure="false">"A35430"</definedName>
    <definedName function="false" hidden="true" name="FDD_70_14" vbProcedure="false">"A35795"</definedName>
    <definedName function="false" hidden="true" name="FDD_70_2" vbProcedure="false">"A31412"</definedName>
    <definedName function="false" hidden="true" name="FDD_70_3" vbProcedure="false">"A31777"</definedName>
    <definedName function="false" hidden="true" name="FDD_70_4" vbProcedure="false">"A32142"</definedName>
    <definedName function="false" hidden="true" name="FDD_70_5" vbProcedure="false">"A32508"</definedName>
    <definedName function="false" hidden="true" name="FDD_70_6" vbProcedure="false">"A32873"</definedName>
    <definedName function="false" hidden="true" name="FDD_70_7" vbProcedure="false">"A33238"</definedName>
    <definedName function="false" hidden="true" name="FDD_70_8" vbProcedure="false">"A33603"</definedName>
    <definedName function="false" hidden="true" name="FDD_70_9" vbProcedure="false">"A33969"</definedName>
    <definedName function="false" hidden="true" name="FDD_71_0" vbProcedure="false">"A30681"</definedName>
    <definedName function="false" hidden="true" name="FDD_71_1" vbProcedure="false">"A31047"</definedName>
    <definedName function="false" hidden="true" name="FDD_71_10" vbProcedure="false">"A34334"</definedName>
    <definedName function="false" hidden="true" name="FDD_71_11" vbProcedure="false">"A34699"</definedName>
    <definedName function="false" hidden="true" name="FDD_71_12" vbProcedure="false">"A35064"</definedName>
    <definedName function="false" hidden="true" name="FDD_71_13" vbProcedure="false">"A35430"</definedName>
    <definedName function="false" hidden="true" name="FDD_71_14" vbProcedure="false">"A35795"</definedName>
    <definedName function="false" hidden="true" name="FDD_71_2" vbProcedure="false">"A31412"</definedName>
    <definedName function="false" hidden="true" name="FDD_71_3" vbProcedure="false">"A31777"</definedName>
    <definedName function="false" hidden="true" name="FDD_71_4" vbProcedure="false">"A32142"</definedName>
    <definedName function="false" hidden="true" name="FDD_71_5" vbProcedure="false">"A32508"</definedName>
    <definedName function="false" hidden="true" name="FDD_71_6" vbProcedure="false">"A32873"</definedName>
    <definedName function="false" hidden="true" name="FDD_71_7" vbProcedure="false">"A33238"</definedName>
    <definedName function="false" hidden="true" name="FDD_71_8" vbProcedure="false">"A33603"</definedName>
    <definedName function="false" hidden="true" name="FDD_71_9" vbProcedure="false">"A33969"</definedName>
    <definedName function="false" hidden="true" name="FDD_72_0" vbProcedure="false">"A30681"</definedName>
    <definedName function="false" hidden="true" name="FDD_72_1" vbProcedure="false">"A31047"</definedName>
    <definedName function="false" hidden="true" name="FDD_72_10" vbProcedure="false">"A34334"</definedName>
    <definedName function="false" hidden="true" name="FDD_72_11" vbProcedure="false">"A34699"</definedName>
    <definedName function="false" hidden="true" name="FDD_72_12" vbProcedure="false">"A35064"</definedName>
    <definedName function="false" hidden="true" name="FDD_72_13" vbProcedure="false">"A35430"</definedName>
    <definedName function="false" hidden="true" name="FDD_72_14" vbProcedure="false">"A35795"</definedName>
    <definedName function="false" hidden="true" name="FDD_72_2" vbProcedure="false">"A31412"</definedName>
    <definedName function="false" hidden="true" name="FDD_72_3" vbProcedure="false">"A31777"</definedName>
    <definedName function="false" hidden="true" name="FDD_72_4" vbProcedure="false">"A32142"</definedName>
    <definedName function="false" hidden="true" name="FDD_72_5" vbProcedure="false">"A32508"</definedName>
    <definedName function="false" hidden="true" name="FDD_72_6" vbProcedure="false">"A32873"</definedName>
    <definedName function="false" hidden="true" name="FDD_72_7" vbProcedure="false">"A33238"</definedName>
    <definedName function="false" hidden="true" name="FDD_72_8" vbProcedure="false">"A33603"</definedName>
    <definedName function="false" hidden="true" name="FDD_72_9" vbProcedure="false">"A33969"</definedName>
    <definedName function="false" hidden="true" name="FDD_73_0" vbProcedure="false">"A30681"</definedName>
    <definedName function="false" hidden="true" name="FDD_73_1" vbProcedure="false">"A31047"</definedName>
    <definedName function="false" hidden="true" name="FDD_73_10" vbProcedure="false">"A34334"</definedName>
    <definedName function="false" hidden="true" name="FDD_73_11" vbProcedure="false">"A34699"</definedName>
    <definedName function="false" hidden="true" name="FDD_73_12" vbProcedure="false">"A35064"</definedName>
    <definedName function="false" hidden="true" name="FDD_73_13" vbProcedure="false">"A35430"</definedName>
    <definedName function="false" hidden="true" name="FDD_73_14" vbProcedure="false">"A35795"</definedName>
    <definedName function="false" hidden="true" name="FDD_73_2" vbProcedure="false">"A31412"</definedName>
    <definedName function="false" hidden="true" name="FDD_73_3" vbProcedure="false">"A31777"</definedName>
    <definedName function="false" hidden="true" name="FDD_73_4" vbProcedure="false">"A32142"</definedName>
    <definedName function="false" hidden="true" name="FDD_73_5" vbProcedure="false">"A32508"</definedName>
    <definedName function="false" hidden="true" name="FDD_73_6" vbProcedure="false">"A32873"</definedName>
    <definedName function="false" hidden="true" name="FDD_73_7" vbProcedure="false">"A33238"</definedName>
    <definedName function="false" hidden="true" name="FDD_73_8" vbProcedure="false">"A33603"</definedName>
    <definedName function="false" hidden="true" name="FDD_73_9" vbProcedure="false">"A33969"</definedName>
    <definedName function="false" hidden="true" name="FDD_74_0" vbProcedure="false">"A30681"</definedName>
    <definedName function="false" hidden="true" name="FDD_74_1" vbProcedure="false">"A31047"</definedName>
    <definedName function="false" hidden="true" name="FDD_74_10" vbProcedure="false">"A34334"</definedName>
    <definedName function="false" hidden="true" name="FDD_74_11" vbProcedure="false">"A34699"</definedName>
    <definedName function="false" hidden="true" name="FDD_74_12" vbProcedure="false">"A35064"</definedName>
    <definedName function="false" hidden="true" name="FDD_74_13" vbProcedure="false">"A35430"</definedName>
    <definedName function="false" hidden="true" name="FDD_74_14" vbProcedure="false">"A35795"</definedName>
    <definedName function="false" hidden="true" name="FDD_74_2" vbProcedure="false">"A31412"</definedName>
    <definedName function="false" hidden="true" name="FDD_74_3" vbProcedure="false">"A31777"</definedName>
    <definedName function="false" hidden="true" name="FDD_74_4" vbProcedure="false">"A32142"</definedName>
    <definedName function="false" hidden="true" name="FDD_74_5" vbProcedure="false">"A32508"</definedName>
    <definedName function="false" hidden="true" name="FDD_74_6" vbProcedure="false">"A32873"</definedName>
    <definedName function="false" hidden="true" name="FDD_74_7" vbProcedure="false">"A33238"</definedName>
    <definedName function="false" hidden="true" name="FDD_74_8" vbProcedure="false">"A33603"</definedName>
    <definedName function="false" hidden="true" name="FDD_74_9" vbProcedure="false">"A33969"</definedName>
    <definedName function="false" hidden="true" name="FDD_75_0" vbProcedure="false">"A30681"</definedName>
    <definedName function="false" hidden="true" name="FDD_75_1" vbProcedure="false">"A31047"</definedName>
    <definedName function="false" hidden="true" name="FDD_75_10" vbProcedure="false">"A34334"</definedName>
    <definedName function="false" hidden="true" name="FDD_75_11" vbProcedure="false">"A34699"</definedName>
    <definedName function="false" hidden="true" name="FDD_75_12" vbProcedure="false">"A35064"</definedName>
    <definedName function="false" hidden="true" name="FDD_75_13" vbProcedure="false">"A35430"</definedName>
    <definedName function="false" hidden="true" name="FDD_75_14" vbProcedure="false">"A35795"</definedName>
    <definedName function="false" hidden="true" name="FDD_75_2" vbProcedure="false">"A31412"</definedName>
    <definedName function="false" hidden="true" name="FDD_75_3" vbProcedure="false">"A31777"</definedName>
    <definedName function="false" hidden="true" name="FDD_75_4" vbProcedure="false">"A32142"</definedName>
    <definedName function="false" hidden="true" name="FDD_75_5" vbProcedure="false">"A32508"</definedName>
    <definedName function="false" hidden="true" name="FDD_75_6" vbProcedure="false">"A32873"</definedName>
    <definedName function="false" hidden="true" name="FDD_75_7" vbProcedure="false">"A33238"</definedName>
    <definedName function="false" hidden="true" name="FDD_75_8" vbProcedure="false">"A33603"</definedName>
    <definedName function="false" hidden="true" name="FDD_75_9" vbProcedure="false">"A33969"</definedName>
    <definedName function="false" hidden="true" name="FDD_76_0" vbProcedure="false">"A30681"</definedName>
    <definedName function="false" hidden="true" name="FDD_76_1" vbProcedure="false">"A31047"</definedName>
    <definedName function="false" hidden="true" name="FDD_76_10" vbProcedure="false">"A34334"</definedName>
    <definedName function="false" hidden="true" name="FDD_76_11" vbProcedure="false">"A34699"</definedName>
    <definedName function="false" hidden="true" name="FDD_76_12" vbProcedure="false">"A35064"</definedName>
    <definedName function="false" hidden="true" name="FDD_76_13" vbProcedure="false">"A35430"</definedName>
    <definedName function="false" hidden="true" name="FDD_76_14" vbProcedure="false">"A35795"</definedName>
    <definedName function="false" hidden="true" name="FDD_76_2" vbProcedure="false">"A31412"</definedName>
    <definedName function="false" hidden="true" name="FDD_76_3" vbProcedure="false">"A31777"</definedName>
    <definedName function="false" hidden="true" name="FDD_76_4" vbProcedure="false">"A32142"</definedName>
    <definedName function="false" hidden="true" name="FDD_76_5" vbProcedure="false">"A32508"</definedName>
    <definedName function="false" hidden="true" name="FDD_76_6" vbProcedure="false">"A32873"</definedName>
    <definedName function="false" hidden="true" name="FDD_76_7" vbProcedure="false">"A33238"</definedName>
    <definedName function="false" hidden="true" name="FDD_76_8" vbProcedure="false">"A33603"</definedName>
    <definedName function="false" hidden="true" name="FDD_76_9" vbProcedure="false">"A33969"</definedName>
    <definedName function="false" hidden="true" name="FDD_77_0" vbProcedure="false">"A30681"</definedName>
    <definedName function="false" hidden="true" name="FDD_77_1" vbProcedure="false">"A31047"</definedName>
    <definedName function="false" hidden="true" name="FDD_77_10" vbProcedure="false">"A34334"</definedName>
    <definedName function="false" hidden="true" name="FDD_77_11" vbProcedure="false">"A34699"</definedName>
    <definedName function="false" hidden="true" name="FDD_77_12" vbProcedure="false">"A35064"</definedName>
    <definedName function="false" hidden="true" name="FDD_77_13" vbProcedure="false">"A35430"</definedName>
    <definedName function="false" hidden="true" name="FDD_77_14" vbProcedure="false">"A35795"</definedName>
    <definedName function="false" hidden="true" name="FDD_77_2" vbProcedure="false">"A31412"</definedName>
    <definedName function="false" hidden="true" name="FDD_77_3" vbProcedure="false">"A31777"</definedName>
    <definedName function="false" hidden="true" name="FDD_77_4" vbProcedure="false">"A32142"</definedName>
    <definedName function="false" hidden="true" name="FDD_77_5" vbProcedure="false">"A32508"</definedName>
    <definedName function="false" hidden="true" name="FDD_77_6" vbProcedure="false">"A32873"</definedName>
    <definedName function="false" hidden="true" name="FDD_77_7" vbProcedure="false">"A33238"</definedName>
    <definedName function="false" hidden="true" name="FDD_77_8" vbProcedure="false">"A33603"</definedName>
    <definedName function="false" hidden="true" name="FDD_77_9" vbProcedure="false">"A33969"</definedName>
    <definedName function="false" hidden="true" name="FDD_78_0" vbProcedure="false">"A30681"</definedName>
    <definedName function="false" hidden="true" name="FDD_78_1" vbProcedure="false">"A31047"</definedName>
    <definedName function="false" hidden="true" name="FDD_78_10" vbProcedure="false">"A34334"</definedName>
    <definedName function="false" hidden="true" name="FDD_78_11" vbProcedure="false">"A34699"</definedName>
    <definedName function="false" hidden="true" name="FDD_78_12" vbProcedure="false">"A35064"</definedName>
    <definedName function="false" hidden="true" name="FDD_78_13" vbProcedure="false">"A35430"</definedName>
    <definedName function="false" hidden="true" name="FDD_78_14" vbProcedure="false">"A35795"</definedName>
    <definedName function="false" hidden="true" name="FDD_78_2" vbProcedure="false">"A31412"</definedName>
    <definedName function="false" hidden="true" name="FDD_78_3" vbProcedure="false">"A31777"</definedName>
    <definedName function="false" hidden="true" name="FDD_78_4" vbProcedure="false">"A32142"</definedName>
    <definedName function="false" hidden="true" name="FDD_78_5" vbProcedure="false">"A32508"</definedName>
    <definedName function="false" hidden="true" name="FDD_78_6" vbProcedure="false">"A32873"</definedName>
    <definedName function="false" hidden="true" name="FDD_78_7" vbProcedure="false">"A33238"</definedName>
    <definedName function="false" hidden="true" name="FDD_78_8" vbProcedure="false">"A33603"</definedName>
    <definedName function="false" hidden="true" name="FDD_78_9" vbProcedure="false">"A33969"</definedName>
    <definedName function="false" hidden="true" name="FDD_79_0" vbProcedure="false">"A30681"</definedName>
    <definedName function="false" hidden="true" name="FDD_79_1" vbProcedure="false">"A31047"</definedName>
    <definedName function="false" hidden="true" name="FDD_79_10" vbProcedure="false">"A34334"</definedName>
    <definedName function="false" hidden="true" name="FDD_79_11" vbProcedure="false">"A34699"</definedName>
    <definedName function="false" hidden="true" name="FDD_79_12" vbProcedure="false">"A35064"</definedName>
    <definedName function="false" hidden="true" name="FDD_79_13" vbProcedure="false">"A35430"</definedName>
    <definedName function="false" hidden="true" name="FDD_79_14" vbProcedure="false">"A35795"</definedName>
    <definedName function="false" hidden="true" name="FDD_79_2" vbProcedure="false">"A31412"</definedName>
    <definedName function="false" hidden="true" name="FDD_79_3" vbProcedure="false">"A31777"</definedName>
    <definedName function="false" hidden="true" name="FDD_79_4" vbProcedure="false">"A32142"</definedName>
    <definedName function="false" hidden="true" name="FDD_79_5" vbProcedure="false">"A32508"</definedName>
    <definedName function="false" hidden="true" name="FDD_79_6" vbProcedure="false">"A32873"</definedName>
    <definedName function="false" hidden="true" name="FDD_79_7" vbProcedure="false">"A33238"</definedName>
    <definedName function="false" hidden="true" name="FDD_79_8" vbProcedure="false">"A33603"</definedName>
    <definedName function="false" hidden="true" name="FDD_79_9" vbProcedure="false">"A33969"</definedName>
    <definedName function="false" hidden="true" name="FDD_7_0" vbProcedure="false">"A25569"</definedName>
    <definedName function="false" hidden="true" name="FDD_7_1" vbProcedure="false">"E35795"</definedName>
    <definedName function="false" hidden="true" name="FDD_7_2" vbProcedure="false">"E36160"</definedName>
    <definedName function="false" hidden="true" name="FDD_7_3" vbProcedure="false">"E36525"</definedName>
    <definedName function="false" hidden="true" name="FDD_80_0" vbProcedure="false">"A30681"</definedName>
    <definedName function="false" hidden="true" name="FDD_80_1" vbProcedure="false">"A31047"</definedName>
    <definedName function="false" hidden="true" name="FDD_80_10" vbProcedure="false">"A34334"</definedName>
    <definedName function="false" hidden="true" name="FDD_80_11" vbProcedure="false">"A34699"</definedName>
    <definedName function="false" hidden="true" name="FDD_80_12" vbProcedure="false">"A35064"</definedName>
    <definedName function="false" hidden="true" name="FDD_80_13" vbProcedure="false">"A35430"</definedName>
    <definedName function="false" hidden="true" name="FDD_80_14" vbProcedure="false">"A35795"</definedName>
    <definedName function="false" hidden="true" name="FDD_80_2" vbProcedure="false">"A31412"</definedName>
    <definedName function="false" hidden="true" name="FDD_80_3" vbProcedure="false">"A31777"</definedName>
    <definedName function="false" hidden="true" name="FDD_80_4" vbProcedure="false">"A32142"</definedName>
    <definedName function="false" hidden="true" name="FDD_80_5" vbProcedure="false">"A32508"</definedName>
    <definedName function="false" hidden="true" name="FDD_80_6" vbProcedure="false">"A32873"</definedName>
    <definedName function="false" hidden="true" name="FDD_80_7" vbProcedure="false">"A33238"</definedName>
    <definedName function="false" hidden="true" name="FDD_80_8" vbProcedure="false">"A33603"</definedName>
    <definedName function="false" hidden="true" name="FDD_80_9" vbProcedure="false">"A33969"</definedName>
    <definedName function="false" hidden="true" name="FDD_81_0" vbProcedure="false">"A30681"</definedName>
    <definedName function="false" hidden="true" name="FDD_81_1" vbProcedure="false">"A31047"</definedName>
    <definedName function="false" hidden="true" name="FDD_81_10" vbProcedure="false">"A34334"</definedName>
    <definedName function="false" hidden="true" name="FDD_81_11" vbProcedure="false">"A34699"</definedName>
    <definedName function="false" hidden="true" name="FDD_81_12" vbProcedure="false">"A35064"</definedName>
    <definedName function="false" hidden="true" name="FDD_81_13" vbProcedure="false">"A35430"</definedName>
    <definedName function="false" hidden="true" name="FDD_81_14" vbProcedure="false">"A35795"</definedName>
    <definedName function="false" hidden="true" name="FDD_81_2" vbProcedure="false">"A31412"</definedName>
    <definedName function="false" hidden="true" name="FDD_81_3" vbProcedure="false">"A31777"</definedName>
    <definedName function="false" hidden="true" name="FDD_81_4" vbProcedure="false">"A32142"</definedName>
    <definedName function="false" hidden="true" name="FDD_81_5" vbProcedure="false">"A32508"</definedName>
    <definedName function="false" hidden="true" name="FDD_81_6" vbProcedure="false">"A32873"</definedName>
    <definedName function="false" hidden="true" name="FDD_81_7" vbProcedure="false">"A33238"</definedName>
    <definedName function="false" hidden="true" name="FDD_81_8" vbProcedure="false">"A33603"</definedName>
    <definedName function="false" hidden="true" name="FDD_81_9" vbProcedure="false">"A33969"</definedName>
    <definedName function="false" hidden="true" name="FDD_82_0" vbProcedure="false">"A30681"</definedName>
    <definedName function="false" hidden="true" name="FDD_82_1" vbProcedure="false">"A31047"</definedName>
    <definedName function="false" hidden="true" name="FDD_82_10" vbProcedure="false">"A34334"</definedName>
    <definedName function="false" hidden="true" name="FDD_82_11" vbProcedure="false">"A34699"</definedName>
    <definedName function="false" hidden="true" name="FDD_82_12" vbProcedure="false">"A35064"</definedName>
    <definedName function="false" hidden="true" name="FDD_82_13" vbProcedure="false">"A35430"</definedName>
    <definedName function="false" hidden="true" name="FDD_82_14" vbProcedure="false">"A35795"</definedName>
    <definedName function="false" hidden="true" name="FDD_82_2" vbProcedure="false">"A31412"</definedName>
    <definedName function="false" hidden="true" name="FDD_82_3" vbProcedure="false">"A31777"</definedName>
    <definedName function="false" hidden="true" name="FDD_82_4" vbProcedure="false">"A32142"</definedName>
    <definedName function="false" hidden="true" name="FDD_82_5" vbProcedure="false">"A32508"</definedName>
    <definedName function="false" hidden="true" name="FDD_82_6" vbProcedure="false">"A32873"</definedName>
    <definedName function="false" hidden="true" name="FDD_82_7" vbProcedure="false">"A33238"</definedName>
    <definedName function="false" hidden="true" name="FDD_82_8" vbProcedure="false">"A33603"</definedName>
    <definedName function="false" hidden="true" name="FDD_82_9" vbProcedure="false">"A33969"</definedName>
    <definedName function="false" hidden="true" name="FDD_83_0" vbProcedure="false">"A30681"</definedName>
    <definedName function="false" hidden="true" name="FDD_83_1" vbProcedure="false">"A31047"</definedName>
    <definedName function="false" hidden="true" name="FDD_83_10" vbProcedure="false">"A34334"</definedName>
    <definedName function="false" hidden="true" name="FDD_83_11" vbProcedure="false">"A34699"</definedName>
    <definedName function="false" hidden="true" name="FDD_83_12" vbProcedure="false">"A35064"</definedName>
    <definedName function="false" hidden="true" name="FDD_83_13" vbProcedure="false">"A35430"</definedName>
    <definedName function="false" hidden="true" name="FDD_83_14" vbProcedure="false">"A35795"</definedName>
    <definedName function="false" hidden="true" name="FDD_83_2" vbProcedure="false">"A31412"</definedName>
    <definedName function="false" hidden="true" name="FDD_83_3" vbProcedure="false">"A31777"</definedName>
    <definedName function="false" hidden="true" name="FDD_83_4" vbProcedure="false">"A32142"</definedName>
    <definedName function="false" hidden="true" name="FDD_83_5" vbProcedure="false">"A32508"</definedName>
    <definedName function="false" hidden="true" name="FDD_83_6" vbProcedure="false">"A32873"</definedName>
    <definedName function="false" hidden="true" name="FDD_83_7" vbProcedure="false">"A33238"</definedName>
    <definedName function="false" hidden="true" name="FDD_83_8" vbProcedure="false">"A33603"</definedName>
    <definedName function="false" hidden="true" name="FDD_83_9" vbProcedure="false">"A33969"</definedName>
    <definedName function="false" hidden="true" name="FDD_84_0" vbProcedure="false">"A30681"</definedName>
    <definedName function="false" hidden="true" name="FDD_84_1" vbProcedure="false">"A31047"</definedName>
    <definedName function="false" hidden="true" name="FDD_84_10" vbProcedure="false">"A34334"</definedName>
    <definedName function="false" hidden="true" name="FDD_84_11" vbProcedure="false">"A34699"</definedName>
    <definedName function="false" hidden="true" name="FDD_84_12" vbProcedure="false">"A35064"</definedName>
    <definedName function="false" hidden="true" name="FDD_84_13" vbProcedure="false">"A35430"</definedName>
    <definedName function="false" hidden="true" name="FDD_84_14" vbProcedure="false">"A35795"</definedName>
    <definedName function="false" hidden="true" name="FDD_84_2" vbProcedure="false">"A31412"</definedName>
    <definedName function="false" hidden="true" name="FDD_84_3" vbProcedure="false">"A31777"</definedName>
    <definedName function="false" hidden="true" name="FDD_84_4" vbProcedure="false">"A32142"</definedName>
    <definedName function="false" hidden="true" name="FDD_84_5" vbProcedure="false">"A32508"</definedName>
    <definedName function="false" hidden="true" name="FDD_84_6" vbProcedure="false">"A32873"</definedName>
    <definedName function="false" hidden="true" name="FDD_84_7" vbProcedure="false">"A33238"</definedName>
    <definedName function="false" hidden="true" name="FDD_84_8" vbProcedure="false">"A33603"</definedName>
    <definedName function="false" hidden="true" name="FDD_84_9" vbProcedure="false">"A33969"</definedName>
    <definedName function="false" hidden="true" name="FDD_85_0" vbProcedure="false">"A30681"</definedName>
    <definedName function="false" hidden="true" name="FDD_85_1" vbProcedure="false">"A31047"</definedName>
    <definedName function="false" hidden="true" name="FDD_85_10" vbProcedure="false">"A34334"</definedName>
    <definedName function="false" hidden="true" name="FDD_85_11" vbProcedure="false">"A34699"</definedName>
    <definedName function="false" hidden="true" name="FDD_85_12" vbProcedure="false">"A35064"</definedName>
    <definedName function="false" hidden="true" name="FDD_85_13" vbProcedure="false">"A35430"</definedName>
    <definedName function="false" hidden="true" name="FDD_85_14" vbProcedure="false">"A35795"</definedName>
    <definedName function="false" hidden="true" name="FDD_85_2" vbProcedure="false">"A31412"</definedName>
    <definedName function="false" hidden="true" name="FDD_85_3" vbProcedure="false">"A31777"</definedName>
    <definedName function="false" hidden="true" name="FDD_85_4" vbProcedure="false">"A32142"</definedName>
    <definedName function="false" hidden="true" name="FDD_85_5" vbProcedure="false">"A32508"</definedName>
    <definedName function="false" hidden="true" name="FDD_85_6" vbProcedure="false">"A32873"</definedName>
    <definedName function="false" hidden="true" name="FDD_85_7" vbProcedure="false">"A33238"</definedName>
    <definedName function="false" hidden="true" name="FDD_85_8" vbProcedure="false">"A33603"</definedName>
    <definedName function="false" hidden="true" name="FDD_85_9" vbProcedure="false">"A33969"</definedName>
    <definedName function="false" hidden="true" name="FDD_86_0" vbProcedure="false">"A30681"</definedName>
    <definedName function="false" hidden="true" name="FDD_86_1" vbProcedure="false">"A31047"</definedName>
    <definedName function="false" hidden="true" name="FDD_86_10" vbProcedure="false">"A34334"</definedName>
    <definedName function="false" hidden="true" name="FDD_86_11" vbProcedure="false">"A34699"</definedName>
    <definedName function="false" hidden="true" name="FDD_86_12" vbProcedure="false">"A35064"</definedName>
    <definedName function="false" hidden="true" name="FDD_86_13" vbProcedure="false">"A35430"</definedName>
    <definedName function="false" hidden="true" name="FDD_86_14" vbProcedure="false">"A35795"</definedName>
    <definedName function="false" hidden="true" name="FDD_86_2" vbProcedure="false">"A31412"</definedName>
    <definedName function="false" hidden="true" name="FDD_86_3" vbProcedure="false">"A31777"</definedName>
    <definedName function="false" hidden="true" name="FDD_86_4" vbProcedure="false">"A32142"</definedName>
    <definedName function="false" hidden="true" name="FDD_86_5" vbProcedure="false">"A32508"</definedName>
    <definedName function="false" hidden="true" name="FDD_86_6" vbProcedure="false">"A32873"</definedName>
    <definedName function="false" hidden="true" name="FDD_86_7" vbProcedure="false">"A33238"</definedName>
    <definedName function="false" hidden="true" name="FDD_86_8" vbProcedure="false">"A33603"</definedName>
    <definedName function="false" hidden="true" name="FDD_86_9" vbProcedure="false">"A33969"</definedName>
    <definedName function="false" hidden="true" name="FDD_87_0" vbProcedure="false">"A30681"</definedName>
    <definedName function="false" hidden="true" name="FDD_87_1" vbProcedure="false">"A31047"</definedName>
    <definedName function="false" hidden="true" name="FDD_87_10" vbProcedure="false">"A34334"</definedName>
    <definedName function="false" hidden="true" name="FDD_87_11" vbProcedure="false">"A34699"</definedName>
    <definedName function="false" hidden="true" name="FDD_87_12" vbProcedure="false">"A35064"</definedName>
    <definedName function="false" hidden="true" name="FDD_87_13" vbProcedure="false">"A35430"</definedName>
    <definedName function="false" hidden="true" name="FDD_87_14" vbProcedure="false">"A35795"</definedName>
    <definedName function="false" hidden="true" name="FDD_87_2" vbProcedure="false">"A31412"</definedName>
    <definedName function="false" hidden="true" name="FDD_87_3" vbProcedure="false">"A31777"</definedName>
    <definedName function="false" hidden="true" name="FDD_87_4" vbProcedure="false">"A32142"</definedName>
    <definedName function="false" hidden="true" name="FDD_87_5" vbProcedure="false">"A32508"</definedName>
    <definedName function="false" hidden="true" name="FDD_87_6" vbProcedure="false">"A32873"</definedName>
    <definedName function="false" hidden="true" name="FDD_87_7" vbProcedure="false">"A33238"</definedName>
    <definedName function="false" hidden="true" name="FDD_87_8" vbProcedure="false">"A33603"</definedName>
    <definedName function="false" hidden="true" name="FDD_87_9" vbProcedure="false">"A33969"</definedName>
    <definedName function="false" hidden="true" name="FDD_88_0" vbProcedure="false">"A30681"</definedName>
    <definedName function="false" hidden="true" name="FDD_88_1" vbProcedure="false">"A31047"</definedName>
    <definedName function="false" hidden="true" name="FDD_88_10" vbProcedure="false">"A34334"</definedName>
    <definedName function="false" hidden="true" name="FDD_88_11" vbProcedure="false">"A34699"</definedName>
    <definedName function="false" hidden="true" name="FDD_88_12" vbProcedure="false">"A35064"</definedName>
    <definedName function="false" hidden="true" name="FDD_88_13" vbProcedure="false">"A35430"</definedName>
    <definedName function="false" hidden="true" name="FDD_88_14" vbProcedure="false">"A35795"</definedName>
    <definedName function="false" hidden="true" name="FDD_88_2" vbProcedure="false">"A31412"</definedName>
    <definedName function="false" hidden="true" name="FDD_88_3" vbProcedure="false">"A31777"</definedName>
    <definedName function="false" hidden="true" name="FDD_88_4" vbProcedure="false">"A32142"</definedName>
    <definedName function="false" hidden="true" name="FDD_88_5" vbProcedure="false">"A32508"</definedName>
    <definedName function="false" hidden="true" name="FDD_88_6" vbProcedure="false">"A32873"</definedName>
    <definedName function="false" hidden="true" name="FDD_88_7" vbProcedure="false">"A33238"</definedName>
    <definedName function="false" hidden="true" name="FDD_88_8" vbProcedure="false">"A33603"</definedName>
    <definedName function="false" hidden="true" name="FDD_88_9" vbProcedure="false">"A33969"</definedName>
    <definedName function="false" hidden="true" name="FDD_89_0" vbProcedure="false">"A30681"</definedName>
    <definedName function="false" hidden="true" name="FDD_89_1" vbProcedure="false">"A31047"</definedName>
    <definedName function="false" hidden="true" name="FDD_89_10" vbProcedure="false">"A34334"</definedName>
    <definedName function="false" hidden="true" name="FDD_89_11" vbProcedure="false">"A34699"</definedName>
    <definedName function="false" hidden="true" name="FDD_89_12" vbProcedure="false">"A35064"</definedName>
    <definedName function="false" hidden="true" name="FDD_89_13" vbProcedure="false">"A35430"</definedName>
    <definedName function="false" hidden="true" name="FDD_89_14" vbProcedure="false">"A35795"</definedName>
    <definedName function="false" hidden="true" name="FDD_89_2" vbProcedure="false">"A31412"</definedName>
    <definedName function="false" hidden="true" name="FDD_89_3" vbProcedure="false">"A31777"</definedName>
    <definedName function="false" hidden="true" name="FDD_89_4" vbProcedure="false">"A32142"</definedName>
    <definedName function="false" hidden="true" name="FDD_89_5" vbProcedure="false">"A32508"</definedName>
    <definedName function="false" hidden="true" name="FDD_89_6" vbProcedure="false">"A32873"</definedName>
    <definedName function="false" hidden="true" name="FDD_89_7" vbProcedure="false">"A33238"</definedName>
    <definedName function="false" hidden="true" name="FDD_89_8" vbProcedure="false">"A33603"</definedName>
    <definedName function="false" hidden="true" name="FDD_89_9" vbProcedure="false">"A33969"</definedName>
    <definedName function="false" hidden="true" name="FDD_8_0" vbProcedure="false">"A25569"</definedName>
    <definedName function="false" hidden="true" name="FDD_8_1" vbProcedure="false">"E35795"</definedName>
    <definedName function="false" hidden="true" name="FDD_8_2" vbProcedure="false">"E36160"</definedName>
    <definedName function="false" hidden="true" name="FDD_8_3" vbProcedure="false">"E36525"</definedName>
    <definedName function="false" hidden="true" name="FDD_90_0" vbProcedure="false">"A30681"</definedName>
    <definedName function="false" hidden="true" name="FDD_90_1" vbProcedure="false">"A31047"</definedName>
    <definedName function="false" hidden="true" name="FDD_90_10" vbProcedure="false">"A34334"</definedName>
    <definedName function="false" hidden="true" name="FDD_90_11" vbProcedure="false">"A34699"</definedName>
    <definedName function="false" hidden="true" name="FDD_90_12" vbProcedure="false">"A35064"</definedName>
    <definedName function="false" hidden="true" name="FDD_90_13" vbProcedure="false">"A35430"</definedName>
    <definedName function="false" hidden="true" name="FDD_90_14" vbProcedure="false">"A35795"</definedName>
    <definedName function="false" hidden="true" name="FDD_90_2" vbProcedure="false">"A31412"</definedName>
    <definedName function="false" hidden="true" name="FDD_90_3" vbProcedure="false">"A31777"</definedName>
    <definedName function="false" hidden="true" name="FDD_90_4" vbProcedure="false">"A32142"</definedName>
    <definedName function="false" hidden="true" name="FDD_90_5" vbProcedure="false">"A32508"</definedName>
    <definedName function="false" hidden="true" name="FDD_90_6" vbProcedure="false">"A32873"</definedName>
    <definedName function="false" hidden="true" name="FDD_90_7" vbProcedure="false">"A33238"</definedName>
    <definedName function="false" hidden="true" name="FDD_90_8" vbProcedure="false">"A33603"</definedName>
    <definedName function="false" hidden="true" name="FDD_90_9" vbProcedure="false">"A33969"</definedName>
    <definedName function="false" hidden="true" name="FDD_91_0" vbProcedure="false">"A30681"</definedName>
    <definedName function="false" hidden="true" name="FDD_91_1" vbProcedure="false">"A31047"</definedName>
    <definedName function="false" hidden="true" name="FDD_91_10" vbProcedure="false">"A34334"</definedName>
    <definedName function="false" hidden="true" name="FDD_91_11" vbProcedure="false">"A34699"</definedName>
    <definedName function="false" hidden="true" name="FDD_91_12" vbProcedure="false">"A35064"</definedName>
    <definedName function="false" hidden="true" name="FDD_91_13" vbProcedure="false">"A35430"</definedName>
    <definedName function="false" hidden="true" name="FDD_91_14" vbProcedure="false">"A35795"</definedName>
    <definedName function="false" hidden="true" name="FDD_91_2" vbProcedure="false">"A31412"</definedName>
    <definedName function="false" hidden="true" name="FDD_91_3" vbProcedure="false">"A31777"</definedName>
    <definedName function="false" hidden="true" name="FDD_91_4" vbProcedure="false">"A32142"</definedName>
    <definedName function="false" hidden="true" name="FDD_91_5" vbProcedure="false">"A32508"</definedName>
    <definedName function="false" hidden="true" name="FDD_91_6" vbProcedure="false">"A32873"</definedName>
    <definedName function="false" hidden="true" name="FDD_91_7" vbProcedure="false">"A33238"</definedName>
    <definedName function="false" hidden="true" name="FDD_91_8" vbProcedure="false">"A33603"</definedName>
    <definedName function="false" hidden="true" name="FDD_91_9" vbProcedure="false">"A33969"</definedName>
    <definedName function="false" hidden="true" name="FDD_92_0" vbProcedure="false">"A30681"</definedName>
    <definedName function="false" hidden="true" name="FDD_92_1" vbProcedure="false">"A31047"</definedName>
    <definedName function="false" hidden="true" name="FDD_92_10" vbProcedure="false">"A34334"</definedName>
    <definedName function="false" hidden="true" name="FDD_92_11" vbProcedure="false">"A34699"</definedName>
    <definedName function="false" hidden="true" name="FDD_92_12" vbProcedure="false">"A35064"</definedName>
    <definedName function="false" hidden="true" name="FDD_92_13" vbProcedure="false">"A35430"</definedName>
    <definedName function="false" hidden="true" name="FDD_92_14" vbProcedure="false">"A35795"</definedName>
    <definedName function="false" hidden="true" name="FDD_92_2" vbProcedure="false">"A31412"</definedName>
    <definedName function="false" hidden="true" name="FDD_92_3" vbProcedure="false">"A31777"</definedName>
    <definedName function="false" hidden="true" name="FDD_92_4" vbProcedure="false">"A32142"</definedName>
    <definedName function="false" hidden="true" name="FDD_92_5" vbProcedure="false">"A32508"</definedName>
    <definedName function="false" hidden="true" name="FDD_92_6" vbProcedure="false">"A32873"</definedName>
    <definedName function="false" hidden="true" name="FDD_92_7" vbProcedure="false">"A33238"</definedName>
    <definedName function="false" hidden="true" name="FDD_92_8" vbProcedure="false">"A33603"</definedName>
    <definedName function="false" hidden="true" name="FDD_92_9" vbProcedure="false">"A33969"</definedName>
    <definedName function="false" hidden="true" name="FDD_93_0" vbProcedure="false">"A30681"</definedName>
    <definedName function="false" hidden="true" name="FDD_93_1" vbProcedure="false">"A31047"</definedName>
    <definedName function="false" hidden="true" name="FDD_93_10" vbProcedure="false">"A34334"</definedName>
    <definedName function="false" hidden="true" name="FDD_93_11" vbProcedure="false">"A34699"</definedName>
    <definedName function="false" hidden="true" name="FDD_93_12" vbProcedure="false">"A35064"</definedName>
    <definedName function="false" hidden="true" name="FDD_93_13" vbProcedure="false">"A35430"</definedName>
    <definedName function="false" hidden="true" name="FDD_93_14" vbProcedure="false">"A35795"</definedName>
    <definedName function="false" hidden="true" name="FDD_93_2" vbProcedure="false">"A31412"</definedName>
    <definedName function="false" hidden="true" name="FDD_93_3" vbProcedure="false">"A31777"</definedName>
    <definedName function="false" hidden="true" name="FDD_93_4" vbProcedure="false">"A32142"</definedName>
    <definedName function="false" hidden="true" name="FDD_93_5" vbProcedure="false">"A32508"</definedName>
    <definedName function="false" hidden="true" name="FDD_93_6" vbProcedure="false">"A32873"</definedName>
    <definedName function="false" hidden="true" name="FDD_93_7" vbProcedure="false">"A33238"</definedName>
    <definedName function="false" hidden="true" name="FDD_93_8" vbProcedure="false">"A33603"</definedName>
    <definedName function="false" hidden="true" name="FDD_93_9" vbProcedure="false">"A33969"</definedName>
    <definedName function="false" hidden="true" name="FDD_94_0" vbProcedure="false">"A30681"</definedName>
    <definedName function="false" hidden="true" name="FDD_94_1" vbProcedure="false">"A31047"</definedName>
    <definedName function="false" hidden="true" name="FDD_94_10" vbProcedure="false">"A34334"</definedName>
    <definedName function="false" hidden="true" name="FDD_94_11" vbProcedure="false">"A34699"</definedName>
    <definedName function="false" hidden="true" name="FDD_94_12" vbProcedure="false">"A35064"</definedName>
    <definedName function="false" hidden="true" name="FDD_94_13" vbProcedure="false">"A35430"</definedName>
    <definedName function="false" hidden="true" name="FDD_94_14" vbProcedure="false">"A35795"</definedName>
    <definedName function="false" hidden="true" name="FDD_94_2" vbProcedure="false">"A31412"</definedName>
    <definedName function="false" hidden="true" name="FDD_94_3" vbProcedure="false">"A31777"</definedName>
    <definedName function="false" hidden="true" name="FDD_94_4" vbProcedure="false">"A32142"</definedName>
    <definedName function="false" hidden="true" name="FDD_94_5" vbProcedure="false">"A32508"</definedName>
    <definedName function="false" hidden="true" name="FDD_94_6" vbProcedure="false">"A32873"</definedName>
    <definedName function="false" hidden="true" name="FDD_94_7" vbProcedure="false">"A33238"</definedName>
    <definedName function="false" hidden="true" name="FDD_94_8" vbProcedure="false">"A33603"</definedName>
    <definedName function="false" hidden="true" name="FDD_94_9" vbProcedure="false">"A33969"</definedName>
    <definedName function="false" hidden="true" name="FDD_95_0" vbProcedure="false">"A30681"</definedName>
    <definedName function="false" hidden="true" name="FDD_95_1" vbProcedure="false">"A31047"</definedName>
    <definedName function="false" hidden="true" name="FDD_95_10" vbProcedure="false">"A34334"</definedName>
    <definedName function="false" hidden="true" name="FDD_95_11" vbProcedure="false">"A34699"</definedName>
    <definedName function="false" hidden="true" name="FDD_95_12" vbProcedure="false">"A35064"</definedName>
    <definedName function="false" hidden="true" name="FDD_95_13" vbProcedure="false">"A35430"</definedName>
    <definedName function="false" hidden="true" name="FDD_95_14" vbProcedure="false">"A35795"</definedName>
    <definedName function="false" hidden="true" name="FDD_95_2" vbProcedure="false">"A31412"</definedName>
    <definedName function="false" hidden="true" name="FDD_95_3" vbProcedure="false">"A31777"</definedName>
    <definedName function="false" hidden="true" name="FDD_95_4" vbProcedure="false">"A32142"</definedName>
    <definedName function="false" hidden="true" name="FDD_95_5" vbProcedure="false">"A32508"</definedName>
    <definedName function="false" hidden="true" name="FDD_95_6" vbProcedure="false">"A32873"</definedName>
    <definedName function="false" hidden="true" name="FDD_95_7" vbProcedure="false">"A33238"</definedName>
    <definedName function="false" hidden="true" name="FDD_95_8" vbProcedure="false">"A33603"</definedName>
    <definedName function="false" hidden="true" name="FDD_95_9" vbProcedure="false">"A33969"</definedName>
    <definedName function="false" hidden="true" name="FDD_96_0" vbProcedure="false">"U30681"</definedName>
    <definedName function="false" hidden="true" name="FDD_96_1" vbProcedure="false">"A31047"</definedName>
    <definedName function="false" hidden="true" name="FDD_96_10" vbProcedure="false">"A34334"</definedName>
    <definedName function="false" hidden="true" name="FDD_96_11" vbProcedure="false">"A34699"</definedName>
    <definedName function="false" hidden="true" name="FDD_96_12" vbProcedure="false">"A35064"</definedName>
    <definedName function="false" hidden="true" name="FDD_96_13" vbProcedure="false">"A35430"</definedName>
    <definedName function="false" hidden="true" name="FDD_96_14" vbProcedure="false">"A35795"</definedName>
    <definedName function="false" hidden="true" name="FDD_96_2" vbProcedure="false">"A31412"</definedName>
    <definedName function="false" hidden="true" name="FDD_96_3" vbProcedure="false">"A31777"</definedName>
    <definedName function="false" hidden="true" name="FDD_96_4" vbProcedure="false">"A32142"</definedName>
    <definedName function="false" hidden="true" name="FDD_96_5" vbProcedure="false">"A32508"</definedName>
    <definedName function="false" hidden="true" name="FDD_96_6" vbProcedure="false">"A32873"</definedName>
    <definedName function="false" hidden="true" name="FDD_96_7" vbProcedure="false">"A33238"</definedName>
    <definedName function="false" hidden="true" name="FDD_96_8" vbProcedure="false">"A33603"</definedName>
    <definedName function="false" hidden="true" name="FDD_96_9" vbProcedure="false">"A33969"</definedName>
    <definedName function="false" hidden="true" name="FDD_97_0" vbProcedure="false">"U30681"</definedName>
    <definedName function="false" hidden="true" name="FDD_97_1" vbProcedure="false">"A31047"</definedName>
    <definedName function="false" hidden="true" name="FDD_97_10" vbProcedure="false">"A34334"</definedName>
    <definedName function="false" hidden="true" name="FDD_97_11" vbProcedure="false">"A34699"</definedName>
    <definedName function="false" hidden="true" name="FDD_97_12" vbProcedure="false">"A35064"</definedName>
    <definedName function="false" hidden="true" name="FDD_97_13" vbProcedure="false">"A35430"</definedName>
    <definedName function="false" hidden="true" name="FDD_97_14" vbProcedure="false">"A35795"</definedName>
    <definedName function="false" hidden="true" name="FDD_97_2" vbProcedure="false">"A31412"</definedName>
    <definedName function="false" hidden="true" name="FDD_97_3" vbProcedure="false">"A31777"</definedName>
    <definedName function="false" hidden="true" name="FDD_97_4" vbProcedure="false">"A32142"</definedName>
    <definedName function="false" hidden="true" name="FDD_97_5" vbProcedure="false">"A32508"</definedName>
    <definedName function="false" hidden="true" name="FDD_97_6" vbProcedure="false">"A32873"</definedName>
    <definedName function="false" hidden="true" name="FDD_97_7" vbProcedure="false">"A33238"</definedName>
    <definedName function="false" hidden="true" name="FDD_97_8" vbProcedure="false">"A33603"</definedName>
    <definedName function="false" hidden="true" name="FDD_97_9" vbProcedure="false">"A33969"</definedName>
    <definedName function="false" hidden="true" name="FDD_98_0" vbProcedure="false">"U30681"</definedName>
    <definedName function="false" hidden="true" name="FDD_98_1" vbProcedure="false">"A31047"</definedName>
    <definedName function="false" hidden="true" name="FDD_98_10" vbProcedure="false">"A34334"</definedName>
    <definedName function="false" hidden="true" name="FDD_98_11" vbProcedure="false">"A34699"</definedName>
    <definedName function="false" hidden="true" name="FDD_98_12" vbProcedure="false">"A35064"</definedName>
    <definedName function="false" hidden="true" name="FDD_98_13" vbProcedure="false">"A35430"</definedName>
    <definedName function="false" hidden="true" name="FDD_98_14" vbProcedure="false">"A35795"</definedName>
    <definedName function="false" hidden="true" name="FDD_98_2" vbProcedure="false">"A31412"</definedName>
    <definedName function="false" hidden="true" name="FDD_98_3" vbProcedure="false">"A31777"</definedName>
    <definedName function="false" hidden="true" name="FDD_98_4" vbProcedure="false">"A32142"</definedName>
    <definedName function="false" hidden="true" name="FDD_98_5" vbProcedure="false">"A32508"</definedName>
    <definedName function="false" hidden="true" name="FDD_98_6" vbProcedure="false">"A32873"</definedName>
    <definedName function="false" hidden="true" name="FDD_98_7" vbProcedure="false">"A33238"</definedName>
    <definedName function="false" hidden="true" name="FDD_98_8" vbProcedure="false">"A33603"</definedName>
    <definedName function="false" hidden="true" name="FDD_98_9" vbProcedure="false">"A33969"</definedName>
    <definedName function="false" hidden="true" name="FDD_99_0" vbProcedure="false">"U30681"</definedName>
    <definedName function="false" hidden="true" name="FDD_99_1" vbProcedure="false">"A31047"</definedName>
    <definedName function="false" hidden="true" name="FDD_99_10" vbProcedure="false">"A34334"</definedName>
    <definedName function="false" hidden="true" name="FDD_99_11" vbProcedure="false">"A34699"</definedName>
    <definedName function="false" hidden="true" name="FDD_99_12" vbProcedure="false">"A35064"</definedName>
    <definedName function="false" hidden="true" name="FDD_99_13" vbProcedure="false">"A35430"</definedName>
    <definedName function="false" hidden="true" name="FDD_99_14" vbProcedure="false">"A35795"</definedName>
    <definedName function="false" hidden="true" name="FDD_99_2" vbProcedure="false">"A31412"</definedName>
    <definedName function="false" hidden="true" name="FDD_99_3" vbProcedure="false">"A31777"</definedName>
    <definedName function="false" hidden="true" name="FDD_99_4" vbProcedure="false">"A32142"</definedName>
    <definedName function="false" hidden="true" name="FDD_99_5" vbProcedure="false">"A32508"</definedName>
    <definedName function="false" hidden="true" name="FDD_99_6" vbProcedure="false">"A32873"</definedName>
    <definedName function="false" hidden="true" name="FDD_99_7" vbProcedure="false">"A33238"</definedName>
    <definedName function="false" hidden="true" name="FDD_99_8" vbProcedure="false">"A33603"</definedName>
    <definedName function="false" hidden="true" name="FDD_99_9" vbProcedure="false">"A33969"</definedName>
    <definedName function="false" hidden="true" name="FDD_9_0" vbProcedure="false">"A25569"</definedName>
    <definedName function="false" hidden="true" name="FDD_9_1" vbProcedure="false">"E35795"</definedName>
    <definedName function="false" hidden="true" name="FDD_9_2" vbProcedure="false">"E36160"</definedName>
    <definedName function="false" hidden="true" name="FDD_9_3" vbProcedure="false">"E36525"</definedName>
    <definedName function="false" hidden="true" name="fdhfdh" vbProcedure="false">{"First Page",#N/A,FALSE,"Surfactants LBO";"Second Page",#N/A,FALSE,"Surfactants LBO"}</definedName>
    <definedName function="false" hidden="true" name="fdhfghfdh" vbProcedure="false">{"First Page",#N/A,FALSE,"Surfactants LBO";"Second Page",#N/A,FALSE,"Surfactants LBO"}</definedName>
    <definedName function="false" hidden="true" name="fdsf" vbProcedure="false">{"general",#N/A,FALSE,"Assumptions"}</definedName>
    <definedName function="false" hidden="true" name="fdsf2" vbProcedure="false">{"general",#N/A,FALSE,"Assumptions"}</definedName>
    <definedName function="false" hidden="true" name="fdv" vbProcedure="false">{"quarterly",#N/A,FALSE,"Income Statement";#N/A,#N/A,FALSE,"print segment";#N/A,#N/A,FALSE,"Balance Sheet";#N/A,#N/A,FALSE,"Annl Inc";#N/A,#N/A,FALSE,"Cash Flow"}</definedName>
    <definedName function="false" hidden="true" name="ff" vbProcedure="false">{"PL_YEARLY",#N/A,FALSE,"PL";"PL_Y1",#N/A,FALSE,"PL";"PL_Y2",#N/A,FALSE,"PL";"PL_Y3",#N/A,FALSE,"PL";"PL_Y4",#N/A,FALSE,"PL";"PL_Y5",#N/A,FALSE,"PL";"PL_Y6",#N/A,FALSE,"PL"}</definedName>
    <definedName function="false" hidden="true" name="ffff" vbProcedure="false">{"comps",#N/A,FALSE,"comps";"notes",#N/A,FALSE,"comps"}</definedName>
    <definedName function="false" hidden="true" name="ffffff"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name="ffffffffff" vbProcedure="false">{"sales",#N/A,FALSE,"Sales";"sales existing",#N/A,FALSE,"Sales";"sales rd1",#N/A,FALSE,"Sales";"sales rd2",#N/A,FALSE,"Sales"}</definedName>
    <definedName function="false" hidden="true" name="fgfghgh" vbProcedure="false">{0}</definedName>
    <definedName function="false" hidden="true" name="FGHSDFH"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fgnmfgbn" vbProcedure="false">{0}</definedName>
    <definedName function="false" hidden="true" name="FH"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FHDFFGH"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Final_Summary"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name="FINANCING_CASH" vbProcedure="false">"FINANCING_CASH"</definedName>
    <definedName function="false" hidden="true" name="Find"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name="fins1" vbProcedure="false">{#N/A,#N/A,FALSE,"Calc";#N/A,#N/A,FALSE,"Sensitivity";#N/A,#N/A,FALSE,"LT Earn.Dil.";#N/A,#N/A,FALSE,"Dil. AVP"}</definedName>
    <definedName function="false" hidden="true" name="fjEFIEHFHF"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name="fntrn" vbProcedure="false">{#N/A,#N/A,TRUE,"Summary";#N/A,#N/A,TRUE,"Detail"}</definedName>
    <definedName function="false" hidden="true" name="forecast" vbProcedure="false">{"cover a","1q",FALSE,"Cover";"Op Earn Mgd Q1",#N/A,FALSE,"Op-Earn (Mng)";"Op Earn Rpt Q1",#N/A,FALSE,"Op-Earn (Rpt)";"Loans",#N/A,FALSE,"Loans";"Credit Costs",#N/A,FALSE,"CCosts";"Net Interest Margin",#N/A,FALSE,"Margin";"Nonint Income",#N/A,FALSE,"NonII";"Nonint Exp",#N/A,FALSE,"NonIE";"Valuation",#N/A,FALSE,"Valuation"}</definedName>
    <definedName function="false" hidden="true" name="FOREIGN_EXCHANGE" vbProcedure="false">"FOREIGN_EXCHANGE"</definedName>
    <definedName function="false" hidden="true" name="forget" vbProcedure="false">{#N/A,#N/A,FALSE,"Australia";#N/A,#N/A,FALSE,"Austria";#N/A,#N/A,FALSE,"Belgium";#N/A,#N/A,FALSE,"Canada";#N/A,#N/A,FALSE,"France";#N/A,#N/A,FALSE,"Germany";#N/A,#N/A,FALSE,"Hong Kong";#N/A,#N/A,FALSE,"Italy";#N/A,#N/A,FALSE,"Japan";#N/A,#N/A,FALSE,"Korea";#N/A,#N/A,FALSE,"Mexico";#N/A,#N/A,FALSE,"Poland";#N/A,#N/A,FALSE,"Spain";#N/A,#N/A,FALSE,"Switzerland";#N/A,#N/A,FALSE,"UK"}</definedName>
    <definedName function="false" hidden="true" name="frr" vbProcedure="false">{"pg3 Finished Goods",#N/A,FALSE,"FG - KPIs pg3"}</definedName>
    <definedName function="false" hidden="true" name="fs" vbProcedure="false">{#N/A,#N/A,FALSE,"Qtr Results";#N/A,#N/A,FALSE,"Same Hospital";#N/A,#N/A,FALSE,"Quarterly Earnings Model";#N/A,#N/A,FALSE,"Annual Model"}</definedName>
    <definedName function="false" hidden="true" name="FSDFSDF" vbProcedure="false">#REF!</definedName>
    <definedName function="false" hidden="true" name="fsdfwe" vbProcedure="false">{"comp1",#N/A,FALSE,"COMPS";"footnotes",#N/A,FALSE,"COMPS"}</definedName>
    <definedName function="false" hidden="true" name="fsg" vbProcedure="false">{#N/A,#N/A,TRUE,"Cover His T";#N/A,#N/A,TRUE,"P&amp;L";#N/A,#N/A,TRUE,"BS";#N/A,#N/A,TRUE,"Depreciation";#N/A,#N/A,TRUE,"GRAPHS";#N/A,#N/A,TRUE,"DCF EBITDA Multiple";#N/A,#N/A,TRUE,"DCF Perpetual Growth"}</definedName>
    <definedName function="false" hidden="true" name="FSoPacific" vbProcedure="false">{"BS",#N/A,FALSE,"USA"}</definedName>
    <definedName function="false" hidden="true" name="FTRJKDTR"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fuiufi" vbProcedure="false">{#N/A,#N/A,FALSE,"PL";#N/A,#N/A,FALSE,"BS";#N/A,#N/A,FALSE,"CF"}</definedName>
    <definedName function="false" hidden="true" name="fwe" vbProcedure="false">{"fdsup://directions/FAT Viewer?action=UPDATE&amp;creator=factset&amp;DYN_ARGS=TRUE&amp;DOC_NAME=FAT:FQL_AUDITING_CLIENT_TEMPLATE.FAT&amp;display_string=Audit&amp;VAR:KEY=RARSZYNWHW&amp;VAR:QUERY=RkZfRU5UUlBSX1ZBTF9EQUlMWSg0MDIyMSwsLCwsJ0RJTCcp&amp;WINDOW=FIRST_POPUP&amp;HEIGHT=450&amp;WIDTH=","450&amp;START_MAXIMIZED=FALSE&amp;VAR:CALENDAR=US&amp;VAR:SYMBOL=VPHM&amp;VAR:INDEX=0"}</definedName>
    <definedName function="false" hidden="true" name="FY_DATE" vbProcedure="false">"FY_DATE"</definedName>
    <definedName function="false" hidden="true" name="g.report" vbProcedure="false">{"summary",#N/A,FALSE,"Summary";"transaction",#N/A,FALSE,"Transaction";"sales",#N/A,FALSE,"Sales";"sales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function="false" hidden="true" name="ga" vbProcedure="false">{"PL_YEARLY",#N/A,FALSE,"PL";"PL_Y1",#N/A,FALSE,"PL";"PL_Y2",#N/A,FALSE,"PL";"PL_Y3",#N/A,FALSE,"PL";"PL_Y4",#N/A,FALSE,"PL";"PL_Y5",#N/A,FALSE,"PL";"PL_Y6",#N/A,FALSE,"PL"}</definedName>
    <definedName function="false" hidden="true" name="gaa" vbProcedure="false">{"PL_YEARLY",#N/A,FALSE,"PL";"PL_Y1",#N/A,FALSE,"PL";"PL_Y2",#N/A,FALSE,"PL";"PL_Y3",#N/A,FALSE,"PL";"PL_Y4",#N/A,FALSE,"PL";"PL_Y5",#N/A,FALSE,"PL";"PL_Y6",#N/A,FALSE,"PL"}</definedName>
    <definedName function="false" hidden="true" name="GAIN_SALE_ASSETS" vbProcedure="false">"GAIN_SALE_ASSETS"</definedName>
    <definedName function="false" hidden="true" name="gasgasg"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gd" vbProcedure="false">{"fdsup://directions/FAT Viewer?action=UPDATE&amp;creator=factset&amp;DYN_ARGS=TRUE&amp;DOC_NAME=FAT:FQL_AUDITING_CLIENT_TEMPLATE.FAT&amp;display_string=Audit&amp;VAR:KEY=LQDGFOBOHG&amp;VAR:QUERY=RkZfRU5UUlBSX1ZBTF9EQUlMWSg0MDIyMSwsLCwsJ0RJTCcp&amp;WINDOW=FIRST_POPUP&amp;HEIGHT=450&amp;WIDTH=","450&amp;START_MAXIMIZED=FALSE&amp;VAR:CALENDAR=US&amp;VAR:SYMBOL=AMAG&amp;VAR:INDEX=0"}</definedName>
    <definedName function="false" hidden="true" name="gde"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gdn" vbProcedure="false">{"BS_YEARLY",#N/A,FALSE,"BS";"BS_Y1",#N/A,FALSE,"BS";"BS_Y2",#N/A,FALSE,"BS";"BS_Y3",#N/A,FALSE,"BS";"BS_Y4",#N/A,FALSE,"BS";"BS_Y5",#N/A,FALSE,"BS";"BS_Y6",#N/A,FALSE,"BS"}</definedName>
    <definedName function="false" hidden="true" name="George" vbProcedure="false">#REF!</definedName>
    <definedName function="false" hidden="true" name="gf"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gfh" vbProcedure="false">{"CF_YEARLY",#N/A,FALSE,"CF";"CF_Y1",#N/A,FALSE,"CF";"CF_Y2",#N/A,FALSE,"CF";"CF_Y3",#N/A,FALSE,"CF";"CF_Y4",#N/A,FALSE,"CF";"CF_Y5",#N/A,FALSE,"CF";"CF_Y6",#N/A,FALSE,"CF"}</definedName>
    <definedName function="false" hidden="true" name="gg"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true" name="ggf" vbProcedure="false">{"comps",#N/A,FALSE,"comps";"notes",#N/A,FALSE,"comps"}</definedName>
    <definedName function="false" hidden="true" name="GGG" vbProcedure="false">{"quartfin",#N/A,FALSE,"quartfin"}</definedName>
    <definedName function="false" hidden="true" name="GGGH" vbProcedure="false">{"stepel",#N/A,FALSE,"AHFSTEP"}</definedName>
    <definedName function="false" hidden="true" name="GGHH" vbProcedure="false">{#N/A,#N/A,FALSE,"ARCYLD"}</definedName>
    <definedName function="false" hidden="true" name="ggrgrgsea"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gimp" vbProcedure="false">{"general",#N/A,FALSE,"Assumptions"}</definedName>
    <definedName function="false" hidden="true" name="gkn" vbProcedure="false">{#N/A,#N/A,FALSE,"COVER PAGE";#N/A,#N/A,FALSE,"Page 2";#N/A,#N/A,FALSE,"Page 2";#N/A,#N/A,FALSE,"Page 4";#N/A,#N/A,FALSE,"Page5";#N/A,#N/A,FALSE,"Page 6";#N/A,#N/A,FALSE,"Page 7";#N/A,#N/A,FALSE,"Page 8";#N/A,#N/A,FALSE,"Page 10";#N/A,#N/A,FALSE,"Long-Term OCF Mult.";#N/A,#N/A,FALSE,"PCS Comp";#N/A,#N/A,FALSE,"OCS-CAPEX";#N/A,#N/A,FALSE,"Blank"}</definedName>
    <definedName function="false" hidden="true" name="glsglsglsls"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GOODWILL_NET" vbProcedure="false">"GOODWILL_NET"</definedName>
    <definedName function="false" hidden="true" name="grafici" vbProcedure="false">{#N/A,#N/A,FALSE,"SAFILOR"}</definedName>
    <definedName function="false" hidden="true" name="gre" vbProcedure="false">{"fdsup://directions/FAT Viewer?action=UPDATE&amp;creator=factset&amp;DYN_ARGS=TRUE&amp;DOC_NAME=FAT:FQL_AUDITING_CLIENT_TEMPLATE.FAT&amp;display_string=Audit&amp;VAR:KEY=RARSZYNWHW&amp;VAR:QUERY=RkZfRU5UUlBSX1ZBTF9EQUlMWSg0MDIyMSwsLCwsJ0RJTCcp&amp;WINDOW=FIRST_POPUP&amp;HEIGHT=450&amp;WIDTH=","450&amp;START_MAXIMIZED=FALSE&amp;VAR:CALENDAR=US&amp;VAR:SYMBOL=VPHM&amp;VAR:INDEX=0"}</definedName>
    <definedName function="false" hidden="true" name="GROSS_DIVID" vbProcedure="false">"GROSS_DIVID"</definedName>
    <definedName function="false" hidden="true" name="GROSS_MARGIN" vbProcedure="false">"GROSS_MARGIN"</definedName>
    <definedName function="false" hidden="true" name="GROSS_PROFIT" vbProcedure="false">"GROSS_PROFIT"</definedName>
    <definedName function="false" hidden="true" name="grph" vbProcedure="false">#REF!</definedName>
    <definedName function="false" hidden="true" name="gs" vbProcedure="false">{#N/A,#N/A,FALSE,"Qtr Results";#N/A,#N/A,FALSE,"Same Hospital";#N/A,#N/A,FALSE,"Quarterly Earnings Model";#N/A,#N/A,FALSE,"Annual Model"}</definedName>
    <definedName function="false" hidden="true" name="gsn.p1" vbProcedure="false">{"pg2 Cannery Total",#N/A,FALSE,"FG pg2";"pg2 Finished Goods",#N/A,FALSE,"FG pg2";"pg2 Paste",#N/A,FALSE,"FG pg2"}</definedName>
    <definedName function="false" hidden="true" name="gsn.p1.1" vbProcedure="false">{"pg2 Cannery Total",#N/A,FALSE,"FG pg2";"pg2 Finished Goods",#N/A,FALSE,"FG pg2";"pg2 Paste",#N/A,FALSE,"FG pg2"}</definedName>
    <definedName function="false" hidden="true" name="gtedf"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GTRERT"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guidance"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guide"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guide2"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gvdg" vbProcedure="false">{0}</definedName>
    <definedName function="false" hidden="true" name="h" vbProcedure="false">{"'TFC (new)'!$E$1:$K$51"}</definedName>
    <definedName function="false" hidden="true" name="hbWRhbezrh" vbProcedure="false">{0,0,0,0;0,0,0,0}</definedName>
    <definedName function="false" hidden="true" name="hdsgdeghf"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heh"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Help" vbProcedure="false">{#N/A,#N/A,FALSE,"COVER PAGE";#N/A,#N/A,FALSE,"Page 2";#N/A,#N/A,FALSE,"Page 2";#N/A,#N/A,FALSE,"Page 4";#N/A,#N/A,FALSE,"Page5";#N/A,#N/A,FALSE,"Page 6";#N/A,#N/A,FALSE,"Page 7";#N/A,#N/A,FALSE,"Page 8";#N/A,#N/A,FALSE,"Page 10";#N/A,#N/A,FALSE,"Long-Term OCF Mult.";#N/A,#N/A,FALSE,"PCS Comp";#N/A,#N/A,FALSE,"OCS-CAPEX";#N/A,#N/A,FALSE,"Blank"}</definedName>
    <definedName function="false" hidden="true" name="hg" vbProcedure="false">{"Build1",#N/A,FALSE,"Buildup";"Build2",#N/A,FALSE,"Buildup";"Build3",#N/A,FALSE,"Buildup"}</definedName>
    <definedName function="false" hidden="true" name="HGJ" vbProcedure="false">{#N/A,#N/A,FALSE,"ARCYLD"}</definedName>
    <definedName function="false" hidden="true" name="hgnedztgnz" vbProcedure="false">{0}</definedName>
    <definedName function="false" hidden="true" name="hh" vbProcedure="false">{"Header",#N/A,TRUE,"Summary";"ProjectInfo",#N/A,TRUE,"Total Value"}</definedName>
    <definedName function="false" hidden="true" name="hhh" vbProcedure="false">{#N/A,#N/A,FALSE,"Intro";#N/A,#N/A,FALSE,"Para";#N/A,#N/A,FALSE,"Summary";#N/A,#N/A,FALSE,"Major";#N/A,#N/A,FALSE,"PL";#N/A,#N/A,FALSE,"BS";#N/A,#N/A,FALSE,"CF";#N/A,#N/A,FALSE,"Ratio";#N/A,#N/A,FALSE,"Evaluate";#N/A,#N/A,FALSE,"NPV";#N/A,#N/A,FALSE,"Option";#N/A,#N/A,FALSE,"GSale";#N/A,#N/A,FALSE,"Sample";#N/A,#N/A,FALSE,"COGS";#N/A,#N/A,FALSE,"Rebate";#N/A,#N/A,FALSE,"Deduction";#N/A,#N/A,FALSE,"SP";#N/A,#N/A,FALSE,"RD"}</definedName>
    <definedName function="false" hidden="true" name="hhhh1" vbProcedure="false">{"pg3 Finished Goods",#N/A,FALSE,"FG - KPIs pg3"}</definedName>
    <definedName function="false" hidden="true" name="hhhhh" vbProcedure="false">{"pg3 Finished Goods",#N/A,FALSE,"FG - KPIs pg3"}</definedName>
    <definedName function="false" hidden="true" name="hhhsdf" vbProcedure="false">{"up stand alones",#N/A,FALSE,"Acquiror"}</definedName>
    <definedName function="false" hidden="true" name="hhhsdf1" vbProcedure="false">{"up stand alones",#N/A,FALSE,"Acquiror"}</definedName>
    <definedName function="false" hidden="true" name="HHIhs" vbProcedure="false">{"short1",#N/A,FALSE,"masmode";"short2",#N/A,FALSE,"masmode";"qtrres",#N/A,FALSE,"QTR. RES.";"sales",#N/A,FALSE,"Sales &amp; Market Share"}</definedName>
    <definedName function="false" hidden="true" name="HIGHPRICE" vbProcedure="false">"HIGHPRICE"</definedName>
    <definedName function="false" hidden="true" name="hj" vbProcedure="false">{"Build1",#N/A,FALSE,"Buildup";"Build2",#N/A,FALSE,"Buildup";"Build3",#N/A,FALSE,"Buildup"}</definedName>
    <definedName function="false" hidden="true" name="hjhjhjhjhjhj"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hk" vbProcedure="false">{"'Directory'!$A$72:$E$91"}</definedName>
    <definedName function="false" hidden="true" name="hm" vbProcedure="false">{0}</definedName>
    <definedName function="false" hidden="true" name="hmopo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true" name="HMTL" vbProcedure="false">{"'TFC (new)'!$E$1:$K$51"}</definedName>
    <definedName function="false" hidden="true" name="hn.ExtDb" vbProcedure="false">FALSE()</definedName>
    <definedName function="false" hidden="true" name="hn.ModelType" vbProcedure="false">"DEAL"</definedName>
    <definedName function="false" hidden="true" name="hn.ModelVersion" vbProcedure="false">1</definedName>
    <definedName function="false" hidden="true" name="hn.NoUpload" vbProcedure="false">0</definedName>
    <definedName function="false" hidden="true" name="hn.RolledForward" vbProcedure="false">FALSE()</definedName>
    <definedName function="false" hidden="true" name="hntyn" vbProcedure="false">{0}</definedName>
    <definedName function="false" hidden="true" name="hog" vbProcedure="false">{#N/A,#N/A,FALSE,"PL";#N/A,#N/A,FALSE,"BS";#N/A,#N/A,FALSE,"CF"}</definedName>
    <definedName function="false" hidden="true" name="HOLA" vbProcedure="false">{"AR",#N/A,FALSE,"ASMGTSUM";"INV",#N/A,FALSE,"ASMGTSUM";"HCCOMP",#N/A,FALSE,"ASMGTSUM";"cap.depr",#N/A,FALSE,"ASMGTSUM"}</definedName>
    <definedName function="false" hidden="true" name="Hol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htgh"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htht"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HTML1" vbProcedure="false">{"'Trend_Total'!$A$7:$V$10","'Trend_Total'!$A$1:$V$4"}</definedName>
    <definedName function="false" hidden="true" name="HTML10_1" vbProcedure="false">"[intrweek.xls]AllergyVolume!$A$1:$I$58"</definedName>
    <definedName function="false" hidden="true" name="HTML10_10" vbProcedure="false">""</definedName>
    <definedName function="false" hidden="true" name="HTML10_11" vbProcedure="false">1</definedName>
    <definedName function="false" hidden="true" name="HTML10_12" vbProcedure="false">"S:\MKTRESCH\SCHERING\INTRANET\mktresch\weekmkts\wkvolume.htm"</definedName>
    <definedName function="false" hidden="true" name="HTML10_2" vbProcedure="false">1</definedName>
    <definedName function="false" hidden="true" name="HTML10_3" vbProcedure="false">"Weekly Antihistamine Volume Report"</definedName>
    <definedName function="false" hidden="true" name="HTML10_4" vbProcedure="false">""</definedName>
    <definedName function="false" hidden="true" name="HTML10_5" vbProcedure="false">""</definedName>
    <definedName function="false" hidden="true" name="HTML10_6" vbProcedure="false">-4146</definedName>
    <definedName function="false" hidden="true" name="HTML10_7" vbProcedure="false">-4146</definedName>
    <definedName function="false" hidden="true" name="HTML10_8" vbProcedure="false">"7/13/98"</definedName>
    <definedName function="false" hidden="true" name="HTML10_9" vbProcedure="false">"James Grote"</definedName>
    <definedName function="false" hidden="true" name="HTML11_1" vbProcedure="false">"'[intrweek.xls]NRx Page'!$A$1:$H$225"</definedName>
    <definedName function="false" hidden="true" name="HTML11_10" vbProcedure="false">""</definedName>
    <definedName function="false" hidden="true" name="HTML11_11" vbProcedure="false">1</definedName>
    <definedName function="false" hidden="true" name="HTML11_12" vbProcedure="false">"S:\MKTRESCH\SCHERING\INTRANET\mktresch\weekmkts\weeknrxs.htm"</definedName>
    <definedName function="false" hidden="true" name="HTML11_2" vbProcedure="false">1</definedName>
    <definedName function="false" hidden="true" name="HTML11_3" vbProcedure="false">"Weekly New Prescription Report"</definedName>
    <definedName function="false" hidden="true" name="HTML11_4" vbProcedure="false">""</definedName>
    <definedName function="false" hidden="true" name="HTML11_5" vbProcedure="false">""</definedName>
    <definedName function="false" hidden="true" name="HTML11_6" vbProcedure="false">-4146</definedName>
    <definedName function="false" hidden="true" name="HTML11_7" vbProcedure="false">-4146</definedName>
    <definedName function="false" hidden="true" name="HTML11_8" vbProcedure="false">"6/5/98"</definedName>
    <definedName function="false" hidden="true" name="HTML11_9" vbProcedure="false">"James Grote"</definedName>
    <definedName function="false" hidden="true" name="HTML12_1" vbProcedure="false">"'[intrweek.xls]TRx Page'!$A$1:$H$240"</definedName>
    <definedName function="false" hidden="true" name="HTML12_10" vbProcedure="false">""</definedName>
    <definedName function="false" hidden="true" name="HTML12_11" vbProcedure="false">1</definedName>
    <definedName function="false" hidden="true" name="HTML12_12" vbProcedure="false">"S:\MKTRESCH\SCHERING\INTRANET\mktresch\weekmkts\weektrxs.htm"</definedName>
    <definedName function="false" hidden="true" name="HTML12_2" vbProcedure="false">1</definedName>
    <definedName function="false" hidden="true" name="HTML12_3" vbProcedure="false">"Weekly Total Prescription Report"</definedName>
    <definedName function="false" hidden="true" name="HTML12_4" vbProcedure="false">" "</definedName>
    <definedName function="false" hidden="true" name="HTML12_5" vbProcedure="false">""</definedName>
    <definedName function="false" hidden="true" name="HTML12_6" vbProcedure="false">-4146</definedName>
    <definedName function="false" hidden="true" name="HTML12_7" vbProcedure="false">-4146</definedName>
    <definedName function="false" hidden="true" name="HTML12_8" vbProcedure="false">"7/6/98"</definedName>
    <definedName function="false" hidden="true" name="HTML12_9" vbProcedure="false">"James Grote"</definedName>
    <definedName function="false" hidden="true" name="HTML13_1" vbProcedure="false">"'[intrweek.xls]NRx Page'!$A$1:$H$239"</definedName>
    <definedName function="false" hidden="true" name="HTML13_10" vbProcedure="false">""</definedName>
    <definedName function="false" hidden="true" name="HTML13_11" vbProcedure="false">1</definedName>
    <definedName function="false" hidden="true" name="HTML13_12" vbProcedure="false">"S:\MKTRESCH\SCHERING\INTRANET\mktresch\weekmkts\weeknrxs.htm"</definedName>
    <definedName function="false" hidden="true" name="HTML13_2" vbProcedure="false">1</definedName>
    <definedName function="false" hidden="true" name="HTML13_3" vbProcedure="false">"Weekly New Prescription Report"</definedName>
    <definedName function="false" hidden="true" name="HTML13_4" vbProcedure="false">""</definedName>
    <definedName function="false" hidden="true" name="HTML13_5" vbProcedure="false">""</definedName>
    <definedName function="false" hidden="true" name="HTML13_6" vbProcedure="false">-4146</definedName>
    <definedName function="false" hidden="true" name="HTML13_7" vbProcedure="false">-4146</definedName>
    <definedName function="false" hidden="true" name="HTML13_8" vbProcedure="false">"7/6/98"</definedName>
    <definedName function="false" hidden="true" name="HTML13_9" vbProcedure="false">"James Grote"</definedName>
    <definedName function="false" hidden="true" name="HTML14_1" vbProcedure="false">"'[intrweek.xls]AllergyVolume (TRx)'!$A$1:$I$58"</definedName>
    <definedName function="false" hidden="true" name="HTML14_10" vbProcedure="false">""</definedName>
    <definedName function="false" hidden="true" name="HTML14_11" vbProcedure="false">1</definedName>
    <definedName function="false" hidden="true" name="HTML14_12" vbProcedure="false">"S:\MKTRESCH\SCHERING\INTRANET\mktresch\weekmkts\wkvolum2.htm"</definedName>
    <definedName function="false" hidden="true" name="HTML14_2" vbProcedure="false">1</definedName>
    <definedName function="false" hidden="true" name="HTML14_3" vbProcedure="false">"Weekly TRx Volume"</definedName>
    <definedName function="false" hidden="true" name="HTML14_4" vbProcedure="false">""</definedName>
    <definedName function="false" hidden="true" name="HTML14_5" vbProcedure="false">""</definedName>
    <definedName function="false" hidden="true" name="HTML14_6" vbProcedure="false">-4146</definedName>
    <definedName function="false" hidden="true" name="HTML14_7" vbProcedure="false">-4146</definedName>
    <definedName function="false" hidden="true" name="HTML14_8" vbProcedure="false">"6/19/98"</definedName>
    <definedName function="false" hidden="true" name="HTML14_9" vbProcedure="false">"James Grote"</definedName>
    <definedName function="false" hidden="true" name="HTML15_1" vbProcedure="false">"'[intrweek.xls]AllergyVolume (TRx)'!$A$1:$I$57"</definedName>
    <definedName function="false" hidden="true" name="HTML15_10" vbProcedure="false">""</definedName>
    <definedName function="false" hidden="true" name="HTML15_11" vbProcedure="false">1</definedName>
    <definedName function="false" hidden="true" name="HTML15_12" vbProcedure="false">"S:\MKTRESCH\SCHERING\INTRANET\mktresch\weekmkts\wkvolum2.htm"</definedName>
    <definedName function="false" hidden="true" name="HTML15_2" vbProcedure="false">1</definedName>
    <definedName function="false" hidden="true" name="HTML15_3" vbProcedure="false">"Weekly TRx Volume"</definedName>
    <definedName function="false" hidden="true" name="HTML15_4" vbProcedure="false">""</definedName>
    <definedName function="false" hidden="true" name="HTML15_5" vbProcedure="false">""</definedName>
    <definedName function="false" hidden="true" name="HTML15_6" vbProcedure="false">-4146</definedName>
    <definedName function="false" hidden="true" name="HTML15_7" vbProcedure="false">-4146</definedName>
    <definedName function="false" hidden="true" name="HTML15_8" vbProcedure="false">"7/13/98"</definedName>
    <definedName function="false" hidden="true" name="HTML15_9" vbProcedure="false">"James Grote"</definedName>
    <definedName function="false" hidden="true" name="HTML16_1" vbProcedure="false">"[intrweek.xls]AllergyVolume!$A$1:$I$54"</definedName>
    <definedName function="false" hidden="true" name="HTML16_10" vbProcedure="false">""</definedName>
    <definedName function="false" hidden="true" name="HTML16_11" vbProcedure="false">1</definedName>
    <definedName function="false" hidden="true" name="HTML16_12" vbProcedure="false">"S:\MKTRESCH\SCHERING\INTRANET\mktresch\weekmkts\wkvolume.htm"</definedName>
    <definedName function="false" hidden="true" name="HTML16_2" vbProcedure="false">1</definedName>
    <definedName function="false" hidden="true" name="HTML16_3" vbProcedure="false">"Weekly Antihistamine NRx Volume"</definedName>
    <definedName function="false" hidden="true" name="HTML16_4" vbProcedure="false">""</definedName>
    <definedName function="false" hidden="true" name="HTML16_5" vbProcedure="false">""</definedName>
    <definedName function="false" hidden="true" name="HTML16_6" vbProcedure="false">-4146</definedName>
    <definedName function="false" hidden="true" name="HTML16_7" vbProcedure="false">-4146</definedName>
    <definedName function="false" hidden="true" name="HTML16_8" vbProcedure="false">"7/6/98"</definedName>
    <definedName function="false" hidden="true" name="HTML16_9" vbProcedure="false">"James Grote"</definedName>
    <definedName function="false" hidden="true" name="HTML17_1" vbProcedure="false">"'[intrweek.xls]NRx Page'!$A$1:$H$240"</definedName>
    <definedName function="false" hidden="true" name="HTML17_10" vbProcedure="false">""</definedName>
    <definedName function="false" hidden="true" name="HTML17_11" vbProcedure="false">1</definedName>
    <definedName function="false" hidden="true" name="HTML17_12" vbProcedure="false">"S:\MKTRESCH\SCHERING\INTRANET\mktresch\weekmkts\weeknrxs.htm"</definedName>
    <definedName function="false" hidden="true" name="HTML17_2" vbProcedure="false">1</definedName>
    <definedName function="false" hidden="true" name="HTML17_3" vbProcedure="false">"Weekly NRx Page"</definedName>
    <definedName function="false" hidden="true" name="HTML17_4" vbProcedure="false">""</definedName>
    <definedName function="false" hidden="true" name="HTML17_5" vbProcedure="false">""</definedName>
    <definedName function="false" hidden="true" name="HTML17_6" vbProcedure="false">-4146</definedName>
    <definedName function="false" hidden="true" name="HTML17_7" vbProcedure="false">-4146</definedName>
    <definedName function="false" hidden="true" name="HTML17_8" vbProcedure="false">"7/13/98"</definedName>
    <definedName function="false" hidden="true" name="HTML17_9" vbProcedure="false">"James Grote"</definedName>
    <definedName function="false" hidden="true" name="HTML18_1" vbProcedure="false">"'[intrweek.xls]TRx Page'!$A$1:$H$241"</definedName>
    <definedName function="false" hidden="true" name="HTML18_10" vbProcedure="false">""</definedName>
    <definedName function="false" hidden="true" name="HTML18_11" vbProcedure="false">1</definedName>
    <definedName function="false" hidden="true" name="HTML18_12" vbProcedure="false">"S:\MKTRESCH\SCHERING\INTRANET\mktresch\weekmkts\weektrxs.htm"</definedName>
    <definedName function="false" hidden="true" name="HTML18_2" vbProcedure="false">1</definedName>
    <definedName function="false" hidden="true" name="HTML18_3" vbProcedure="false">"Weekly TRx Page"</definedName>
    <definedName function="false" hidden="true" name="HTML18_4" vbProcedure="false">""</definedName>
    <definedName function="false" hidden="true" name="HTML18_5" vbProcedure="false">""</definedName>
    <definedName function="false" hidden="true" name="HTML18_6" vbProcedure="false">-4146</definedName>
    <definedName function="false" hidden="true" name="HTML18_7" vbProcedure="false">-4146</definedName>
    <definedName function="false" hidden="true" name="HTML18_8" vbProcedure="false">"7/13/98"</definedName>
    <definedName function="false" hidden="true" name="HTML18_9" vbProcedure="false">"James Grote"</definedName>
    <definedName function="false" hidden="true" name="HTML19_1" vbProcedure="false">"'[weekintr.xls]TRx Page'!$A$1:$I$243"</definedName>
    <definedName function="false" hidden="true" name="HTML19_10" vbProcedure="false">""</definedName>
    <definedName function="false" hidden="true" name="HTML19_11" vbProcedure="false">1</definedName>
    <definedName function="false" hidden="true" name="HTML19_12" vbProcedure="false">"S:\MKTRESCH\SCHERING\INTRANET\mktresch\weekmkts\weektrxs.htm"</definedName>
    <definedName function="false" hidden="true" name="HTML19_2" vbProcedure="false">1</definedName>
    <definedName function="false" hidden="true" name="HTML19_3" vbProcedure="false">"Weekly Total Prescription Summary"</definedName>
    <definedName function="false" hidden="true" name="HTML19_4" vbProcedure="false">""</definedName>
    <definedName function="false" hidden="true" name="HTML19_5" vbProcedure="false">""</definedName>
    <definedName function="false" hidden="true" name="HTML19_6" vbProcedure="false">-4146</definedName>
    <definedName function="false" hidden="true" name="HTML19_7" vbProcedure="false">-4146</definedName>
    <definedName function="false" hidden="true" name="HTML19_8" vbProcedure="false">"7/17/98"</definedName>
    <definedName function="false" hidden="true" name="HTML19_9" vbProcedure="false">"James Grote"</definedName>
    <definedName function="false" hidden="true" name="HTML1_1" vbProcedure="false">"'[WEEKSUMZ.xls]Claritin NRX  (2)'!$A$1:$H$245"</definedName>
    <definedName function="false" hidden="true" name="HTML1_10" vbProcedure="false">""</definedName>
    <definedName function="false" hidden="true" name="HTML1_11" vbProcedure="false">1</definedName>
    <definedName function="false" hidden="true" name="HTML1_12" vbProcedure="false">"Aswath:Adobe SiteMill™ 1.0.2:MyHomePage:FCFF3.html"</definedName>
    <definedName function="false" hidden="true" name="HTML1_2" vbProcedure="false">1</definedName>
    <definedName function="false" hidden="true" name="HTML1_3" vbProcedure="false">"FCFF3"</definedName>
    <definedName function="false" hidden="true" name="HTML1_4" vbProcedure="false">"Three-Stage FCFF Model"</definedName>
    <definedName function="false" hidden="true" name="HTML1_5" vbProcedure="false">""</definedName>
    <definedName function="false" hidden="true" name="HTML1_6" vbProcedure="false">-4146</definedName>
    <definedName function="false" hidden="true" name="HTML1_7" vbProcedure="false">-4146</definedName>
    <definedName function="false" hidden="true" name="HTML1_8" vbProcedure="false">"10/22/96"</definedName>
    <definedName function="false" hidden="true" name="HTML1_9" vbProcedure="false">"Aswath Damodaran"</definedName>
    <definedName function="false" hidden="true" name="HTML20_1" vbProcedure="false">"'[intrweek.xls]NRx Page'!$A$1:$H$257"</definedName>
    <definedName function="false" hidden="true" name="HTML20_10" vbProcedure="false">""</definedName>
    <definedName function="false" hidden="true" name="HTML20_11" vbProcedure="false">1</definedName>
    <definedName function="false" hidden="true" name="HTML20_12" vbProcedure="false">"S:\MKTRESCH\INTRANET\weekrx\weeknrxs.htm"</definedName>
    <definedName function="false" hidden="true" name="HTML20_2" vbProcedure="false">1</definedName>
    <definedName function="false" hidden="true" name="HTML20_3" vbProcedure="false">"Weekly New Prescription Page"</definedName>
    <definedName function="false" hidden="true" name="HTML20_4" vbProcedure="false">""</definedName>
    <definedName function="false" hidden="true" name="HTML20_5" vbProcedure="false">""</definedName>
    <definedName function="false" hidden="true" name="HTML20_6" vbProcedure="false">-4146</definedName>
    <definedName function="false" hidden="true" name="HTML20_7" vbProcedure="false">-4146</definedName>
    <definedName function="false" hidden="true" name="HTML20_8" vbProcedure="false">"8/3/98"</definedName>
    <definedName function="false" hidden="true" name="HTML20_9" vbProcedure="false">"James Grote"</definedName>
    <definedName function="false" hidden="true" name="HTML21_1" vbProcedure="false">"'[intrweek.xls]TRx Page'!$A$1:$H$257"</definedName>
    <definedName function="false" hidden="true" name="HTML21_10" vbProcedure="false">""</definedName>
    <definedName function="false" hidden="true" name="HTML21_11" vbProcedure="false">1</definedName>
    <definedName function="false" hidden="true" name="HTML21_12" vbProcedure="false">"S:\MKTRESCH\INTRANET\weekrx\weektrxs.htm"</definedName>
    <definedName function="false" hidden="true" name="HTML21_2" vbProcedure="false">1</definedName>
    <definedName function="false" hidden="true" name="HTML21_3" vbProcedure="false">"Weekly Total Prescription Page"</definedName>
    <definedName function="false" hidden="true" name="HTML21_4" vbProcedure="false">""</definedName>
    <definedName function="false" hidden="true" name="HTML21_5" vbProcedure="false">""</definedName>
    <definedName function="false" hidden="true" name="HTML21_6" vbProcedure="false">-4146</definedName>
    <definedName function="false" hidden="true" name="HTML21_7" vbProcedure="false">-4146</definedName>
    <definedName function="false" hidden="true" name="HTML21_8" vbProcedure="false">"8/3/98"</definedName>
    <definedName function="false" hidden="true" name="HTML21_9" vbProcedure="false">"James Grote"</definedName>
    <definedName function="false" hidden="true" name="HTML22_1" vbProcedure="false">"[intrweek.xls]NRXAllergyVolume!$A$1:$I$54"</definedName>
    <definedName function="false" hidden="true" name="HTML22_10" vbProcedure="false">""</definedName>
    <definedName function="false" hidden="true" name="HTML22_11" vbProcedure="false">1</definedName>
    <definedName function="false" hidden="true" name="HTML22_12" vbProcedure="false">"S:\MKTRESCH\INTRANET\weekrx\wkvolume.htm"</definedName>
    <definedName function="false" hidden="true" name="HTML22_2" vbProcedure="false">1</definedName>
    <definedName function="false" hidden="true" name="HTML22_3" vbProcedure="false">"Weekly Antihistamine NRx Volume"</definedName>
    <definedName function="false" hidden="true" name="HTML22_4" vbProcedure="false">""</definedName>
    <definedName function="false" hidden="true" name="HTML22_5" vbProcedure="false">""</definedName>
    <definedName function="false" hidden="true" name="HTML22_6" vbProcedure="false">-4146</definedName>
    <definedName function="false" hidden="true" name="HTML22_7" vbProcedure="false">-4146</definedName>
    <definedName function="false" hidden="true" name="HTML22_8" vbProcedure="false">"8/3/98"</definedName>
    <definedName function="false" hidden="true" name="HTML22_9" vbProcedure="false">"James Grote"</definedName>
    <definedName function="false" hidden="true" name="HTML23_1" vbProcedure="false">"'[intrweek.xls]TRXAllergyVolume (2)'!$A$1:$I$54"</definedName>
    <definedName function="false" hidden="true" name="HTML23_10" vbProcedure="false">""</definedName>
    <definedName function="false" hidden="true" name="HTML23_11" vbProcedure="false">1</definedName>
    <definedName function="false" hidden="true" name="HTML23_12" vbProcedure="false">"S:\MKTRESCH\INTRANET\weekrx\wkvolum2.htm"</definedName>
    <definedName function="false" hidden="true" name="HTML23_2" vbProcedure="false">1</definedName>
    <definedName function="false" hidden="true" name="HTML23_3" vbProcedure="false">"Weekly Antihistamine TRx Volume"</definedName>
    <definedName function="false" hidden="true" name="HTML23_4" vbProcedure="false">""</definedName>
    <definedName function="false" hidden="true" name="HTML23_5" vbProcedure="false">""</definedName>
    <definedName function="false" hidden="true" name="HTML23_6" vbProcedure="false">-4146</definedName>
    <definedName function="false" hidden="true" name="HTML23_7" vbProcedure="false">-4146</definedName>
    <definedName function="false" hidden="true" name="HTML23_8" vbProcedure="false">"8/3/98"</definedName>
    <definedName function="false" hidden="true" name="HTML23_9" vbProcedure="false">"James Grote"</definedName>
    <definedName function="false" hidden="true" name="HTML24_1" vbProcedure="false">"'[intrweek.xls]NRx Page'!$A$1:$H$222"</definedName>
    <definedName function="false" hidden="true" name="HTML24_10" vbProcedure="false">""</definedName>
    <definedName function="false" hidden="true" name="HTML24_11" vbProcedure="false">1</definedName>
    <definedName function="false" hidden="true" name="HTML24_12" vbProcedure="false">"S:\MKTRESCH\INTRANET\htmsum\weeknrxs.htm"</definedName>
    <definedName function="false" hidden="true" name="HTML24_2" vbProcedure="false">1</definedName>
    <definedName function="false" hidden="true" name="HTML24_3" vbProcedure="false">"Weekly NRx Report"</definedName>
    <definedName function="false" hidden="true" name="HTML24_4" vbProcedure="false">""</definedName>
    <definedName function="false" hidden="true" name="HTML24_5" vbProcedure="false">""</definedName>
    <definedName function="false" hidden="true" name="HTML24_6" vbProcedure="false">-4146</definedName>
    <definedName function="false" hidden="true" name="HTML24_7" vbProcedure="false">-4146</definedName>
    <definedName function="false" hidden="true" name="HTML24_8" vbProcedure="false">"8/10/98"</definedName>
    <definedName function="false" hidden="true" name="HTML24_9" vbProcedure="false">"James Grote"</definedName>
    <definedName function="false" hidden="true" name="HTML25_1" vbProcedure="false">"'[intrweek.xls]TRx Page'!$A$1:$H$222"</definedName>
    <definedName function="false" hidden="true" name="HTML25_10" vbProcedure="false">""</definedName>
    <definedName function="false" hidden="true" name="HTML25_11" vbProcedure="false">1</definedName>
    <definedName function="false" hidden="true" name="HTML25_12" vbProcedure="false">"S:\MKTRESCH\INTRANET\htmsum\weektrxs.htm"</definedName>
    <definedName function="false" hidden="true" name="HTML25_2" vbProcedure="false">1</definedName>
    <definedName function="false" hidden="true" name="HTML25_3" vbProcedure="false">"Weekly TRx Report"</definedName>
    <definedName function="false" hidden="true" name="HTML25_4" vbProcedure="false">""</definedName>
    <definedName function="false" hidden="true" name="HTML25_5" vbProcedure="false">""</definedName>
    <definedName function="false" hidden="true" name="HTML25_6" vbProcedure="false">-4146</definedName>
    <definedName function="false" hidden="true" name="HTML25_7" vbProcedure="false">-4146</definedName>
    <definedName function="false" hidden="true" name="HTML25_8" vbProcedure="false">"8/10/98"</definedName>
    <definedName function="false" hidden="true" name="HTML25_9" vbProcedure="false">"James Grote"</definedName>
    <definedName function="false" hidden="true" name="HTML26_1" vbProcedure="false">"[intrweek.xls]NRXAllergyVolume!$A$1:$I$47"</definedName>
    <definedName function="false" hidden="true" name="HTML26_10" vbProcedure="false">""</definedName>
    <definedName function="false" hidden="true" name="HTML26_11" vbProcedure="false">1</definedName>
    <definedName function="false" hidden="true" name="HTML26_12" vbProcedure="false">"S:\MKTRESCH\INTRANET\htmsum\wkvolnrx.htm"</definedName>
    <definedName function="false" hidden="true" name="HTML26_2" vbProcedure="false">1</definedName>
    <definedName function="false" hidden="true" name="HTML26_3" vbProcedure="false">"Weekly New Antihistamine Volume"</definedName>
    <definedName function="false" hidden="true" name="HTML26_4" vbProcedure="false">""</definedName>
    <definedName function="false" hidden="true" name="HTML26_5" vbProcedure="false">""</definedName>
    <definedName function="false" hidden="true" name="HTML26_6" vbProcedure="false">-4146</definedName>
    <definedName function="false" hidden="true" name="HTML26_7" vbProcedure="false">-4146</definedName>
    <definedName function="false" hidden="true" name="HTML26_8" vbProcedure="false">"9/7/98"</definedName>
    <definedName function="false" hidden="true" name="HTML26_9" vbProcedure="false">"James Grote"</definedName>
    <definedName function="false" hidden="true" name="HTML27_1" vbProcedure="false">"[intrweek.xls]TRXAllergyVolume!$A$1:$I$47"</definedName>
    <definedName function="false" hidden="true" name="HTML27_10" vbProcedure="false">""</definedName>
    <definedName function="false" hidden="true" name="HTML27_11" vbProcedure="false">1</definedName>
    <definedName function="false" hidden="true" name="HTML27_12" vbProcedure="false">"S:\MKTRESCH\INTRANET\htmsum\wkvoltrx.htm"</definedName>
    <definedName function="false" hidden="true" name="HTML27_2" vbProcedure="false">1</definedName>
    <definedName function="false" hidden="true" name="HTML27_3" vbProcedure="false">"Weekly Total Antihistamine Volume"</definedName>
    <definedName function="false" hidden="true" name="HTML27_4" vbProcedure="false">""</definedName>
    <definedName function="false" hidden="true" name="HTML27_5" vbProcedure="false">""</definedName>
    <definedName function="false" hidden="true" name="HTML27_6" vbProcedure="false">-4146</definedName>
    <definedName function="false" hidden="true" name="HTML27_7" vbProcedure="false">-4146</definedName>
    <definedName function="false" hidden="true" name="HTML27_8" vbProcedure="false">"9/7/98"</definedName>
    <definedName function="false" hidden="true" name="HTML27_9" vbProcedure="false">"James Grote"</definedName>
    <definedName function="false" hidden="true" name="HTML28_1" vbProcedure="false">"'[intrweek.xls]TRx Page'!$A$1:$H$221"</definedName>
    <definedName function="false" hidden="true" name="HTML28_10" vbProcedure="false">""</definedName>
    <definedName function="false" hidden="true" name="HTML28_11" vbProcedure="false">1</definedName>
    <definedName function="false" hidden="true" name="HTML28_12" vbProcedure="false">"S:\MKTRESCH\INTRANET\htmsum\weektrxs.htm"</definedName>
    <definedName function="false" hidden="true" name="HTML28_2" vbProcedure="false">1</definedName>
    <definedName function="false" hidden="true" name="HTML28_3" vbProcedure="false">"Weekly TRx Report"</definedName>
    <definedName function="false" hidden="true" name="HTML28_4" vbProcedure="false">""</definedName>
    <definedName function="false" hidden="true" name="HTML28_5" vbProcedure="false">""</definedName>
    <definedName function="false" hidden="true" name="HTML28_6" vbProcedure="false">-4146</definedName>
    <definedName function="false" hidden="true" name="HTML28_7" vbProcedure="false">-4146</definedName>
    <definedName function="false" hidden="true" name="HTML28_8" vbProcedure="false">"8/10/98"</definedName>
    <definedName function="false" hidden="true" name="HTML28_9" vbProcedure="false">"James Grote"</definedName>
    <definedName function="false" hidden="true" name="HTML29_1" vbProcedure="false">"'[intrweek.xls]NRx Page'!$A$1:$H$220"</definedName>
    <definedName function="false" hidden="true" name="HTML29_10" vbProcedure="false">""</definedName>
    <definedName function="false" hidden="true" name="HTML29_11" vbProcedure="false">1</definedName>
    <definedName function="false" hidden="true" name="HTML29_12" vbProcedure="false">"S:\MKTRESCH\INTRANET\htmsum\weeknrxs.htm"</definedName>
    <definedName function="false" hidden="true" name="HTML29_2" vbProcedure="false">1</definedName>
    <definedName function="false" hidden="true" name="HTML29_3" vbProcedure="false">"Weekly NRx Report"</definedName>
    <definedName function="false" hidden="true" name="HTML29_4" vbProcedure="false">""</definedName>
    <definedName function="false" hidden="true" name="HTML29_5" vbProcedure="false">""</definedName>
    <definedName function="false" hidden="true" name="HTML29_6" vbProcedure="false">-4146</definedName>
    <definedName function="false" hidden="true" name="HTML29_7" vbProcedure="false">-4146</definedName>
    <definedName function="false" hidden="true" name="HTML29_8" vbProcedure="false">"8/10/98"</definedName>
    <definedName function="false" hidden="true" name="HTML29_9" vbProcedure="false">"James Grote"</definedName>
    <definedName function="false" hidden="true" name="HTML2_1" vbProcedure="false">"'[WEEKSUMZ.xls]Claritin NRX  (2)'!$A$1:$H$244"</definedName>
    <definedName function="false" hidden="true" name="HTML2_10" vbProcedure="false">""</definedName>
    <definedName function="false" hidden="true" name="HTML2_11" vbProcedure="false">1</definedName>
    <definedName function="false" hidden="true" name="HTML2_12" vbProcedure="false">"S:\MKTRESCH\SCHERING\INTRANET\mktresch\weekmkts\weeknrxs.htm"</definedName>
    <definedName function="false" hidden="true" name="HTML2_2" vbProcedure="false">1</definedName>
    <definedName function="false" hidden="true" name="HTML2_3" vbProcedure="false">""</definedName>
    <definedName function="false" hidden="true" name="HTML2_4" vbProcedure="false">""</definedName>
    <definedName function="false" hidden="true" name="HTML2_5" vbProcedure="false">""</definedName>
    <definedName function="false" hidden="true" name="HTML2_6" vbProcedure="false">-4146</definedName>
    <definedName function="false" hidden="true" name="HTML2_7" vbProcedure="false">-4146</definedName>
    <definedName function="false" hidden="true" name="HTML2_8" vbProcedure="false">"6/3/98"</definedName>
    <definedName function="false" hidden="true" name="HTML2_9" vbProcedure="false">"James Grote"</definedName>
    <definedName function="false" hidden="true" name="HTML30_1" vbProcedure="false">"'[intrweek.xls]TRx Page'!$A$1:$H$220"</definedName>
    <definedName function="false" hidden="true" name="HTML30_10" vbProcedure="false">""</definedName>
    <definedName function="false" hidden="true" name="HTML30_11" vbProcedure="false">1</definedName>
    <definedName function="false" hidden="true" name="HTML30_12" vbProcedure="false">"S:\MKTRESCH\INTRANET\htmsum\weektrxs.htm"</definedName>
    <definedName function="false" hidden="true" name="HTML30_2" vbProcedure="false">1</definedName>
    <definedName function="false" hidden="true" name="HTML30_3" vbProcedure="false">"Weekly TRx Report"</definedName>
    <definedName function="false" hidden="true" name="HTML30_4" vbProcedure="false">""</definedName>
    <definedName function="false" hidden="true" name="HTML30_5" vbProcedure="false">""</definedName>
    <definedName function="false" hidden="true" name="HTML30_6" vbProcedure="false">-4146</definedName>
    <definedName function="false" hidden="true" name="HTML30_7" vbProcedure="false">-4146</definedName>
    <definedName function="false" hidden="true" name="HTML30_8" vbProcedure="false">"8/10/98"</definedName>
    <definedName function="false" hidden="true" name="HTML30_9" vbProcedure="false">"James Grote"</definedName>
    <definedName function="false" hidden="true" name="HTML31_1" vbProcedure="false">"'[intrweek.xls]NRx Page'!$A$1:$H$209"</definedName>
    <definedName function="false" hidden="true" name="HTML31_10" vbProcedure="false">""</definedName>
    <definedName function="false" hidden="true" name="HTML31_11" vbProcedure="false">1</definedName>
    <definedName function="false" hidden="true" name="HTML31_12" vbProcedure="false">"S:\MKTRESCH\INTRANET\htmsum\weeknrxs.htm"</definedName>
    <definedName function="false" hidden="true" name="HTML31_2" vbProcedure="false">1</definedName>
    <definedName function="false" hidden="true" name="HTML31_3" vbProcedure="false">"Weekly NRx Page"</definedName>
    <definedName function="false" hidden="true" name="HTML31_4" vbProcedure="false">""</definedName>
    <definedName function="false" hidden="true" name="HTML31_5" vbProcedure="false">""</definedName>
    <definedName function="false" hidden="true" name="HTML31_6" vbProcedure="false">-4146</definedName>
    <definedName function="false" hidden="true" name="HTML31_7" vbProcedure="false">-4146</definedName>
    <definedName function="false" hidden="true" name="HTML31_8" vbProcedure="false">"9/7/98"</definedName>
    <definedName function="false" hidden="true" name="HTML31_9" vbProcedure="false">"James Grote"</definedName>
    <definedName function="false" hidden="true" name="HTML32_1" vbProcedure="false">"'[intrweek.xls]TRx Page'!$A$1:$H$209"</definedName>
    <definedName function="false" hidden="true" name="HTML32_10" vbProcedure="false">""</definedName>
    <definedName function="false" hidden="true" name="HTML32_11" vbProcedure="false">1</definedName>
    <definedName function="false" hidden="true" name="HTML32_12" vbProcedure="false">"S:\MKTRESCH\INTRANET\htmsum\weektrxs.htm"</definedName>
    <definedName function="false" hidden="true" name="HTML32_2" vbProcedure="false">1</definedName>
    <definedName function="false" hidden="true" name="HTML32_3" vbProcedure="false">"Weekly TRx Page"</definedName>
    <definedName function="false" hidden="true" name="HTML32_4" vbProcedure="false">""</definedName>
    <definedName function="false" hidden="true" name="HTML32_5" vbProcedure="false">""</definedName>
    <definedName function="false" hidden="true" name="HTML32_6" vbProcedure="false">-4146</definedName>
    <definedName function="false" hidden="true" name="HTML32_7" vbProcedure="false">-4146</definedName>
    <definedName function="false" hidden="true" name="HTML32_8" vbProcedure="false">"9/7/98"</definedName>
    <definedName function="false" hidden="true" name="HTML32_9" vbProcedure="false">"James Grote"</definedName>
    <definedName function="false" hidden="true" name="HTML3_1" vbProcedure="false">"'[WEEKSUMZ.xls]Claritin TRX (2)'!$A$1:$H$223"</definedName>
    <definedName function="false" hidden="true" name="HTML3_10" vbProcedure="false">""</definedName>
    <definedName function="false" hidden="true" name="HTML3_11" vbProcedure="false">1</definedName>
    <definedName function="false" hidden="true" name="HTML3_12" vbProcedure="false">"S:\MKTRESCH\SCHERING\INTRANET\mktresch\weekmkts\weektrxs.htm"</definedName>
    <definedName function="false" hidden="true" name="HTML3_2" vbProcedure="false">1</definedName>
    <definedName function="false" hidden="true" name="HTML3_3" vbProcedure="false">"Weekly TRx Report"</definedName>
    <definedName function="false" hidden="true" name="HTML3_4" vbProcedure="false">""</definedName>
    <definedName function="false" hidden="true" name="HTML3_5" vbProcedure="false">""</definedName>
    <definedName function="false" hidden="true" name="HTML3_6" vbProcedure="false">-4146</definedName>
    <definedName function="false" hidden="true" name="HTML3_7" vbProcedure="false">-4146</definedName>
    <definedName function="false" hidden="true" name="HTML3_8" vbProcedure="false">"6/4/98"</definedName>
    <definedName function="false" hidden="true" name="HTML3_9" vbProcedure="false">"James Grote"</definedName>
    <definedName function="false" hidden="true" name="HTML4_1" vbProcedure="false">"'[intrweek.xls]NRx Page'!$A$1:$H$224"</definedName>
    <definedName function="false" hidden="true" name="HTML4_10" vbProcedure="false">""</definedName>
    <definedName function="false" hidden="true" name="HTML4_11" vbProcedure="false">1</definedName>
    <definedName function="false" hidden="true" name="HTML4_12" vbProcedure="false">"S:\MKTRESCH\SCHERING\INTRANET\mktresch\weekmkts\weeknrxs.htm"</definedName>
    <definedName function="false" hidden="true" name="HTML4_2" vbProcedure="false">1</definedName>
    <definedName function="false" hidden="true" name="HTML4_3" vbProcedure="false">"Weekly New Prescription Report"</definedName>
    <definedName function="false" hidden="true" name="HTML4_4" vbProcedure="false">""</definedName>
    <definedName function="false" hidden="true" name="HTML4_5" vbProcedure="false">""</definedName>
    <definedName function="false" hidden="true" name="HTML4_6" vbProcedure="false">-4146</definedName>
    <definedName function="false" hidden="true" name="HTML4_7" vbProcedure="false">-4146</definedName>
    <definedName function="false" hidden="true" name="HTML4_8" vbProcedure="false">"6/8/98"</definedName>
    <definedName function="false" hidden="true" name="HTML4_9" vbProcedure="false">"James Grote"</definedName>
    <definedName function="false" hidden="true" name="HTML5_1" vbProcedure="false">"'[intrweek.xls]TRx Page'!$A$1:$H$223"</definedName>
    <definedName function="false" hidden="true" name="HTML5_10" vbProcedure="false">""</definedName>
    <definedName function="false" hidden="true" name="HTML5_11" vbProcedure="false">1</definedName>
    <definedName function="false" hidden="true" name="HTML5_12" vbProcedure="false">"S:\MKTRESCH\SCHERING\INTRANET\mktresch\weekmkts\weektrxs.htm"</definedName>
    <definedName function="false" hidden="true" name="HTML5_2" vbProcedure="false">1</definedName>
    <definedName function="false" hidden="true" name="HTML5_3" vbProcedure="false">"Weekly Total Prescription Report"</definedName>
    <definedName function="false" hidden="true" name="HTML5_4" vbProcedure="false">""</definedName>
    <definedName function="false" hidden="true" name="HTML5_5" vbProcedure="false">""</definedName>
    <definedName function="false" hidden="true" name="HTML5_6" vbProcedure="false">-4146</definedName>
    <definedName function="false" hidden="true" name="HTML5_7" vbProcedure="false">-4146</definedName>
    <definedName function="false" hidden="true" name="HTML5_8" vbProcedure="false">"6/8/98"</definedName>
    <definedName function="false" hidden="true" name="HTML5_9" vbProcedure="false">"James Grote"</definedName>
    <definedName function="false" hidden="true" name="HTML6_1" vbProcedure="false">"[intrweek.xls]AllergyVolume!$B$1:$K$62"</definedName>
    <definedName function="false" hidden="true" name="HTML6_10" vbProcedure="false">""</definedName>
    <definedName function="false" hidden="true" name="HTML6_11" vbProcedure="false">1</definedName>
    <definedName function="false" hidden="true" name="HTML6_12" vbProcedure="false">"S:\MKTRESCH\SCHERING\INTRANET\mktresch\weekmkts\wkvolume.htm"</definedName>
    <definedName function="false" hidden="true" name="HTML6_2" vbProcedure="false">1</definedName>
    <definedName function="false" hidden="true" name="HTML6_3" vbProcedure="false">"Weekly Allergy Volume Page"</definedName>
    <definedName function="false" hidden="true" name="HTML6_4" vbProcedure="false">""</definedName>
    <definedName function="false" hidden="true" name="HTML6_5" vbProcedure="false">""</definedName>
    <definedName function="false" hidden="true" name="HTML6_6" vbProcedure="false">-4146</definedName>
    <definedName function="false" hidden="true" name="HTML6_7" vbProcedure="false">-4146</definedName>
    <definedName function="false" hidden="true" name="HTML6_8" vbProcedure="false">""</definedName>
    <definedName function="false" hidden="true" name="HTML6_9" vbProcedure="false">""</definedName>
    <definedName function="false" hidden="true" name="HTML7_1" vbProcedure="false">"[intrweek.xls]AllergyVolume!$A$1:$J$60"</definedName>
    <definedName function="false" hidden="true" name="HTML7_10" vbProcedure="false">""</definedName>
    <definedName function="false" hidden="true" name="HTML7_11" vbProcedure="false">1</definedName>
    <definedName function="false" hidden="true" name="HTML7_12" vbProcedure="false">"S:\MKTRESCH\SCHERING\INTRANET\mktresch\weekmkts\wkvolume.htm"</definedName>
    <definedName function="false" hidden="true" name="HTML7_2" vbProcedure="false">1</definedName>
    <definedName function="false" hidden="true" name="HTML7_3" vbProcedure="false">"Weekly Allergy Volume Report"</definedName>
    <definedName function="false" hidden="true" name="HTML7_4" vbProcedure="false">""</definedName>
    <definedName function="false" hidden="true" name="HTML7_5" vbProcedure="false">""</definedName>
    <definedName function="false" hidden="true" name="HTML7_6" vbProcedure="false">-4146</definedName>
    <definedName function="false" hidden="true" name="HTML7_7" vbProcedure="false">-4146</definedName>
    <definedName function="false" hidden="true" name="HTML7_8" vbProcedure="false">""</definedName>
    <definedName function="false" hidden="true" name="HTML7_9" vbProcedure="false">" "</definedName>
    <definedName function="false" hidden="true" name="HTML8_1" vbProcedure="false">"[intrweek.xls]AllergyVolume!$A$1:$I$60"</definedName>
    <definedName function="false" hidden="true" name="HTML8_10" vbProcedure="false">""</definedName>
    <definedName function="false" hidden="true" name="HTML8_11" vbProcedure="false">1</definedName>
    <definedName function="false" hidden="true" name="HTML8_12" vbProcedure="false">"S:\MKTRESCH\SCHERING\INTRANET\mktresch\weekmkts\wkvolume.htm"</definedName>
    <definedName function="false" hidden="true" name="HTML8_2" vbProcedure="false">1</definedName>
    <definedName function="false" hidden="true" name="HTML8_3" vbProcedure="false">"Weekly Antihistamine Volume Data"</definedName>
    <definedName function="false" hidden="true" name="HTML8_4" vbProcedure="false">""</definedName>
    <definedName function="false" hidden="true" name="HTML8_5" vbProcedure="false">""</definedName>
    <definedName function="false" hidden="true" name="HTML8_6" vbProcedure="false">-4146</definedName>
    <definedName function="false" hidden="true" name="HTML8_7" vbProcedure="false">-4146</definedName>
    <definedName function="false" hidden="true" name="HTML8_8" vbProcedure="false">"6/5/98"</definedName>
    <definedName function="false" hidden="true" name="HTML8_9" vbProcedure="false">"James Grote"</definedName>
    <definedName function="false" hidden="true" name="HTML9_1" vbProcedure="false">"[intrweek.xls]AllergyVolume!$A$1:$I$59"</definedName>
    <definedName function="false" hidden="true" name="HTML9_10" vbProcedure="false">""</definedName>
    <definedName function="false" hidden="true" name="HTML9_11" vbProcedure="false">1</definedName>
    <definedName function="false" hidden="true" name="HTML9_12" vbProcedure="false">"S:\MKTRESCH\SCHERING\INTRANET\mktresch\weekmkts\wkvolume.htm"</definedName>
    <definedName function="false" hidden="true" name="HTML9_2" vbProcedure="false">1</definedName>
    <definedName function="false" hidden="true" name="HTML9_3" vbProcedure="false">"Weekly Antihistamine Volme Report"</definedName>
    <definedName function="false" hidden="true" name="HTML9_4" vbProcedure="false">""</definedName>
    <definedName function="false" hidden="true" name="HTML9_5" vbProcedure="false">""</definedName>
    <definedName function="false" hidden="true" name="HTML9_6" vbProcedure="false">-4146</definedName>
    <definedName function="false" hidden="true" name="HTML9_7" vbProcedure="false">-4146</definedName>
    <definedName function="false" hidden="true" name="HTML9_8" vbProcedure="false">"6/8/98"</definedName>
    <definedName function="false" hidden="true" name="HTML9_9" vbProcedure="false">"James Grote"</definedName>
    <definedName function="false" hidden="true" name="HTMLCount" vbProcedure="false">1</definedName>
    <definedName function="false" hidden="true" name="HTML_CodePage" vbProcedure="false">1252</definedName>
    <definedName function="false" hidden="true" name="HTML_Control" vbProcedure="false">{"'Int.-Cem.unit -SUMMARY'!$A$1:$J$25"}</definedName>
    <definedName function="false" hidden="true" name="html_control1" vbProcedure="false">{"'Int.-Cem.unit -SUMMARY'!$A$1:$J$25"}</definedName>
    <definedName function="false" hidden="true" name="HTML_Control_2" vbProcedure="false">{"'Trend_Total'!$A$7:$V$10","'Trend_Total'!$A$1:$V$4"}</definedName>
    <definedName function="false" hidden="true" name="HTML_Description" vbProcedure="false">""</definedName>
    <definedName function="false" hidden="true" name="HTML_Email" vbProcedure="false">""</definedName>
    <definedName function="false" hidden="true" name="HTML_Header" vbProcedure="false">"Int.-Cem.unit -SUMMARY"</definedName>
    <definedName function="false" hidden="true" name="HTML_LastUpdate" vbProcedure="false">"6/5/98"</definedName>
    <definedName function="false" hidden="true" name="HTML_LineAfter" vbProcedure="false">FALSE()</definedName>
    <definedName function="false" hidden="true" name="HTML_LineBefore" vbProcedure="false">FALSE()</definedName>
    <definedName function="false" hidden="true" name="HTML_Name" vbProcedure="false">"Paul"</definedName>
    <definedName function="false" hidden="true" name="HTML_OBDlg2" vbProcedure="false">TRUE()</definedName>
    <definedName function="false" hidden="true" name="HTML_OBDlg4" vbProcedure="false">TRUE()</definedName>
    <definedName function="false" hidden="true" name="HTML_OS" vbProcedure="false">0</definedName>
    <definedName function="false" hidden="true" name="HTML_PathFile" vbProcedure="false">"S:\MKTRESCH\INTRANET\CONTENT\REPORTS\wkvoltrx.htm"</definedName>
    <definedName function="false" hidden="true" name="HTML_PathFileMac" vbProcedure="false">"Macintosh HD:Web Site “~adamodar”:pc:datasets:MyHTML.html"</definedName>
    <definedName function="false" hidden="true" name="HTML_Title" vbProcedure="false">"Int &amp; Dep"</definedName>
    <definedName function="false" hidden="true" name="ii" vbProcedure="false">{"sales",#N/A,FALSE,"Sales";"sales existing",#N/A,FALSE,"Sales";"sales rd1",#N/A,FALSE,"Sales";"sales rd2",#N/A,FALSE,"Sales"}</definedName>
    <definedName function="false" hidden="true" name="iii" vbProcedure="false">{#N/A,#N/A,TRUE,"Pro Forma";#N/A,#N/A,TRUE,"PF_Bal";#N/A,#N/A,TRUE,"PF_INC";#N/A,#N/A,TRUE,"CBE";#N/A,#N/A,TRUE,"SWK"}</definedName>
    <definedName function="false" hidden="true" name="ik" vbProcedure="false">{"casespecific",#N/A,FALSE,"Assumptions"}</definedName>
    <definedName function="false" hidden="true" name="im" vbProcedure="false">{"sales",#N/A,FALSE,"Sales";"sales existing",#N/A,FALSE,"Sales";"sales rd1",#N/A,FALSE,"Sales";"sales rd2",#N/A,FALSE,"Sales"}</definedName>
    <definedName function="false" hidden="true" name="Img_ML_1a9i6f1a" vbProcedure="false">"IMG_11"</definedName>
    <definedName function="false" hidden="true" name="Img_ML_2b2b8h8h" vbProcedure="false">"IMG_10"</definedName>
    <definedName function="false" hidden="true" name="Img_ML_2e1r5p2m" vbProcedure="false">"IMG_4"</definedName>
    <definedName function="false" hidden="true" name="Img_ML_3c7g1a7g" vbProcedure="false">"IMG_3"</definedName>
    <definedName function="false" hidden="true" name="Img_ML_4d4d7g3c" vbProcedure="false">"IMG_5"</definedName>
    <definedName function="false" hidden="true" name="Img_ML_4u3z1k5l" vbProcedure="false">"IMG_10"</definedName>
    <definedName function="false" hidden="true" name="Img_ML_5e1a1a7g" vbProcedure="false">"IMG_11"</definedName>
    <definedName function="false" hidden="true" name="Img_ML_5e7g5e5e" vbProcedure="false">"IMG_5"</definedName>
    <definedName function="false" hidden="true" name="Img_ML_5e9i9i2b" vbProcedure="false">"IMG_11"</definedName>
    <definedName function="false" hidden="true" name="Img_ML_6f2b1a5e" vbProcedure="false">"IMG_5"</definedName>
    <definedName function="false" hidden="true" name="Img_ML_6f9i2b5e" vbProcedure="false">"IMG_11"</definedName>
    <definedName function="false" hidden="true" name="Img_ML_6k4t7z9z" vbProcedure="false">"IMG_10"</definedName>
    <definedName function="false" hidden="true" name="Img_ML_7g5e5e2b" vbProcedure="false">"IMG_12"</definedName>
    <definedName function="false" hidden="true" name="Img_ML_7j6w4l1i" vbProcedure="false">"IMG_10"</definedName>
    <definedName function="false" hidden="true" name="Img_ML_8h5e9i3c" vbProcedure="false">"IMG_11"</definedName>
    <definedName function="false" hidden="true" name="Img_ML_8h7g3c9i" vbProcedure="false">"IMG_10"</definedName>
    <definedName function="false" hidden="true" name="Img_ML_8h7g4d4d" vbProcedure="false">"IMG_3"</definedName>
    <definedName function="false" hidden="true" name="Img_Production_Breakdown" vbProcedure="false">"IMG_3"</definedName>
    <definedName function="false" hidden="true" name="Impax" vbProcedure="false">{#N/A,#N/A,TRUE,"Cover Repl";#N/A,#N/A,TRUE,"P&amp;L";#N/A,#N/A,TRUE,"P&amp;L (2)";#N/A,#N/A,TRUE,"BS";#N/A,#N/A,TRUE,"Depreciation";#N/A,#N/A,TRUE,"GRAPHS";#N/A,#N/A,TRUE,"DCF EBITDA Multiple";#N/A,#N/A,TRUE,"DCF Perpetual Growth"}</definedName>
    <definedName function="false" hidden="true" name="Income" vbProcedure="false">{#N/A,#N/A,FALSE,"CashFlow";#N/A,#N/A,FALSE,"VALHIST";#N/A,#N/A,FALSE,"ROIC";#N/A,#N/A,FALSE,"INPUT"}</definedName>
    <definedName function="false" hidden="true" name="Incomes" vbProcedure="false">{#N/A,#N/A,FALSE,"CashFlow";#N/A,#N/A,FALSE,"VALHIST";#N/A,#N/A,FALSE,"ROIC";#N/A,#N/A,FALSE,"INPUT"}</definedName>
    <definedName function="false" hidden="true" name="INC_AFTER_TAX" vbProcedure="false">"INC_AFTER_TAX"</definedName>
    <definedName function="false" hidden="true" name="INC_AVAIL_EXCL" vbProcedure="false">"INC_AVAIL_EXCL"</definedName>
    <definedName function="false" hidden="true" name="INC_AVAIL_INCL" vbProcedure="false">"INC_AVAIL_INCL"</definedName>
    <definedName function="false" hidden="true" name="INC_BEFORE_TAX" vbProcedure="false">"INC_BEFORE_TAX"</definedName>
    <definedName function="false" hidden="true" name="INC_TAX" vbProcedure="false">"INC_TAX"</definedName>
    <definedName function="false" hidden="true" name="INC_TAX_EXCL" vbProcedure="false">"INC_TAX_EXCL"</definedName>
    <definedName function="false" hidden="true" name="Infgod" vbProcedure="false">{"monthlyunits",#N/A,FALSE,"openings"}</definedName>
    <definedName function="false" hidden="true" name="inflList" vbProcedure="false">"00000000000000000000000000000000000000000000000000000000000000000000000000000000000000000000000000000000000000000000000000000000000000000000000000000000000000000000000000000000000000000000000000000000"</definedName>
    <definedName function="false" hidden="true" name="Infosed" vbProcedure="false">{"quartfin",#N/A,FALSE,"quartfin"}</definedName>
    <definedName function="false" hidden="true" name="INFO_BI_EXE_NAME" vbProcedure="false">"BICORE.EXE"</definedName>
    <definedName function="false" hidden="true" name="INFO_EXE_SERVER_PATH" vbProcedure="false">"C:\Program Files (x86)\Sage\Sage 300 ERP\BX62A\BICORE.EXE"</definedName>
    <definedName function="false" hidden="true" name="INFO_EXE_SERVER_PATH_1" vbProcedure="false">"C:\apps\sage\sage300progs\BX64A\BICORE.EXE"</definedName>
    <definedName function="false" hidden="true" name="INFO_INSTANCE_ID" vbProcedure="false">"0"</definedName>
    <definedName function="false" hidden="true" name="INFO_INSTANCE_NAME" vbProcedure="false">"CymaBay Monthly FP&amp;A Reports_20161129_09_32_21_3232.xls"</definedName>
    <definedName function="false" hidden="true" name="INFO_INSTANCE_NAME_1" vbProcedure="false">"CymaBay Monthly FP&amp;A Reports_20200126_11_03_56_033.xls"</definedName>
    <definedName function="false" hidden="true" name="INFO_REPORT_CODE" vbProcedure="false">"S300-SQL-AI31-1-1-CU"</definedName>
    <definedName function="false" hidden="true" name="INFO_REPORT_ID" vbProcedure="false">"11"</definedName>
    <definedName function="false" hidden="true" name="INFO_REPORT_NAME" vbProcedure="false">"CymaBay Monthly FP&amp;A Reports"</definedName>
    <definedName function="false" hidden="true" name="INFO_REPORT_NAME_1" vbProcedure="false">"CymaBay Monthly FP&amp;A Reports"</definedName>
    <definedName function="false" hidden="true" name="INFO_RUN_USER" vbProcedure="false">""</definedName>
    <definedName function="false" hidden="true" name="INFO_RUN_WORKSTATION" vbProcedure="false">"NEW-NET-RDS01"</definedName>
    <definedName function="false" hidden="true" name="INFO_RUN_WORKSTATION_1" vbProcedure="false">"CYM-RDS"</definedName>
    <definedName function="false" hidden="true" name="INTANGIBLES_NET" vbProcedure="false">"INTANGIBLES_NET"</definedName>
    <definedName function="false" hidden="true" name="INTEREST_EXP_NET" vbProcedure="false">"INTEREST_EXP_NET"</definedName>
    <definedName function="false" hidden="true" name="INTEREST_EXP_NON" vbProcedure="false">"INTEREST_EXP_NON"</definedName>
    <definedName function="false" hidden="true" name="INTEREST_EXP_SUPPL" vbProcedure="false">"INTEREST_EXP_SUPPL"</definedName>
    <definedName function="false" hidden="true" name="INTEREST_INC" vbProcedure="false">"INTEREST_INC"</definedName>
    <definedName function="false" hidden="true" name="INTEREST_INC_10K" vbProcedure="false">"INTEREST_INC_10K"</definedName>
    <definedName function="false" hidden="true" name="INTEREST_INC_10Q" vbProcedure="false">"INTEREST_INC_10Q"</definedName>
    <definedName function="false" hidden="true" name="INTEREST_INC_10Q1" vbProcedure="false">"INTEREST_INC_10Q1"</definedName>
    <definedName function="false" hidden="true" name="INTEREST_INC_NON" vbProcedure="false">"INTEREST_INC_NON"</definedName>
    <definedName function="false" hidden="true" name="INTERIM"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true" name="INVENTORY_TURNS" vbProcedure="false">"INVENTORY_TURNS"</definedName>
    <definedName function="false" hidden="true" name="IOSummary" vbProcedure="false">2</definedName>
    <definedName function="false" hidden="true" name="IQ2_NAMES_REVISION_DATE_" vbProcedure="false">42620.000787037</definedName>
    <definedName function="false" hidden="true" name="IQB_BOOKMARK_COUNT" vbProcedure="false">0</definedName>
    <definedName function="false" hidden="true" name="IQRA10" vbProcedure="false">"$A$11:$A$262"</definedName>
    <definedName function="false" hidden="true" name="IQRA5" vbProcedure="false">"$A$6:$A$582"</definedName>
    <definedName function="false" hidden="true" name="IQRA6" vbProcedure="false">"$A$7:$A$136"</definedName>
    <definedName function="false" hidden="true" name="IQRB140" vbProcedure="false">"$B$141:$B$161"</definedName>
    <definedName function="false" hidden="true" name="IQRB142" vbProcedure="false">"$B$143:$B$163"</definedName>
    <definedName function="false" hidden="true" name="IQRB144" vbProcedure="false">"$B$145:$B$165"</definedName>
    <definedName function="false" hidden="true" name="IQRB15" vbProcedure="false">"$B$16:$B$17"</definedName>
    <definedName function="false" hidden="true" name="IQRB17" vbProcedure="false">"$B$18:$B$22"</definedName>
    <definedName function="false" hidden="true" name="IQRB18" vbProcedure="false">"$B$19:$B$23"</definedName>
    <definedName function="false" hidden="true" name="IQRB19" vbProcedure="false">"$B$20:$B$24"</definedName>
    <definedName function="false" hidden="true" name="IQRB20" vbProcedure="false">"$B$21:$B$25"</definedName>
    <definedName function="false" hidden="true" name="IQRB21" vbProcedure="false">"$B$22:$B$26"</definedName>
    <definedName function="false" hidden="true" name="IQRB22" vbProcedure="false">"$B$23:$B$27"</definedName>
    <definedName function="false" hidden="true" name="IQRB23" vbProcedure="false">"$B$24:$B$28"</definedName>
    <definedName function="false" hidden="true" name="IQRB24" vbProcedure="false">"$B$25:$B$29"</definedName>
    <definedName function="false" hidden="true" name="IQRB32" vbProcedure="false">"$B$33:$B$37"</definedName>
    <definedName function="false" hidden="true" name="IQRB33" vbProcedure="false">"$B$34:$B$38"</definedName>
    <definedName function="false" hidden="true" name="IQRB34" vbProcedure="false">"$B$35:$B$39"</definedName>
    <definedName function="false" hidden="true" name="IQRB5" vbProcedure="false">"$B$6:$B$582"</definedName>
    <definedName function="false" hidden="true" name="IQRB6" vbProcedure="false">"$B$7:$B$259"</definedName>
    <definedName function="false" hidden="true" name="IQRC11" vbProcedure="false">"$C$12:$C$32"</definedName>
    <definedName function="false" hidden="true" name="IQRC15" vbProcedure="false">"$C$16:$C$20"</definedName>
    <definedName function="false" hidden="true" name="IQRC24" vbProcedure="false">"$C$25:$C$29"</definedName>
    <definedName function="false" hidden="true" name="IQRC5" vbProcedure="false">"$C$6:$C$582"</definedName>
    <definedName function="false" hidden="true" name="IQRD11" vbProcedure="false">"$D$12:$D$34"</definedName>
    <definedName function="false" hidden="true" name="IQRD15" vbProcedure="false">"$D$16:$D$17"</definedName>
    <definedName function="false" hidden="true" name="IQRD5" vbProcedure="false">"$D$6:$D$582"</definedName>
    <definedName function="false" hidden="true" name="IQRE11" vbProcedure="false">"$E$12:$E$34"</definedName>
    <definedName function="false" hidden="true" name="IQRE140" vbProcedure="false">"$E$141:$E$160"</definedName>
    <definedName function="false" hidden="true" name="IQRE142" vbProcedure="false">"$E$143:$E$163"</definedName>
    <definedName function="false" hidden="true" name="IQRE144" vbProcedure="false">"$E$145:$E$167"</definedName>
    <definedName function="false" hidden="true" name="IQRE17" vbProcedure="false">"$E$18:$E$82"</definedName>
    <definedName function="false" hidden="true" name="IQRF11" vbProcedure="false">"$F$12:$F$34"</definedName>
    <definedName function="false" hidden="true" name="IQRF140" vbProcedure="false">"$F$141:$F$161"</definedName>
    <definedName function="false" hidden="true" name="IQRF142" vbProcedure="false">"$F$143:$F$163"</definedName>
    <definedName function="false" hidden="true" name="IQRF144" vbProcedure="false">"$F$145:$F$165"</definedName>
    <definedName function="false" hidden="true" name="IQRG11" vbProcedure="false">"$G$12:$G$27"</definedName>
    <definedName function="false" hidden="true" name="IQRG140" vbProcedure="false">"$G$141:$G$161"</definedName>
    <definedName function="false" hidden="true" name="IQRG142" vbProcedure="false">"$G$143:$G$162"</definedName>
    <definedName function="false" hidden="true" name="IQRG144" vbProcedure="false">"$G$145:$G$167"</definedName>
    <definedName function="false" hidden="true" name="IQRH140" vbProcedure="false">"$H$141:$H$158"</definedName>
    <definedName function="false" hidden="true" name="IQRH142" vbProcedure="false">"$H$143:$H$159"</definedName>
    <definedName function="false" hidden="true" name="IQRH144" vbProcedure="false">"$H$145:$H$166"</definedName>
    <definedName function="false" hidden="true" name="IQRI140" vbProcedure="false">"$I$141:$I$153"</definedName>
    <definedName function="false" hidden="true" name="IQRI142" vbProcedure="false">"$I$143:$I$155"</definedName>
    <definedName function="false" hidden="true" name="IQRI144" vbProcedure="false">"$I$145:$I$162"</definedName>
    <definedName function="false" hidden="true" name="IQRJ140" vbProcedure="false">"$J$141:$J$153"</definedName>
    <definedName function="false" hidden="true" name="IQRJ142" vbProcedure="false">"$J$143:$J$147"</definedName>
    <definedName function="false" hidden="true" name="IQRJ144" vbProcedure="false">"$J$145:$J$158"</definedName>
    <definedName function="false" hidden="true" name="IQRR7" vbProcedure="false">"$R$8:$R$260"</definedName>
    <definedName function="false" hidden="true" name="iQShowHideColumns" vbProcedure="false">"iQShowAll"</definedName>
    <definedName function="false" hidden="true" name="IQ_1_4_CONSTRUCTION_GROSS_LOANS_FFIEC" vbProcedure="false">"c13402"</definedName>
    <definedName function="false" hidden="true" name="IQ_1_4_CONSTRUCTION_LL_REC_DOM_FFIEC" vbProcedure="false">"c12899"</definedName>
    <definedName function="false" hidden="true" name="IQ_1_4_CONSTRUCTION_LOANS_DUE_30_89_FFIEC" vbProcedure="false">"c13257"</definedName>
    <definedName function="false" hidden="true" name="IQ_1_4_CONSTRUCTION_LOANS_DUE_90_FFIEC" vbProcedure="false">"c13285"</definedName>
    <definedName function="false" hidden="true" name="IQ_1_4_CONSTRUCTION_LOANS_NON_ACCRUAL_FFIEC" vbProcedure="false">"c13311"</definedName>
    <definedName function="false" hidden="true" name="IQ_1_4_CONSTRUCTION_LOAN_COMMITMENTS_UNUSED_FFIEC" vbProcedure="false">"c13244"</definedName>
    <definedName function="false" hidden="true" name="IQ_1_4_CONSTRUCTION_RISK_BASED_FFIEC" vbProcedure="false">"c13423"</definedName>
    <definedName function="false" hidden="true" name="IQ_1_4_FAMILY_JUNIOR_LIENS_CHARGE_OFFS_FDIC" vbProcedure="false">"c6605"</definedName>
    <definedName function="false" hidden="true" name="IQ_1_4_FAMILY_JUNIOR_LIENS_NET_CHARGE_OFFS_FDIC" vbProcedure="false">"c6643"</definedName>
    <definedName function="false" hidden="true" name="IQ_1_4_FAMILY_JUNIOR_LIENS_RECOVERIES_FDIC" vbProcedure="false">"c6624"</definedName>
    <definedName function="false" hidden="true" name="IQ_1_4_FAMILY_RES_DOM_FFIEC" vbProcedure="false">"c15269"</definedName>
    <definedName function="false" hidden="true" name="IQ_1_4_FAMILY_SENIOR_LIENS_CHARGE_OFFS_FDIC" vbProcedure="false">"c6604"</definedName>
    <definedName function="false" hidden="true" name="IQ_1_4_FAMILY_SENIOR_LIENS_NET_CHARGE_OFFS_FDIC" vbProcedure="false">"c6642"</definedName>
    <definedName function="false" hidden="true" name="IQ_1_4_FAMILY_SENIOR_LIENS_RECOVERIES_FDIC" vbProcedure="false">"c6623"</definedName>
    <definedName function="false" hidden="true" name="IQ_1_4_HOME_EQUITY_NET_LOANS_FDIC" vbProcedure="false">"c6441"</definedName>
    <definedName function="false" hidden="true" name="IQ_1_4_RESIDENTIAL_FIRST_LIENS_NET_LOANS_FDIC" vbProcedure="false">"c6439"</definedName>
    <definedName function="false" hidden="true" name="IQ_1_4_RESIDENTIAL_JUNIOR_LIENS_NET_LOANS_FDIC" vbProcedure="false">"c6440"</definedName>
    <definedName function="false" hidden="true" name="IQ_1_4_RESIDENTIAL_LOANS_FDIC" vbProcedure="false">"c6310"</definedName>
    <definedName function="false" hidden="true" name="IQ_30YR_FIXED_MORTGAGE" vbProcedure="false">"c6811"</definedName>
    <definedName function="false" hidden="true" name="IQ_30YR_FIXED_MORTGAGE_FC" vbProcedure="false">"c7691"</definedName>
    <definedName function="false" hidden="true" name="IQ_30YR_FIXED_MORTGAGE_POP" vbProcedure="false">"c7031"</definedName>
    <definedName function="false" hidden="true" name="IQ_30YR_FIXED_MORTGAGE_POP_FC" vbProcedure="false">"c7911"</definedName>
    <definedName function="false" hidden="true" name="IQ_30YR_FIXED_MORTGAGE_YOY" vbProcedure="false">"c7251"</definedName>
    <definedName function="false" hidden="true" name="IQ_30YR_FIXED_MORTGAGE_YOY_FC" vbProcedure="false">"c8131"</definedName>
    <definedName function="false" hidden="true" name="IQ_ABS_AFS_AMORT_COST_FFIEC" vbProcedure="false">"c20499"</definedName>
    <definedName function="false" hidden="true" name="IQ_ABS_AFS_FAIR_VAL_FFIEC" vbProcedure="false">"c20464"</definedName>
    <definedName function="false" hidden="true" name="IQ_ABS_AVAIL_SALE_FFIEC" vbProcedure="false">"c12802"</definedName>
    <definedName function="false" hidden="true" name="IQ_ABS_FFIEC" vbProcedure="false">"c12788"</definedName>
    <definedName function="false" hidden="true" name="IQ_ABS_HTM_AMORT_COST_FFIEC" vbProcedure="false">"c20447"</definedName>
    <definedName function="false" hidden="true" name="IQ_ABS_HTM_FAIR_VAL_FFIEC" vbProcedure="false">"c20482"</definedName>
    <definedName function="false" hidden="true" name="IQ_ABS_INVEST_SECURITIES_FFIEC" vbProcedure="false">"c13461"</definedName>
    <definedName function="false" hidden="true" name="IQ_ABS_PERIOD" vbProcedure="false">"c13823"</definedName>
    <definedName function="false" hidden="true" name="IQ_ABS_PERIOD_EST" vbProcedure="false">"c16122"</definedName>
    <definedName function="false" hidden="true" name="IQ_ACCEPTANCES_OTHER_FOREIGN_BANKS_LL_REC_FFIEC" vbProcedure="false">"c15293"</definedName>
    <definedName function="false" hidden="true" name="IQ_ACCEPTANCES_OTHER_US_BANKS_LL_REC_FFIEC" vbProcedure="false">"c15292"</definedName>
    <definedName function="false" hidden="true" name="IQ_ACCOUNTING_FFIEC" vbProcedure="false">"c13054"</definedName>
    <definedName function="false" hidden="true" name="IQ_ACCOUNTING_STANDARD" vbProcedure="false">"c4539"</definedName>
    <definedName function="false" hidden="true" name="IQ_ACCOUNTING_STANDARD_CIQ" vbProcedure="false">"c5092"</definedName>
    <definedName function="false" hidden="true" name="IQ_ACCOUNTING_STANDARD_CIQ_COL" vbProcedure="false">"c11739"</definedName>
    <definedName function="false" hidden="true" name="IQ_ACCOUNTS_PAY" vbProcedure="false">"c1343"</definedName>
    <definedName function="false" hidden="true" name="IQ_ACCOUNT_CHANGE" vbProcedure="false">"c1449"</definedName>
    <definedName function="false" hidden="true" name="IQ_ACCOUNT_CODE_INTEREST_PENALTIES" vbProcedure="false">"c15741"</definedName>
    <definedName function="false" hidden="true" name="IQ_ACCRUED_EXP" vbProcedure="false">"c1341"</definedName>
    <definedName function="false" hidden="true" name="IQ_ACCRUED_INTEREST_RECEIVABLE_FFIEC" vbProcedure="false">"c12842"</definedName>
    <definedName function="false" hidden="true" name="IQ_ACCR_INT_PAY" vbProcedure="false">"c1"</definedName>
    <definedName function="false" hidden="true" name="IQ_ACCR_INT_PAY_CF" vbProcedure="false">"c2"</definedName>
    <definedName function="false" hidden="true" name="IQ_ACCR_INT_RECEIV" vbProcedure="false">"c3"</definedName>
    <definedName function="false" hidden="true" name="IQ_ACCR_INT_RECEIV_CF" vbProcedure="false">"c4"</definedName>
    <definedName function="false" hidden="true" name="IQ_ACCT_RECV_10YR_ANN_CAGR" vbProcedure="false">"c6159"</definedName>
    <definedName function="false" hidden="true" name="IQ_ACCT_RECV_10YR_ANN_GROWTH" vbProcedure="false">"c1924"</definedName>
    <definedName function="false" hidden="true" name="IQ_ACCT_RECV_1YR_ANN_GROWTH" vbProcedure="false">"c1919"</definedName>
    <definedName function="false" hidden="true" name="IQ_ACCT_RECV_2YR_ANN_CAGR" vbProcedure="false">"c6155"</definedName>
    <definedName function="false" hidden="true" name="IQ_ACCT_RECV_2YR_ANN_GROWTH" vbProcedure="false">"c1920"</definedName>
    <definedName function="false" hidden="true" name="IQ_ACCT_RECV_3YR_ANN_CAGR" vbProcedure="false">"c6156"</definedName>
    <definedName function="false" hidden="true" name="IQ_ACCT_RECV_3YR_ANN_GROWTH" vbProcedure="false">"c1921"</definedName>
    <definedName function="false" hidden="true" name="IQ_ACCT_RECV_5YR_ANN_CAGR" vbProcedure="false">"c6157"</definedName>
    <definedName function="false" hidden="true" name="IQ_ACCT_RECV_5YR_ANN_GROWTH" vbProcedure="false">"c1922"</definedName>
    <definedName function="false" hidden="true" name="IQ_ACCT_RECV_7YR_ANN_CAGR" vbProcedure="false">"c6158"</definedName>
    <definedName function="false" hidden="true" name="IQ_ACCT_RECV_7YR_ANN_GROWTH" vbProcedure="false">"c1923"</definedName>
    <definedName function="false" hidden="true" name="IQ_ACCUMULATED_PENSION_OBLIGATION" vbProcedure="false">"c2244"</definedName>
    <definedName function="false" hidden="true" name="IQ_ACCUMULATED_PENSION_OBLIGATION_DOMESTIC" vbProcedure="false">"c2657"</definedName>
    <definedName function="false" hidden="true" name="IQ_ACCUMULATED_PENSION_OBLIGATION_FOREIGN" vbProcedure="false">"c2665"</definedName>
    <definedName function="false" hidden="true" name="IQ_ACCUM_DEP" vbProcedure="false">"c1340"</definedName>
    <definedName function="false" hidden="true" name="IQ_ACQUIRED_BY_REPORTING_BANK_FDIC" vbProcedure="false">"c6535"</definedName>
    <definedName function="false" hidden="true" name="IQ_ACQUIRE_REAL_ESTATE_CF" vbProcedure="false">"c6"</definedName>
    <definedName function="false" hidden="true" name="IQ_ACQUISITION_COST_SUB" vbProcedure="false">"c15807"</definedName>
    <definedName function="false" hidden="true" name="IQ_ACQUISITION_RE_ASSETS" vbProcedure="false">"c1628"</definedName>
    <definedName function="false" hidden="true" name="IQ_ACQ_COSTS_CAPITALIZED" vbProcedure="false">"c5"</definedName>
    <definedName function="false" hidden="true" name="IQ_ACQ_COST_SUB" vbProcedure="false">"c2125"</definedName>
    <definedName function="false" hidden="true" name="IQ_ACQ_COST_WIRELESS_SUB" vbProcedure="false">"c2125"</definedName>
    <definedName function="false" hidden="true" name="IQ_ACTUAL_PRODUCTION_ALUM" vbProcedure="false">"c9247"</definedName>
    <definedName function="false" hidden="true" name="IQ_ACTUAL_PRODUCTION_CATHODE_COP" vbProcedure="false">"c9192"</definedName>
    <definedName function="false" hidden="true" name="IQ_ACTUAL_PRODUCTION_COAL" vbProcedure="false">"c9821"</definedName>
    <definedName function="false" hidden="true" name="IQ_ACTUAL_PRODUCTION_COP" vbProcedure="false">"c9191"</definedName>
    <definedName function="false" hidden="true" name="IQ_ACTUAL_PRODUCTION_DIAM" vbProcedure="false">"c9671"</definedName>
    <definedName function="false" hidden="true" name="IQ_ACTUAL_PRODUCTION_GOLD" vbProcedure="false">"c9032"</definedName>
    <definedName function="false" hidden="true" name="IQ_ACTUAL_PRODUCTION_IRON" vbProcedure="false">"c9406"</definedName>
    <definedName function="false" hidden="true" name="IQ_ACTUAL_PRODUCTION_LEAD" vbProcedure="false">"c9459"</definedName>
    <definedName function="false" hidden="true" name="IQ_ACTUAL_PRODUCTION_MANG" vbProcedure="false">"c9512"</definedName>
    <definedName function="false" hidden="true" name="IQ_ACTUAL_PRODUCTION_MET_COAL" vbProcedure="false">"c9761"</definedName>
    <definedName function="false" hidden="true" name="IQ_ACTUAL_PRODUCTION_MOLYB" vbProcedure="false">"c9724"</definedName>
    <definedName function="false" hidden="true" name="IQ_ACTUAL_PRODUCTION_NICK" vbProcedure="false">"c9300"</definedName>
    <definedName function="false" hidden="true" name="IQ_ACTUAL_PRODUCTION_PLAT" vbProcedure="false">"c9138"</definedName>
    <definedName function="false" hidden="true" name="IQ_ACTUAL_PRODUCTION_SILVER" vbProcedure="false">"c9085"</definedName>
    <definedName function="false" hidden="true" name="IQ_ACTUAL_PRODUCTION_STEAM" vbProcedure="false">"c9791"</definedName>
    <definedName function="false" hidden="true" name="IQ_ACTUAL_PRODUCTION_TITAN" vbProcedure="false">"c9565"</definedName>
    <definedName function="false" hidden="true" name="IQ_ACTUAL_PRODUCTION_URAN" vbProcedure="false">"c9618"</definedName>
    <definedName function="false" hidden="true" name="IQ_ACTUAL_PRODUCTION_ZINC" vbProcedure="false">"c9353"</definedName>
    <definedName function="false" hidden="true" name="IQ_AD" vbProcedure="false">"c7"</definedName>
    <definedName function="false" hidden="true" name="IQ_ADDIN" vbProcedure="false">"AUTO"</definedName>
    <definedName function="false" hidden="true" name="IQ_ADDITIONAL_NON_INT_INC_FDIC" vbProcedure="false">"c6574"</definedName>
    <definedName function="false" hidden="true" name="IQ_ADDITIONS_NON_ACCRUAL_ASSET_DURING_QTR_FFIEC" vbProcedure="false">"c15349"</definedName>
    <definedName function="false" hidden="true" name="IQ_ADD_PAID_IN" vbProcedure="false">"c1344"</definedName>
    <definedName function="false" hidden="true" name="IQ_ADD_TAX_POSITIONS_CURRENT_YR" vbProcedure="false">"c15733"</definedName>
    <definedName function="false" hidden="true" name="IQ_ADD_TAX_POSITIONS_PRIOR_YRS" vbProcedure="false">"c15735"</definedName>
    <definedName function="false" hidden="true" name="IQ_ADJUSTABLE_RATE_LOANS_FDIC" vbProcedure="false">"c6375"</definedName>
    <definedName function="false" hidden="true" name="IQ_ADJUSTED_NAV_COVERED" vbProcedure="false">"c9963"</definedName>
    <definedName function="false" hidden="true" name="IQ_ADJUSTED_NAV_GROUP" vbProcedure="false">"c9949"</definedName>
    <definedName function="false" hidden="true" name="IQ_ADJ_AVG_BANK_ASSETS" vbProcedure="false">"c2671"</definedName>
    <definedName function="false" hidden="true" name="IQ_ADMIN_RATIO" vbProcedure="false">"c2784"</definedName>
    <definedName function="false" hidden="true" name="IQ_ADVERTISING" vbProcedure="false">"c2246"</definedName>
    <definedName function="false" hidden="true" name="IQ_ADVERTISING_MARKETING" vbProcedure="false">"c1566"</definedName>
    <definedName function="false" hidden="true" name="IQ_ADVERTISING_MARKETING_EXPENSES_FFIEC" vbProcedure="false">"c13048"</definedName>
    <definedName function="false" hidden="true" name="IQ_AE" vbProcedure="false">"c8"</definedName>
    <definedName function="false" hidden="true" name="IQ_AE_BNK" vbProcedure="false">"c9"</definedName>
    <definedName function="false" hidden="true" name="IQ_AE_BR" vbProcedure="false">"c10"</definedName>
    <definedName function="false" hidden="true" name="IQ_AE_FIN" vbProcedure="false">"c11"</definedName>
    <definedName function="false" hidden="true" name="IQ_AE_INS" vbProcedure="false">"c12"</definedName>
    <definedName function="false" hidden="true" name="IQ_AE_RE" vbProcedure="false">"c6195"</definedName>
    <definedName function="false" hidden="true" name="IQ_AE_REIT" vbProcedure="false">"c13"</definedName>
    <definedName function="false" hidden="true" name="IQ_AE_UTI" vbProcedure="false">"c14"</definedName>
    <definedName function="false" hidden="true" name="IQ_AFFO" vbProcedure="false">"c8756"</definedName>
    <definedName function="false" hidden="true" name="IQ_AFFO_DILUTED" vbProcedure="false">"c16188"</definedName>
    <definedName function="false" hidden="true" name="IQ_AFFO_PER_SHARE_BASIC" vbProcedure="false">"c8869"</definedName>
    <definedName function="false" hidden="true" name="IQ_AFFO_PER_SHARE_DILUTED" vbProcedure="false">"c8870"</definedName>
    <definedName function="false" hidden="true" name="IQ_AFS_INVEST_SECURITIES_FFIEC" vbProcedure="false">"c13456"</definedName>
    <definedName function="false" hidden="true" name="IQ_AFS_SECURITIES_TIER_1_FFIEC" vbProcedure="false">"c13343"</definedName>
    <definedName function="false" hidden="true" name="IQ_AFTER_TAX_INCOME_FDIC" vbProcedure="false">"c6583"</definedName>
    <definedName function="false" hidden="true" name="IQ_AGENCY" vbProcedure="false">"c8960"</definedName>
    <definedName function="false" hidden="true" name="IQ_AGENCY_INVEST_SECURITIES_FFIEC" vbProcedure="false">"c13458"</definedName>
    <definedName function="false" hidden="true" name="IQ_AGG_CORPORATE_SHARES" vbProcedure="false">"c13781"</definedName>
    <definedName function="false" hidden="true" name="IQ_AGG_CORPORATE_VALUE" vbProcedure="false">"c13774"</definedName>
    <definedName function="false" hidden="true" name="IQ_AGG_ESOP_SHARES" vbProcedure="false">"c13782"</definedName>
    <definedName function="false" hidden="true" name="IQ_AGG_ESOP_VALUE" vbProcedure="false">"c13775"</definedName>
    <definedName function="false" hidden="true" name="IQ_AGG_FOUNDATION_SHARES" vbProcedure="false">"c13783"</definedName>
    <definedName function="false" hidden="true" name="IQ_AGG_FOUNDATION_VALUE" vbProcedure="false">"c13776"</definedName>
    <definedName function="false" hidden="true" name="IQ_AGG_HEDGEFUND_SHARES" vbProcedure="false">"c13785"</definedName>
    <definedName function="false" hidden="true" name="IQ_AGG_HEDGEFUND_VALUE" vbProcedure="false">"c13778"</definedName>
    <definedName function="false" hidden="true" name="IQ_AGG_INSIDER_SHARES" vbProcedure="false">"c13780"</definedName>
    <definedName function="false" hidden="true" name="IQ_AGG_INSIDER_VALUE" vbProcedure="false">"c13773"</definedName>
    <definedName function="false" hidden="true" name="IQ_AGG_INSTITUTIONAL_SHARES" vbProcedure="false">"c13779"</definedName>
    <definedName function="false" hidden="true" name="IQ_AGG_INSTITUTIONAL_VALUE" vbProcedure="false">"c13772"</definedName>
    <definedName function="false" hidden="true" name="IQ_AGG_OTHER_SHARES" vbProcedure="false">"c13784"</definedName>
    <definedName function="false" hidden="true" name="IQ_AGG_OTHER_VALUE" vbProcedure="false">"c13777"</definedName>
    <definedName function="false" hidden="true" name="IQ_AGRICULTURAL_GROSS_LOANS_FFIEC" vbProcedure="false">"c13413"</definedName>
    <definedName function="false" hidden="true" name="IQ_AGRICULTURAL_LOANS_FOREIGN_FFIEC" vbProcedure="false">"c13481"</definedName>
    <definedName function="false" hidden="true" name="IQ_AGRICULTURAL_PRODUCTION_CHARGE_OFFS_FDIC" vbProcedure="false">"c6597"</definedName>
    <definedName function="false" hidden="true" name="IQ_AGRICULTURAL_PRODUCTION_CHARGE_OFFS_LESS_THAN_300M_FDIC" vbProcedure="false">"c6655"</definedName>
    <definedName function="false" hidden="true" name="IQ_AGRICULTURAL_PRODUCTION_NET_CHARGE_OFFS_FDIC" vbProcedure="false">"c6635"</definedName>
    <definedName function="false" hidden="true" name="IQ_AGRICULTURAL_PRODUCTION_NET_CHARGE_OFFS_LESS_THAN_300M_FDIC" vbProcedure="false">"c6657"</definedName>
    <definedName function="false" hidden="true" name="IQ_AGRICULTURAL_PRODUCTION_RECOVERIES_FDIC" vbProcedure="false">"c6616"</definedName>
    <definedName function="false" hidden="true" name="IQ_AGRICULTURAL_PRODUCTION_RECOVERIES_LESS_THAN_300M_FDIC" vbProcedure="false">"c6656"</definedName>
    <definedName function="false" hidden="true" name="IQ_AGRICULTURAL_RISK_BASED_FFIEC" vbProcedure="false">"c13434"</definedName>
    <definedName function="false" hidden="true" name="IQ_AG_PROD_FARM_LOANS_DOM_QUARTERLY_AVG_FFIEC" vbProcedure="false">"c15477"</definedName>
    <definedName function="false" hidden="true" name="IQ_AH_EARNED" vbProcedure="false">"c2744"</definedName>
    <definedName function="false" hidden="true" name="IQ_AH_POLICY_BENEFITS_EXP" vbProcedure="false">"c2789"</definedName>
    <definedName function="false" hidden="true" name="IQ_AIR_AIRPLANES_NOT_IN_SERVICE" vbProcedure="false">"c2842"</definedName>
    <definedName function="false" hidden="true" name="IQ_AIR_AIRPLANES_SUBLEASED" vbProcedure="false">"c2841"</definedName>
    <definedName function="false" hidden="true" name="IQ_AIR_ASK" vbProcedure="false">"c2813"</definedName>
    <definedName function="false" hidden="true" name="IQ_AIR_ASK_INCREASE" vbProcedure="false">"c2826"</definedName>
    <definedName function="false" hidden="true" name="IQ_AIR_ASM" vbProcedure="false">"c2812"</definedName>
    <definedName function="false" hidden="true" name="IQ_AIR_ASM_INCREASE" vbProcedure="false">"c2825"</definedName>
    <definedName function="false" hidden="true" name="IQ_AIR_AVG_AGE" vbProcedure="false">"c2843"</definedName>
    <definedName function="false" hidden="true" name="IQ_AIR_AVG_PSGR_FARE" vbProcedure="false">"c10029"</definedName>
    <definedName function="false" hidden="true" name="IQ_AIR_BREAK_EVEN_FACTOR" vbProcedure="false">"c2822"</definedName>
    <definedName function="false" hidden="true" name="IQ_AIR_CAPITAL_LEASE" vbProcedure="false">"c2833"</definedName>
    <definedName function="false" hidden="true" name="IQ_AIR_COMPLETION_FACTOR" vbProcedure="false">"c2824"</definedName>
    <definedName function="false" hidden="true" name="IQ_AIR_ENPLANED_PSGRS" vbProcedure="false">"c2809"</definedName>
    <definedName function="false" hidden="true" name="IQ_AIR_FUEL_CONSUMED" vbProcedure="false">"c2806"</definedName>
    <definedName function="false" hidden="true" name="IQ_AIR_FUEL_CONSUMED_L" vbProcedure="false">"c2807"</definedName>
    <definedName function="false" hidden="true" name="IQ_AIR_FUEL_COST" vbProcedure="false">"c2803"</definedName>
    <definedName function="false" hidden="true" name="IQ_AIR_FUEL_COST_L" vbProcedure="false">"c2804"</definedName>
    <definedName function="false" hidden="true" name="IQ_AIR_FUEL_EXP" vbProcedure="false">"c2802"</definedName>
    <definedName function="false" hidden="true" name="IQ_AIR_FUEL_EXP_PERCENT" vbProcedure="false">"c2805"</definedName>
    <definedName function="false" hidden="true" name="IQ_AIR_LEASED" vbProcedure="false">"c2835"</definedName>
    <definedName function="false" hidden="true" name="IQ_AIR_LOAD_FACTOR" vbProcedure="false">"c2823"</definedName>
    <definedName function="false" hidden="true" name="IQ_AIR_NEW_AIRPLANES" vbProcedure="false">"c2839"</definedName>
    <definedName function="false" hidden="true" name="IQ_AIR_NUMBER_HRS_FLOWN" vbProcedure="false">"c10037"</definedName>
    <definedName function="false" hidden="true" name="IQ_AIR_NUMBER_OPERATING_AIRCRAFT_AVG" vbProcedure="false">"c10035"</definedName>
    <definedName function="false" hidden="true" name="IQ_AIR_NUMBER_TRIPS_FLOWN" vbProcedure="false">"c10030"</definedName>
    <definedName function="false" hidden="true" name="IQ_AIR_OPER_EXP_ASK" vbProcedure="false">"c2821"</definedName>
    <definedName function="false" hidden="true" name="IQ_AIR_OPER_EXP_ASM" vbProcedure="false">"c2820"</definedName>
    <definedName function="false" hidden="true" name="IQ_AIR_OPER_LEASE" vbProcedure="false">"c2834"</definedName>
    <definedName function="false" hidden="true" name="IQ_AIR_OPER_REV_YIELD_ASK" vbProcedure="false">"c2819"</definedName>
    <definedName function="false" hidden="true" name="IQ_AIR_OPER_REV_YIELD_ASM" vbProcedure="false">"c2818"</definedName>
    <definedName function="false" hidden="true" name="IQ_AIR_OPEX_PER_ASK_EXCL_FUEL" vbProcedure="false">"c10034"</definedName>
    <definedName function="false" hidden="true" name="IQ_AIR_OPEX_PER_ASM_EXCL_FUEL" vbProcedure="false">"c10033"</definedName>
    <definedName function="false" hidden="true" name="IQ_AIR_OPTIONS" vbProcedure="false">"c2837"</definedName>
    <definedName function="false" hidden="true" name="IQ_AIR_ORDERS" vbProcedure="false">"c2836"</definedName>
    <definedName function="false" hidden="true" name="IQ_AIR_OWNED" vbProcedure="false">"c2832"</definedName>
    <definedName function="false" hidden="true" name="IQ_AIR_PERCENTAGE_SALES_VIA_INTERNET" vbProcedure="false">"c10036"</definedName>
    <definedName function="false" hidden="true" name="IQ_AIR_PSGR_HAUL_AVG_LENGTH_KM" vbProcedure="false">"c10032"</definedName>
    <definedName function="false" hidden="true" name="IQ_AIR_PSGR_HAUL_AVG_LENGTH_MILES" vbProcedure="false">"c10031"</definedName>
    <definedName function="false" hidden="true" name="IQ_AIR_PSGR_REV_YIELD_ASK" vbProcedure="false">"c2817"</definedName>
    <definedName function="false" hidden="true" name="IQ_AIR_PSGR_REV_YIELD_ASM" vbProcedure="false">"c2816"</definedName>
    <definedName function="false" hidden="true" name="IQ_AIR_PSGR_REV_YIELD_RPK" vbProcedure="false">"c2815"</definedName>
    <definedName function="false" hidden="true" name="IQ_AIR_PSGR_REV_YIELD_RPM" vbProcedure="false">"c2814"</definedName>
    <definedName function="false" hidden="true" name="IQ_AIR_PURCHASE_RIGHTS" vbProcedure="false">"c2838"</definedName>
    <definedName function="false" hidden="true" name="IQ_AIR_RETIRED_AIRPLANES" vbProcedure="false">"c2840"</definedName>
    <definedName function="false" hidden="true" name="IQ_AIR_REV_PSGRS_CARRIED" vbProcedure="false">"c2808"</definedName>
    <definedName function="false" hidden="true" name="IQ_AIR_REV_SCHEDULED_SERVICE" vbProcedure="false">"c2830"</definedName>
    <definedName function="false" hidden="true" name="IQ_AIR_RPK" vbProcedure="false">"c2811"</definedName>
    <definedName function="false" hidden="true" name="IQ_AIR_RPM" vbProcedure="false">"c2810"</definedName>
    <definedName function="false" hidden="true" name="IQ_AIR_STAGE_LENGTH" vbProcedure="false">"c2828"</definedName>
    <definedName function="false" hidden="true" name="IQ_AIR_STAGE_LENGTH_KM" vbProcedure="false">"c2829"</definedName>
    <definedName function="false" hidden="true" name="IQ_AIR_TOTAL" vbProcedure="false">"c2831"</definedName>
    <definedName function="false" hidden="true" name="IQ_AIR_UTILIZATION" vbProcedure="false">"c2827"</definedName>
    <definedName function="false" hidden="true" name="IQ_ALLOWABLE_T2_CAPITAL_FFIEC" vbProcedure="false">"c13150"</definedName>
    <definedName function="false" hidden="true" name="IQ_ALLOWANCE_10YR_ANN_CAGR" vbProcedure="false">"c6035"</definedName>
    <definedName function="false" hidden="true" name="IQ_ALLOWANCE_10YR_ANN_GROWTH" vbProcedure="false">"c18"</definedName>
    <definedName function="false" hidden="true" name="IQ_ALLOWANCE_1YR_ANN_GROWTH" vbProcedure="false">"c19"</definedName>
    <definedName function="false" hidden="true" name="IQ_ALLOWANCE_2YR_ANN_CAGR" vbProcedure="false">"c6036"</definedName>
    <definedName function="false" hidden="true" name="IQ_ALLOWANCE_2YR_ANN_GROWTH" vbProcedure="false">"c20"</definedName>
    <definedName function="false" hidden="true" name="IQ_ALLOWANCE_3YR_ANN_CAGR" vbProcedure="false">"c6037"</definedName>
    <definedName function="false" hidden="true" name="IQ_ALLOWANCE_3YR_ANN_GROWTH" vbProcedure="false">"c21"</definedName>
    <definedName function="false" hidden="true" name="IQ_ALLOWANCE_5YR_ANN_CAGR" vbProcedure="false">"c6038"</definedName>
    <definedName function="false" hidden="true" name="IQ_ALLOWANCE_5YR_ANN_GROWTH" vbProcedure="false">"c22"</definedName>
    <definedName function="false" hidden="true" name="IQ_ALLOWANCE_7YR_ANN_CAGR" vbProcedure="false">"c6039"</definedName>
    <definedName function="false" hidden="true" name="IQ_ALLOWANCE_7YR_ANN_GROWTH" vbProcedure="false">"c23"</definedName>
    <definedName function="false" hidden="true" name="IQ_ALLOWANCE_CHARGE_OFFS" vbProcedure="false">"c24"</definedName>
    <definedName function="false" hidden="true" name="IQ_ALLOWANCE_CREDIT_LOSSES_OFF_BS_FFIEC" vbProcedure="false">"c12871"</definedName>
    <definedName function="false" hidden="true" name="IQ_ALLOWANCE_LL_LOSSES_T2_FFIEC" vbProcedure="false">"c13146"</definedName>
    <definedName function="false" hidden="true" name="IQ_ALLOWANCE_NON_PERF_LOANS" vbProcedure="false">"c25"</definedName>
    <definedName function="false" hidden="true" name="IQ_ALLOWANCE_TOTAL_LOANS" vbProcedure="false">"c26"</definedName>
    <definedName function="false" hidden="true" name="IQ_ALLOW_BORROW_CONST" vbProcedure="false">"c15"</definedName>
    <definedName function="false" hidden="true" name="IQ_ALLOW_CONST" vbProcedure="false">"c1342"</definedName>
    <definedName function="false" hidden="true" name="IQ_ALLOW_DOUBT_ACCT" vbProcedure="false">"c2092"</definedName>
    <definedName function="false" hidden="true" name="IQ_ALLOW_EQUITY_CONST" vbProcedure="false">"c16"</definedName>
    <definedName function="false" hidden="true" name="IQ_ALLOW_LL" vbProcedure="false">"c17"</definedName>
    <definedName function="false" hidden="true" name="IQ_ALLOW_LL_LOSSES_FFIEC" vbProcedure="false">"c12810"</definedName>
    <definedName function="false" hidden="true" name="IQ_ALL_OTHER_DEPOSITS_FOREIGN_DEP_FFIEC" vbProcedure="false">"c15347"</definedName>
    <definedName function="false" hidden="true" name="IQ_ALL_OTHER_INVEST_UNCONSOL_SUBS_FFIEC" vbProcedure="false">"c15275"</definedName>
    <definedName function="false" hidden="true" name="IQ_ALL_OTHER_LEASES_CHARGE_OFFS_FFIEC" vbProcedure="false">"c13185"</definedName>
    <definedName function="false" hidden="true" name="IQ_ALL_OTHER_LEASES_RECOV_FFIEC" vbProcedure="false">"c13207"</definedName>
    <definedName function="false" hidden="true" name="IQ_ALL_OTHER_LOANS_CHARGE_OFFS_FFIEC" vbProcedure="false">"c13183"</definedName>
    <definedName function="false" hidden="true" name="IQ_ALL_OTHER_LOANS_RECOV_FFIEC" vbProcedure="false">"c13205"</definedName>
    <definedName function="false" hidden="true" name="IQ_ALL_OTHER_TRADING_LIABILITIES_DOM_FFIEC" vbProcedure="false">"c12942"</definedName>
    <definedName function="false" hidden="true" name="IQ_AMENDED_BALANCE_PREVIOUS_YR_FDIC" vbProcedure="false">"c6499"</definedName>
    <definedName function="false" hidden="true" name="IQ_AMORTIZATION" vbProcedure="false">"c1591"</definedName>
    <definedName function="false" hidden="true" name="IQ_AMORTIZED_COST_FDIC" vbProcedure="false">"c6426"</definedName>
    <definedName function="false" hidden="true" name="IQ_AMORT_EXPENSE_FDIC" vbProcedure="false">"c6677"</definedName>
    <definedName function="false" hidden="true" name="IQ_AMORT_EXP_IMPAIRMENT_OTHER_INTANGIBLE_ASSETS_FFIEC" vbProcedure="false">"c13026"</definedName>
    <definedName function="false" hidden="true" name="IQ_AMOUNT_FINANCIAL_LOC_CONVEYED_FFIEC" vbProcedure="false">"c13250"</definedName>
    <definedName function="false" hidden="true" name="IQ_AMOUNT_PERFORMANCE_LOC_CONVEYED_FFIEC" vbProcedure="false">"c13252"</definedName>
    <definedName function="false" hidden="true" name="IQ_AMT_OUT" vbProcedure="false">"c2145"</definedName>
    <definedName function="false" hidden="true" name="IQ_ANALYST_DET_EST" vbProcedure="false">"c12043"</definedName>
    <definedName function="false" hidden="true" name="IQ_ANALYST_DET_EST_CIQ" vbProcedure="false">"c12103"</definedName>
    <definedName function="false" hidden="true" name="IQ_ANALYST_DET_EST_THOM" vbProcedure="false">"c12071"</definedName>
    <definedName function="false" hidden="true" name="IQ_ANALYST_EMAIL" vbProcedure="false">"c13738"</definedName>
    <definedName function="false" hidden="true" name="IQ_ANALYST_NAME" vbProcedure="false">"c13736"</definedName>
    <definedName function="false" hidden="true" name="IQ_ANALYST_NON_PER_DET_EST" vbProcedure="false">"c12755"</definedName>
    <definedName function="false" hidden="true" name="IQ_ANALYST_NON_PER_DET_EST_CIQ" vbProcedure="false">"c12756"</definedName>
    <definedName function="false" hidden="true" name="IQ_ANALYST_NON_PER_DET_EST_THOM" vbProcedure="false">"c12759"</definedName>
    <definedName function="false" hidden="true" name="IQ_ANALYST_PHONE" vbProcedure="false">"c13737"</definedName>
    <definedName function="false" hidden="true" name="IQ_ANALYST_START_DATE" vbProcedure="false">"c13740"</definedName>
    <definedName function="false" hidden="true" name="IQ_ANNUALIZED_DIVIDEND" vbProcedure="false">"c1579"</definedName>
    <definedName function="false" hidden="true" name="IQ_ANNUAL_DIVIDEND" vbProcedure="false">"c229"</definedName>
    <definedName function="false" hidden="true" name="IQ_ANNUAL_PREMIUM_EQUIVALENT_NEW_BUSINESS" vbProcedure="false">"c9972"</definedName>
    <definedName function="false" hidden="true" name="IQ_ANNUITY_LIAB" vbProcedure="false">"c27"</definedName>
    <definedName function="false" hidden="true" name="IQ_ANNUITY_PAY" vbProcedure="false">"c28"</definedName>
    <definedName function="false" hidden="true" name="IQ_ANNUITY_POLICY_EXP" vbProcedure="false">"c29"</definedName>
    <definedName function="false" hidden="true" name="IQ_ANNUITY_REC" vbProcedure="false">"c30"</definedName>
    <definedName function="false" hidden="true" name="IQ_ANNUITY_REV" vbProcedure="false">"c31"</definedName>
    <definedName function="false" hidden="true" name="IQ_ANNUITY_SALES_FEES_COMMISSIONS_FFIEC" vbProcedure="false">"c13007"</definedName>
    <definedName function="false" hidden="true" name="IQ_ANNU_DISTRIBUTION_UNIT" vbProcedure="false">"c3004"</definedName>
    <definedName function="false" hidden="true" name="IQ_AP" vbProcedure="false">"c32"</definedName>
    <definedName function="false" hidden="true" name="IQ_APIC" vbProcedure="false">"c39"</definedName>
    <definedName function="false" hidden="true" name="IQ_APPLICABLE_INCOME_TAXES_FTE_FFIEC" vbProcedure="false">"c13853"</definedName>
    <definedName function="false" hidden="true" name="IQ_AP_BNK" vbProcedure="false">"c33"</definedName>
    <definedName function="false" hidden="true" name="IQ_AP_BR" vbProcedure="false">"c34"</definedName>
    <definedName function="false" hidden="true" name="IQ_AP_FIN" vbProcedure="false">"c35"</definedName>
    <definedName function="false" hidden="true" name="IQ_AP_INS" vbProcedure="false">"c36"</definedName>
    <definedName function="false" hidden="true" name="IQ_AP_RE" vbProcedure="false">"c6196"</definedName>
    <definedName function="false" hidden="true" name="IQ_AP_REIT" vbProcedure="false">"c37"</definedName>
    <definedName function="false" hidden="true" name="IQ_AP_UTI" vbProcedure="false">"c38"</definedName>
    <definedName function="false" hidden="true" name="IQ_AR" vbProcedure="false">"c40"</definedName>
    <definedName function="false" hidden="true" name="IQ_ARPU" vbProcedure="false">"c2126"</definedName>
    <definedName function="false" hidden="true" name="IQ_ARPU_ANALOG_CABLE" vbProcedure="false">"c2864"</definedName>
    <definedName function="false" hidden="true" name="IQ_ARPU_BASIC_CABLE" vbProcedure="false">"c2866"</definedName>
    <definedName function="false" hidden="true" name="IQ_ARPU_BBAND" vbProcedure="false">"c2867"</definedName>
    <definedName function="false" hidden="true" name="IQ_ARPU_DIG_CABLE" vbProcedure="false">"c2865"</definedName>
    <definedName function="false" hidden="true" name="IQ_ARPU_PHONE" vbProcedure="false">"c2868"</definedName>
    <definedName function="false" hidden="true" name="IQ_ARPU_POSTPAID_WIRELESS" vbProcedure="false">"c15758"</definedName>
    <definedName function="false" hidden="true" name="IQ_ARPU_PREPAID_WIRELESS" vbProcedure="false">"c15759"</definedName>
    <definedName function="false" hidden="true" name="IQ_ARPU_RETAIL_WIRELESS" vbProcedure="false">"c15760"</definedName>
    <definedName function="false" hidden="true" name="IQ_ARPU_SATELLITE" vbProcedure="false">"c15790"</definedName>
    <definedName function="false" hidden="true" name="IQ_ARPU_TOTAL" vbProcedure="false">"c2869"</definedName>
    <definedName function="false" hidden="true" name="IQ_ARPU_WHOLESALE_WIRELESS" vbProcedure="false">"c15761"</definedName>
    <definedName function="false" hidden="true" name="IQ_ARPU_WIRELESS" vbProcedure="false">"c2126"</definedName>
    <definedName function="false" hidden="true" name="IQ_AR_BR" vbProcedure="false">"c41"</definedName>
    <definedName function="false" hidden="true" name="IQ_AR_LT" vbProcedure="false">"c42"</definedName>
    <definedName function="false" hidden="true" name="IQ_AR_RE" vbProcedure="false">"c6197"</definedName>
    <definedName function="false" hidden="true" name="IQ_AR_REIT" vbProcedure="false">"c43"</definedName>
    <definedName function="false" hidden="true" name="IQ_AR_TURNS" vbProcedure="false">"c44"</definedName>
    <definedName function="false" hidden="true" name="IQ_AR_UTI" vbProcedure="false">"c45"</definedName>
    <definedName function="false" hidden="true" name="IQ_ASSETS_AP" vbProcedure="false">"c8883"</definedName>
    <definedName function="false" hidden="true" name="IQ_ASSETS_AP_ABS" vbProcedure="false">"c8902"</definedName>
    <definedName function="false" hidden="true" name="IQ_ASSETS_CAP_LEASE_DEPR" vbProcedure="false">"c2068"</definedName>
    <definedName function="false" hidden="true" name="IQ_ASSETS_CAP_LEASE_GROSS" vbProcedure="false">"c2069"</definedName>
    <definedName function="false" hidden="true" name="IQ_ASSETS_FAIR_VALUE" vbProcedure="false">"c13843"</definedName>
    <definedName function="false" hidden="true" name="IQ_ASSETS_HELD_FDIC" vbProcedure="false">"c6305"</definedName>
    <definedName function="false" hidden="true" name="IQ_ASSETS_LEVEL_1" vbProcedure="false">"c13839"</definedName>
    <definedName function="false" hidden="true" name="IQ_ASSETS_LEVEL_2" vbProcedure="false">"c13840"</definedName>
    <definedName function="false" hidden="true" name="IQ_ASSETS_LEVEL_3" vbProcedure="false">"c13841"</definedName>
    <definedName function="false" hidden="true" name="IQ_ASSETS_NAME_AP" vbProcedure="false">"c8921"</definedName>
    <definedName function="false" hidden="true" name="IQ_ASSETS_NAME_AP_ABS" vbProcedure="false">"c8940"</definedName>
    <definedName function="false" hidden="true" name="IQ_ASSETS_NETTING_OTHER_ADJUSTMENTS" vbProcedure="false">"c13842"</definedName>
    <definedName function="false" hidden="true" name="IQ_ASSETS_OPER_LEASE_DEPR" vbProcedure="false">"c2070"</definedName>
    <definedName function="false" hidden="true" name="IQ_ASSETS_OPER_LEASE_GROSS" vbProcedure="false">"c2071"</definedName>
    <definedName function="false" hidden="true" name="IQ_ASSETS_PER_EMPLOYEE_FDIC" vbProcedure="false">"c6737"</definedName>
    <definedName function="false" hidden="true" name="IQ_ASSETS_REPRICE_ASSETS_TOT_FFIEC" vbProcedure="false">"c13454"</definedName>
    <definedName function="false" hidden="true" name="IQ_ASSETS_SOLD_1_4_FAMILY_LOANS_FDIC" vbProcedure="false">"c6686"</definedName>
    <definedName function="false" hidden="true" name="IQ_ASSETS_SOLD_AUTO_LOANS_FDIC" vbProcedure="false">"c6680"</definedName>
    <definedName function="false" hidden="true" name="IQ_ASSETS_SOLD_CL_LOANS_FDIC" vbProcedure="false">"c6681"</definedName>
    <definedName function="false" hidden="true" name="IQ_ASSETS_SOLD_CREDIT_CARDS_RECEIVABLES_FDIC" vbProcedure="false">"c6683"</definedName>
    <definedName function="false" hidden="true" name="IQ_ASSETS_SOLD_HOME_EQUITY_LINES_FDIC" vbProcedure="false">"c6684"</definedName>
    <definedName function="false" hidden="true" name="IQ_ASSETS_SOLD_OTHER_CONSUMER_LOANS_FDIC" vbProcedure="false">"c6682"</definedName>
    <definedName function="false" hidden="true" name="IQ_ASSETS_SOLD_OTHER_LOANS_FDIC" vbProcedure="false">"c6685"</definedName>
    <definedName function="false" hidden="true" name="IQ_ASSETS_UNDER_ADMINISTRATION" vbProcedure="false">"c20432"</definedName>
    <definedName function="false" hidden="true" name="IQ_ASSET_BACKED_FDIC" vbProcedure="false">"c6301"</definedName>
    <definedName function="false" hidden="true" name="IQ_ASSET_MANAGED_GROWTH_RATE" vbProcedure="false">"c20434"</definedName>
    <definedName function="false" hidden="true" name="IQ_ASSET_MGMT_FEE" vbProcedure="false">"c46"</definedName>
    <definedName function="false" hidden="true" name="IQ_ASSET_TURNS" vbProcedure="false">"c47"</definedName>
    <definedName function="false" hidden="true" name="IQ_ASSET_WRITEDOWN" vbProcedure="false">"c48"</definedName>
    <definedName function="false" hidden="true" name="IQ_ASSET_WRITEDOWN_BNK" vbProcedure="false">"c49"</definedName>
    <definedName function="false" hidden="true" name="IQ_ASSET_WRITEDOWN_BR" vbProcedure="false">"c50"</definedName>
    <definedName function="false" hidden="true" name="IQ_ASSET_WRITEDOWN_CF" vbProcedure="false">"c51"</definedName>
    <definedName function="false" hidden="true" name="IQ_ASSET_WRITEDOWN_CF_BNK" vbProcedure="false">"c52"</definedName>
    <definedName function="false" hidden="true" name="IQ_ASSET_WRITEDOWN_CF_BR" vbProcedure="false">"c53"</definedName>
    <definedName function="false" hidden="true" name="IQ_ASSET_WRITEDOWN_CF_FIN" vbProcedure="false">"c54"</definedName>
    <definedName function="false" hidden="true" name="IQ_ASSET_WRITEDOWN_CF_INS" vbProcedure="false">"c55"</definedName>
    <definedName function="false" hidden="true" name="IQ_ASSET_WRITEDOWN_CF_RE" vbProcedure="false">"c6198"</definedName>
    <definedName function="false" hidden="true" name="IQ_ASSET_WRITEDOWN_CF_REIT" vbProcedure="false">"c56"</definedName>
    <definedName function="false" hidden="true" name="IQ_ASSET_WRITEDOWN_CF_UTI" vbProcedure="false">"c57"</definedName>
    <definedName function="false" hidden="true" name="IQ_ASSET_WRITEDOWN_FIN" vbProcedure="false">"c58"</definedName>
    <definedName function="false" hidden="true" name="IQ_ASSET_WRITEDOWN_INS" vbProcedure="false">"c59"</definedName>
    <definedName function="false" hidden="true" name="IQ_ASSET_WRITEDOWN_RE" vbProcedure="false">"c6199"</definedName>
    <definedName function="false" hidden="true" name="IQ_ASSET_WRITEDOWN_REIT" vbProcedure="false">"c60"</definedName>
    <definedName function="false" hidden="true" name="IQ_ASSET_WRITEDOWN_SUPPLE" vbProcedure="false">"c13812"</definedName>
    <definedName function="false" hidden="true" name="IQ_ASSET_WRITEDOWN_UTI" vbProcedure="false">"c61"</definedName>
    <definedName function="false" hidden="true" name="IQ_ASSIGNED_RESERVES_COAL" vbProcedure="false">"c15912"</definedName>
    <definedName function="false" hidden="true" name="IQ_ASSIGNED_RESERVES_TO_TOTAL_RESERVES_COAL" vbProcedure="false">"c15955"</definedName>
    <definedName function="false" hidden="true" name="IQ_ASSUMED_AH_EARNED" vbProcedure="false">"c2741"</definedName>
    <definedName function="false" hidden="true" name="IQ_ASSUMED_EARNED" vbProcedure="false">"c2731"</definedName>
    <definedName function="false" hidden="true" name="IQ_ASSUMED_LIFE_EARNED" vbProcedure="false">"c2736"</definedName>
    <definedName function="false" hidden="true" name="IQ_ASSUMED_LIFE_IN_FORCE" vbProcedure="false">"c2766"</definedName>
    <definedName function="false" hidden="true" name="IQ_ASSUMED_LOSSES" vbProcedure="false">"c15870"</definedName>
    <definedName function="false" hidden="true" name="IQ_ASSUMED_PC_EARNED" vbProcedure="false">"c2746"</definedName>
    <definedName function="false" hidden="true" name="IQ_ASSUMED_PREMIUMS_EARNED_GROSS_PREMIUMS_EARNED" vbProcedure="false">"c15886"</definedName>
    <definedName function="false" hidden="true" name="IQ_ASSUMED_PREMIUMS_WRITTEN_GROSS_PREMIUMS_WRITTEN" vbProcedure="false">"c15884"</definedName>
    <definedName function="false" hidden="true" name="IQ_ASSUMED_WRITTEN" vbProcedure="false">"c2725"</definedName>
    <definedName function="false" hidden="true" name="IQ_ATM_FEES_FFIEC" vbProcedure="false">"c13042"</definedName>
    <definedName function="false" hidden="true" name="IQ_ATM_INTERCHANGE_EXPENSES_FFIEC" vbProcedure="false">"c13056"</definedName>
    <definedName function="false" hidden="true" name="IQ_AUDITOR_NAME" vbProcedure="false">"c1539"</definedName>
    <definedName function="false" hidden="true" name="IQ_AUDITOR_OPINION" vbProcedure="false">"c1540"</definedName>
    <definedName function="false" hidden="true" name="IQ_AUM" vbProcedure="false">"c10043"</definedName>
    <definedName function="false" hidden="true" name="IQ_AUM_ACQUISITIONS_TRANSFERS" vbProcedure="false">"c20415"</definedName>
    <definedName function="false" hidden="true" name="IQ_AUM_AVERAGE" vbProcedure="false">"c20418"</definedName>
    <definedName function="false" hidden="true" name="IQ_AUM_BOP" vbProcedure="false">"c20409"</definedName>
    <definedName function="false" hidden="true" name="IQ_AUM_CASH_FLOWS_DIVIDENDS" vbProcedure="false">"c20413"</definedName>
    <definedName function="false" hidden="true" name="IQ_AUM_DOMESTIC" vbProcedure="false">"c20400"</definedName>
    <definedName function="false" hidden="true" name="IQ_AUM_EOP" vbProcedure="false">"c20417"</definedName>
    <definedName function="false" hidden="true" name="IQ_AUM_EQUITY_FUNDS" vbProcedure="false">"c10039"</definedName>
    <definedName function="false" hidden="true" name="IQ_AUM_FEE_EARNING" vbProcedure="false">"c20402"</definedName>
    <definedName function="false" hidden="true" name="IQ_AUM_FIXED_INCOME_FUNDS" vbProcedure="false">"c10040"</definedName>
    <definedName function="false" hidden="true" name="IQ_AUM_FOREIGN" vbProcedure="false">"c20401"</definedName>
    <definedName function="false" hidden="true" name="IQ_AUM_HIGH_NET_WORTH" vbProcedure="false">"c20398"</definedName>
    <definedName function="false" hidden="true" name="IQ_AUM_INFLOWS" vbProcedure="false">"c20410"</definedName>
    <definedName function="false" hidden="true" name="IQ_AUM_INSTITUTIONAL" vbProcedure="false">"c20396"</definedName>
    <definedName function="false" hidden="true" name="IQ_AUM_INSTITUTIONAL_CUSTOMERS" vbProcedure="false">"c20405"</definedName>
    <definedName function="false" hidden="true" name="IQ_AUM_MARKET_APPRECIATION_DEPRECIATION" vbProcedure="false">"c20414"</definedName>
    <definedName function="false" hidden="true" name="IQ_AUM_MONEY_MARKET_FUNDS" vbProcedure="false">"c10041"</definedName>
    <definedName function="false" hidden="true" name="IQ_AUM_NET_CHANGE" vbProcedure="false">"c20419"</definedName>
    <definedName function="false" hidden="true" name="IQ_AUM_NET_INFLOWS_OUTFLOWS" vbProcedure="false">"c20412"</definedName>
    <definedName function="false" hidden="true" name="IQ_AUM_NON_FEE_EARNING" vbProcedure="false">"c20403"</definedName>
    <definedName function="false" hidden="true" name="IQ_AUM_OTHER" vbProcedure="false">"c10042"</definedName>
    <definedName function="false" hidden="true" name="IQ_AUM_OTHER_ADJUSTMENTS" vbProcedure="false">"c20416"</definedName>
    <definedName function="false" hidden="true" name="IQ_AUM_OTHER_CLIENTS" vbProcedure="false">"c20399"</definedName>
    <definedName function="false" hidden="true" name="IQ_AUM_OTHER_CUSTOMERS" vbProcedure="false">"c20407"</definedName>
    <definedName function="false" hidden="true" name="IQ_AUM_OUTFLOWS" vbProcedure="false">"c20411"</definedName>
    <definedName function="false" hidden="true" name="IQ_AUM_PRIVATE_EQUITY" vbProcedure="false">"c20394"</definedName>
    <definedName function="false" hidden="true" name="IQ_AUM_REAL_ESTATE" vbProcedure="false">"c20395"</definedName>
    <definedName function="false" hidden="true" name="IQ_AUM_RETAIL" vbProcedure="false">"c20397"</definedName>
    <definedName function="false" hidden="true" name="IQ_AUM_RETAIL_CUSTOMERS" vbProcedure="false">"c20404"</definedName>
    <definedName function="false" hidden="true" name="IQ_AUM_SME_CUSTOMERS" vbProcedure="false">"c20406"</definedName>
    <definedName function="false" hidden="true" name="IQ_AUM_TOTAL_CUSTOMERS" vbProcedure="false">"c20408"</definedName>
    <definedName function="false" hidden="true" name="IQ_AUTO_LOANS_TOTAL_LOANS" vbProcedure="false">"c15713"</definedName>
    <definedName function="false" hidden="true" name="IQ_AUTO_REGIST_NEW" vbProcedure="false">"c6923"</definedName>
    <definedName function="false" hidden="true" name="IQ_AUTO_REGIST_NEW_APR" vbProcedure="false">"c7583"</definedName>
    <definedName function="false" hidden="true" name="IQ_AUTO_REGIST_NEW_APR_FC" vbProcedure="false">"c8463"</definedName>
    <definedName function="false" hidden="true" name="IQ_AUTO_REGIST_NEW_FC" vbProcedure="false">"c7803"</definedName>
    <definedName function="false" hidden="true" name="IQ_AUTO_REGIST_NEW_POP" vbProcedure="false">"c7143"</definedName>
    <definedName function="false" hidden="true" name="IQ_AUTO_REGIST_NEW_POP_FC" vbProcedure="false">"c8023"</definedName>
    <definedName function="false" hidden="true" name="IQ_AUTO_REGIST_NEW_YOY" vbProcedure="false">"c7363"</definedName>
    <definedName function="false" hidden="true" name="IQ_AUTO_REGIST_NEW_YOY_FC" vbProcedure="false">"c8243"</definedName>
    <definedName function="false" hidden="true" name="IQ_AUTO_SALES_DOM" vbProcedure="false">"c6852"</definedName>
    <definedName function="false" hidden="true" name="IQ_AUTO_SALES_DOM_APR" vbProcedure="false">"c7512"</definedName>
    <definedName function="false" hidden="true" name="IQ_AUTO_SALES_DOM_APR_FC" vbProcedure="false">"c8392"</definedName>
    <definedName function="false" hidden="true" name="IQ_AUTO_SALES_DOM_FC" vbProcedure="false">"c7732"</definedName>
    <definedName function="false" hidden="true" name="IQ_AUTO_SALES_DOM_POP" vbProcedure="false">"c7072"</definedName>
    <definedName function="false" hidden="true" name="IQ_AUTO_SALES_DOM_POP_FC" vbProcedure="false">"c7952"</definedName>
    <definedName function="false" hidden="true" name="IQ_AUTO_SALES_DOM_YOY" vbProcedure="false">"c7292"</definedName>
    <definedName function="false" hidden="true" name="IQ_AUTO_SALES_DOM_YOY_FC" vbProcedure="false">"c8172"</definedName>
    <definedName function="false" hidden="true" name="IQ_AUTO_SALES_FOREIGN" vbProcedure="false">"c6873"</definedName>
    <definedName function="false" hidden="true" name="IQ_AUTO_SALES_FOREIGN_APR" vbProcedure="false">"c7533"</definedName>
    <definedName function="false" hidden="true" name="IQ_AUTO_SALES_FOREIGN_APR_FC" vbProcedure="false">"c8413"</definedName>
    <definedName function="false" hidden="true" name="IQ_AUTO_SALES_FOREIGN_FC" vbProcedure="false">"c7753"</definedName>
    <definedName function="false" hidden="true" name="IQ_AUTO_SALES_FOREIGN_POP" vbProcedure="false">"c7093"</definedName>
    <definedName function="false" hidden="true" name="IQ_AUTO_SALES_FOREIGN_POP_FC" vbProcedure="false">"c7973"</definedName>
    <definedName function="false" hidden="true" name="IQ_AUTO_SALES_FOREIGN_YOY" vbProcedure="false">"c7313"</definedName>
    <definedName function="false" hidden="true" name="IQ_AUTO_SALES_FOREIGN_YOY_FC" vbProcedure="false">"c8193"</definedName>
    <definedName function="false" hidden="true" name="IQ_AUTO_WRITTEN" vbProcedure="false">"c62"</definedName>
    <definedName function="false" hidden="true" name="IQ_AVAILABLE_FOR_SALE_FDIC" vbProcedure="false">"c6409"</definedName>
    <definedName function="false" hidden="true" name="IQ_AVAILABLE_SALE_SEC_FFIEC" vbProcedure="false">"c12791"</definedName>
    <definedName function="false" hidden="true" name="IQ_AVAIL_FOR_SALE_FAIR_VALUE_TOT_FFIEC" vbProcedure="false">"c15399"</definedName>
    <definedName function="false" hidden="true" name="IQ_AVAIL_FOR_SALE_LEVEL_1_FFIEC" vbProcedure="false">"c15421"</definedName>
    <definedName function="false" hidden="true" name="IQ_AVAIL_FOR_SALE_LEVEL_2_FFIEC" vbProcedure="false">"c15434"</definedName>
    <definedName function="false" hidden="true" name="IQ_AVAIL_FOR_SALE_LEVEL_3_FFIEC" vbProcedure="false">"c15447"</definedName>
    <definedName function="false" hidden="true" name="IQ_AVERAGE_ASSETS_FDIC" vbProcedure="false">"c6362"</definedName>
    <definedName function="false" hidden="true" name="IQ_AVERAGE_ASSETS_QUART_FDIC" vbProcedure="false">"c6363"</definedName>
    <definedName function="false" hidden="true" name="IQ_AVERAGE_DEPOSITS" vbProcedure="false">"c15256"</definedName>
    <definedName function="false" hidden="true" name="IQ_AVERAGE_EARNING_ASSETS_FDIC" vbProcedure="false">"c6748"</definedName>
    <definedName function="false" hidden="true" name="IQ_AVERAGE_EQUITY_FDIC" vbProcedure="false">"c6749"</definedName>
    <definedName function="false" hidden="true" name="IQ_AVERAGE_INTEREST_BEARING_DEPOSITS" vbProcedure="false">"c15254"</definedName>
    <definedName function="false" hidden="true" name="IQ_AVERAGE_LOANS_FDIC" vbProcedure="false">"c6750"</definedName>
    <definedName function="false" hidden="true" name="IQ_AVERAGE_LOANS_HFI" vbProcedure="false">"c15251"</definedName>
    <definedName function="false" hidden="true" name="IQ_AVERAGE_LOANS_HFS" vbProcedure="false">"c15252"</definedName>
    <definedName function="false" hidden="true" name="IQ_AVERAGE_NON_INTEREST_BEARING_DEPOSITS" vbProcedure="false">"c15255"</definedName>
    <definedName function="false" hidden="true" name="IQ_AVG_BANK_ASSETS" vbProcedure="false">"c2072"</definedName>
    <definedName function="false" hidden="true" name="IQ_AVG_BANK_LOANS" vbProcedure="false">"c2073"</definedName>
    <definedName function="false" hidden="true" name="IQ_AVG_BROKER_REC" vbProcedure="false">"c63"</definedName>
    <definedName function="false" hidden="true" name="IQ_AVG_BROKER_REC_CIQ" vbProcedure="false">"c3612"</definedName>
    <definedName function="false" hidden="true" name="IQ_AVG_BROKER_REC_NO" vbProcedure="false">"c64"</definedName>
    <definedName function="false" hidden="true" name="IQ_AVG_BROKER_REC_NO_CIQ" vbProcedure="false">"c4657"</definedName>
    <definedName function="false" hidden="true" name="IQ_AVG_BROKER_REC_NO_REUT" vbProcedure="false">"c5315"</definedName>
    <definedName function="false" hidden="true" name="IQ_AVG_BROKER_REC_NO_THOM" vbProcedure="false">"c5094"</definedName>
    <definedName function="false" hidden="true" name="IQ_AVG_BROKER_REC_REUT" vbProcedure="false">"c3630"</definedName>
    <definedName function="false" hidden="true" name="IQ_AVG_BROKER_REC_THOM" vbProcedure="false">"c3648"</definedName>
    <definedName function="false" hidden="true" name="IQ_AVG_CALORIFIC_VALUE_COAL" vbProcedure="false">"c9828"</definedName>
    <definedName function="false" hidden="true" name="IQ_AVG_CALORIFIC_VALUE_MET_COAL" vbProcedure="false">"c9764"</definedName>
    <definedName function="false" hidden="true" name="IQ_AVG_CALORIFIC_VALUE_STEAM" vbProcedure="false">"c9794"</definedName>
    <definedName function="false" hidden="true" name="IQ_AVG_DAILY_VOL" vbProcedure="false">"c65"</definedName>
    <definedName function="false" hidden="true" name="IQ_AVG_EMPLOYEES" vbProcedure="false">"c6019"</definedName>
    <definedName function="false" hidden="true" name="IQ_AVG_GRADE_ALUM" vbProcedure="false">"c9254"</definedName>
    <definedName function="false" hidden="true" name="IQ_AVG_GRADE_COP" vbProcedure="false">"c9201"</definedName>
    <definedName function="false" hidden="true" name="IQ_AVG_GRADE_DIAM" vbProcedure="false">"c9678"</definedName>
    <definedName function="false" hidden="true" name="IQ_AVG_GRADE_GOLD" vbProcedure="false">"c9039"</definedName>
    <definedName function="false" hidden="true" name="IQ_AVG_GRADE_IRON" vbProcedure="false">"c9413"</definedName>
    <definedName function="false" hidden="true" name="IQ_AVG_GRADE_LEAD" vbProcedure="false">"c9466"</definedName>
    <definedName function="false" hidden="true" name="IQ_AVG_GRADE_MANG" vbProcedure="false">"c9519"</definedName>
    <definedName function="false" hidden="true" name="IQ_AVG_GRADE_MOLYB" vbProcedure="false">"c9731"</definedName>
    <definedName function="false" hidden="true" name="IQ_AVG_GRADE_NICK" vbProcedure="false">"c9307"</definedName>
    <definedName function="false" hidden="true" name="IQ_AVG_GRADE_PLAT" vbProcedure="false">"c9145"</definedName>
    <definedName function="false" hidden="true" name="IQ_AVG_GRADE_SILVER" vbProcedure="false">"c9092"</definedName>
    <definedName function="false" hidden="true" name="IQ_AVG_GRADE_TITAN" vbProcedure="false">"c9572"</definedName>
    <definedName function="false" hidden="true" name="IQ_AVG_GRADE_URAN" vbProcedure="false">"c9625"</definedName>
    <definedName function="false" hidden="true" name="IQ_AVG_GRADE_ZINC" vbProcedure="false">"c9360"</definedName>
    <definedName function="false" hidden="true" name="IQ_AVG_INDUSTRY_REC" vbProcedure="false">"c4455"</definedName>
    <definedName function="false" hidden="true" name="IQ_AVG_INDUSTRY_REC_CIQ" vbProcedure="false">"c4984"</definedName>
    <definedName function="false" hidden="true" name="IQ_AVG_INDUSTRY_REC_CIQ_COL" vbProcedure="false">"c11631"</definedName>
    <definedName function="false" hidden="true" name="IQ_AVG_INDUSTRY_REC_NO" vbProcedure="false">"c4454"</definedName>
    <definedName function="false" hidden="true" name="IQ_AVG_INDUSTRY_REC_NO_CIQ" vbProcedure="false">"c4983"</definedName>
    <definedName function="false" hidden="true" name="IQ_AVG_INDUSTRY_REC_NO_CIQ_COL" vbProcedure="false">"c11630"</definedName>
    <definedName function="false" hidden="true" name="IQ_AVG_INT_BEAR_LIAB" vbProcedure="false">"c66"</definedName>
    <definedName function="false" hidden="true" name="IQ_AVG_INT_BEAR_LIAB_10YR_ANN_CAGR" vbProcedure="false">"c6040"</definedName>
    <definedName function="false" hidden="true" name="IQ_AVG_INT_BEAR_LIAB_10YR_ANN_GROWTH" vbProcedure="false">"c67"</definedName>
    <definedName function="false" hidden="true" name="IQ_AVG_INT_BEAR_LIAB_1YR_ANN_GROWTH" vbProcedure="false">"c68"</definedName>
    <definedName function="false" hidden="true" name="IQ_AVG_INT_BEAR_LIAB_2YR_ANN_CAGR" vbProcedure="false">"c6041"</definedName>
    <definedName function="false" hidden="true" name="IQ_AVG_INT_BEAR_LIAB_2YR_ANN_GROWTH" vbProcedure="false">"c69"</definedName>
    <definedName function="false" hidden="true" name="IQ_AVG_INT_BEAR_LIAB_3YR_ANN_CAGR" vbProcedure="false">"c6042"</definedName>
    <definedName function="false" hidden="true" name="IQ_AVG_INT_BEAR_LIAB_3YR_ANN_GROWTH" vbProcedure="false">"c70"</definedName>
    <definedName function="false" hidden="true" name="IQ_AVG_INT_BEAR_LIAB_5YR_ANN_CAGR" vbProcedure="false">"c6043"</definedName>
    <definedName function="false" hidden="true" name="IQ_AVG_INT_BEAR_LIAB_5YR_ANN_GROWTH" vbProcedure="false">"c71"</definedName>
    <definedName function="false" hidden="true" name="IQ_AVG_INT_BEAR_LIAB_7YR_ANN_CAGR" vbProcedure="false">"c6044"</definedName>
    <definedName function="false" hidden="true" name="IQ_AVG_INT_BEAR_LIAB_7YR_ANN_GROWTH" vbProcedure="false">"c72"</definedName>
    <definedName function="false" hidden="true" name="IQ_AVG_INT_EARN_ASSETS" vbProcedure="false">"c73"</definedName>
    <definedName function="false" hidden="true" name="IQ_AVG_INT_EARN_ASSETS_10YR_ANN_CAGR" vbProcedure="false">"c6045"</definedName>
    <definedName function="false" hidden="true" name="IQ_AVG_INT_EARN_ASSETS_10YR_ANN_GROWTH" vbProcedure="false">"c74"</definedName>
    <definedName function="false" hidden="true" name="IQ_AVG_INT_EARN_ASSETS_1YR_ANN_GROWTH" vbProcedure="false">"c75"</definedName>
    <definedName function="false" hidden="true" name="IQ_AVG_INT_EARN_ASSETS_2YR_ANN_CAGR" vbProcedure="false">"c6046"</definedName>
    <definedName function="false" hidden="true" name="IQ_AVG_INT_EARN_ASSETS_2YR_ANN_GROWTH" vbProcedure="false">"c76"</definedName>
    <definedName function="false" hidden="true" name="IQ_AVG_INT_EARN_ASSETS_3YR_ANN_CAGR" vbProcedure="false">"c6047"</definedName>
    <definedName function="false" hidden="true" name="IQ_AVG_INT_EARN_ASSETS_3YR_ANN_GROWTH" vbProcedure="false">"c77"</definedName>
    <definedName function="false" hidden="true" name="IQ_AVG_INT_EARN_ASSETS_5YR_ANN_CAGR" vbProcedure="false">"c6048"</definedName>
    <definedName function="false" hidden="true" name="IQ_AVG_INT_EARN_ASSETS_5YR_ANN_GROWTH" vbProcedure="false">"c78"</definedName>
    <definedName function="false" hidden="true" name="IQ_AVG_INT_EARN_ASSETS_7YR_ANN_CAGR" vbProcedure="false">"c6049"</definedName>
    <definedName function="false" hidden="true" name="IQ_AVG_INT_EARN_ASSETS_7YR_ANN_GROWTH" vbProcedure="false">"c79"</definedName>
    <definedName function="false" hidden="true" name="IQ_AVG_INV_HOMEBUILDING" vbProcedure="false">"c15812"</definedName>
    <definedName function="false" hidden="true" name="IQ_AVG_INV_HOMES" vbProcedure="false">"c15810"</definedName>
    <definedName function="false" hidden="true" name="IQ_AVG_INV_LAND_LOTS" vbProcedure="false">"c15811"</definedName>
    <definedName function="false" hidden="true" name="IQ_AVG_MKTCAP" vbProcedure="false">"c80"</definedName>
    <definedName function="false" hidden="true" name="IQ_AVG_PRICE" vbProcedure="false">"c81"</definedName>
    <definedName function="false" hidden="true" name="IQ_AVG_PRICE_TARGET" vbProcedure="false">"c82"</definedName>
    <definedName function="false" hidden="true" name="IQ_AVG_PRODUCTION_PER_MINE_ALUM" vbProcedure="false">"c9249"</definedName>
    <definedName function="false" hidden="true" name="IQ_AVG_PRODUCTION_PER_MINE_COAL" vbProcedure="false">"c9823"</definedName>
    <definedName function="false" hidden="true" name="IQ_AVG_PRODUCTION_PER_MINE_COP" vbProcedure="false">"c9194"</definedName>
    <definedName function="false" hidden="true" name="IQ_AVG_PRODUCTION_PER_MINE_DIAM" vbProcedure="false">"c9673"</definedName>
    <definedName function="false" hidden="true" name="IQ_AVG_PRODUCTION_PER_MINE_GOLD" vbProcedure="false">"c9034"</definedName>
    <definedName function="false" hidden="true" name="IQ_AVG_PRODUCTION_PER_MINE_IRON" vbProcedure="false">"c9408"</definedName>
    <definedName function="false" hidden="true" name="IQ_AVG_PRODUCTION_PER_MINE_LEAD" vbProcedure="false">"c9461"</definedName>
    <definedName function="false" hidden="true" name="IQ_AVG_PRODUCTION_PER_MINE_MANG" vbProcedure="false">"c9514"</definedName>
    <definedName function="false" hidden="true" name="IQ_AVG_PRODUCTION_PER_MINE_MOLYB" vbProcedure="false">"c9726"</definedName>
    <definedName function="false" hidden="true" name="IQ_AVG_PRODUCTION_PER_MINE_NICK" vbProcedure="false">"c9302"</definedName>
    <definedName function="false" hidden="true" name="IQ_AVG_PRODUCTION_PER_MINE_PLAT" vbProcedure="false">"c9140"</definedName>
    <definedName function="false" hidden="true" name="IQ_AVG_PRODUCTION_PER_MINE_SILVER" vbProcedure="false">"c9087"</definedName>
    <definedName function="false" hidden="true" name="IQ_AVG_PRODUCTION_PER_MINE_TITAN" vbProcedure="false">"c9567"</definedName>
    <definedName function="false" hidden="true" name="IQ_AVG_PRODUCTION_PER_MINE_URAN" vbProcedure="false">"c9620"</definedName>
    <definedName function="false" hidden="true" name="IQ_AVG_PRODUCTION_PER_MINE_ZINC" vbProcedure="false">"c9355"</definedName>
    <definedName function="false" hidden="true" name="IQ_AVG_REALIZED_PRICE_AFTER_HEDGING_ALUM" vbProcedure="false">"c9257"</definedName>
    <definedName function="false" hidden="true" name="IQ_AVG_REALIZED_PRICE_AFTER_HEDGING_COAL" vbProcedure="false">"c9830"</definedName>
    <definedName function="false" hidden="true" name="IQ_AVG_REALIZED_PRICE_AFTER_HEDGING_COP" vbProcedure="false">"c9204"</definedName>
    <definedName function="false" hidden="true" name="IQ_AVG_REALIZED_PRICE_AFTER_HEDGING_DIAM" vbProcedure="false">"c9681"</definedName>
    <definedName function="false" hidden="true" name="IQ_AVG_REALIZED_PRICE_AFTER_HEDGING_GOLD" vbProcedure="false">"c9042"</definedName>
    <definedName function="false" hidden="true" name="IQ_AVG_REALIZED_PRICE_AFTER_HEDGING_IRON" vbProcedure="false">"c9416"</definedName>
    <definedName function="false" hidden="true" name="IQ_AVG_REALIZED_PRICE_AFTER_HEDGING_LEAD" vbProcedure="false">"c9469"</definedName>
    <definedName function="false" hidden="true" name="IQ_AVG_REALIZED_PRICE_AFTER_HEDGING_MANG" vbProcedure="false">"c9522"</definedName>
    <definedName function="false" hidden="true" name="IQ_AVG_REALIZED_PRICE_AFTER_HEDGING_MET_COAL" vbProcedure="false">"c9766"</definedName>
    <definedName function="false" hidden="true" name="IQ_AVG_REALIZED_PRICE_AFTER_HEDGING_MOLYB" vbProcedure="false">"c9734"</definedName>
    <definedName function="false" hidden="true" name="IQ_AVG_REALIZED_PRICE_AFTER_HEDGING_NICK" vbProcedure="false">"c9310"</definedName>
    <definedName function="false" hidden="true" name="IQ_AVG_REALIZED_PRICE_AFTER_HEDGING_PLAT" vbProcedure="false">"c9148"</definedName>
    <definedName function="false" hidden="true" name="IQ_AVG_REALIZED_PRICE_AFTER_HEDGING_SILVER" vbProcedure="false">"c9095"</definedName>
    <definedName function="false" hidden="true" name="IQ_AVG_REALIZED_PRICE_AFTER_HEDGING_STEAM" vbProcedure="false">"c9796"</definedName>
    <definedName function="false" hidden="true" name="IQ_AVG_REALIZED_PRICE_AFTER_HEDGING_TITAN" vbProcedure="false">"c9575"</definedName>
    <definedName function="false" hidden="true" name="IQ_AVG_REALIZED_PRICE_AFTER_HEDGING_URAN" vbProcedure="false">"c9628"</definedName>
    <definedName function="false" hidden="true" name="IQ_AVG_REALIZED_PRICE_AFTER_HEDGING_ZINC" vbProcedure="false">"c9363"</definedName>
    <definedName function="false" hidden="true" name="IQ_AVG_REALIZED_PRICE_BEFORE_HEDGING_ALUM" vbProcedure="false">"c9256"</definedName>
    <definedName function="false" hidden="true" name="IQ_AVG_REALIZED_PRICE_BEFORE_HEDGING_COAL" vbProcedure="false">"c9829"</definedName>
    <definedName function="false" hidden="true" name="IQ_AVG_REALIZED_PRICE_BEFORE_HEDGING_COP" vbProcedure="false">"c9203"</definedName>
    <definedName function="false" hidden="true" name="IQ_AVG_REALIZED_PRICE_BEFORE_HEDGING_DIAM" vbProcedure="false">"c9680"</definedName>
    <definedName function="false" hidden="true" name="IQ_AVG_REALIZED_PRICE_BEFORE_HEDGING_GOLD" vbProcedure="false">"c9041"</definedName>
    <definedName function="false" hidden="true" name="IQ_AVG_REALIZED_PRICE_BEFORE_HEDGING_IRON" vbProcedure="false">"c9415"</definedName>
    <definedName function="false" hidden="true" name="IQ_AVG_REALIZED_PRICE_BEFORE_HEDGING_LEAD" vbProcedure="false">"c9468"</definedName>
    <definedName function="false" hidden="true" name="IQ_AVG_REALIZED_PRICE_BEFORE_HEDGING_MANG" vbProcedure="false">"c9521"</definedName>
    <definedName function="false" hidden="true" name="IQ_AVG_REALIZED_PRICE_BEFORE_HEDGING_MET_COAL" vbProcedure="false">"c9765"</definedName>
    <definedName function="false" hidden="true" name="IQ_AVG_REALIZED_PRICE_BEFORE_HEDGING_MOLYB" vbProcedure="false">"c9733"</definedName>
    <definedName function="false" hidden="true" name="IQ_AVG_REALIZED_PRICE_BEFORE_HEDGING_NICK" vbProcedure="false">"c9309"</definedName>
    <definedName function="false" hidden="true" name="IQ_AVG_REALIZED_PRICE_BEFORE_HEDGING_PLAT" vbProcedure="false">"c9147"</definedName>
    <definedName function="false" hidden="true" name="IQ_AVG_REALIZED_PRICE_BEFORE_HEDGING_SILVER" vbProcedure="false">"c9094"</definedName>
    <definedName function="false" hidden="true" name="IQ_AVG_REALIZED_PRICE_BEFORE_HEDGING_STEAM" vbProcedure="false">"c9795"</definedName>
    <definedName function="false" hidden="true" name="IQ_AVG_REALIZED_PRICE_BEFORE_HEDGING_TITAN" vbProcedure="false">"c9574"</definedName>
    <definedName function="false" hidden="true" name="IQ_AVG_REALIZED_PRICE_BEFORE_HEDGING_URAN" vbProcedure="false">"c9627"</definedName>
    <definedName function="false" hidden="true" name="IQ_AVG_REALIZED_PRICE_BEFORE_HEDGING_ZINC" vbProcedure="false">"c9362"</definedName>
    <definedName function="false" hidden="true" name="IQ_AVG_REAL_PRICE_POST_TREAT_REFINING_ALUM" vbProcedure="false">"c9259"</definedName>
    <definedName function="false" hidden="true" name="IQ_AVG_REAL_PRICE_POST_TREAT_REFINING_COP" vbProcedure="false">"c9206"</definedName>
    <definedName function="false" hidden="true" name="IQ_AVG_REAL_PRICE_POST_TREAT_REFINING_DIAM" vbProcedure="false">"c9683"</definedName>
    <definedName function="false" hidden="true" name="IQ_AVG_REAL_PRICE_POST_TREAT_REFINING_GOLD" vbProcedure="false">"c9044"</definedName>
    <definedName function="false" hidden="true" name="IQ_AVG_REAL_PRICE_POST_TREAT_REFINING_IRON" vbProcedure="false">"c9418"</definedName>
    <definedName function="false" hidden="true" name="IQ_AVG_REAL_PRICE_POST_TREAT_REFINING_LEAD" vbProcedure="false">"c9471"</definedName>
    <definedName function="false" hidden="true" name="IQ_AVG_REAL_PRICE_POST_TREAT_REFINING_MANG" vbProcedure="false">"c9524"</definedName>
    <definedName function="false" hidden="true" name="IQ_AVG_REAL_PRICE_POST_TREAT_REFINING_MOLYB" vbProcedure="false">"c9736"</definedName>
    <definedName function="false" hidden="true" name="IQ_AVG_REAL_PRICE_POST_TREAT_REFINING_NICK" vbProcedure="false">"c9311"</definedName>
    <definedName function="false" hidden="true" name="IQ_AVG_REAL_PRICE_POST_TREAT_REFINING_PLAT" vbProcedure="false">"c9150"</definedName>
    <definedName function="false" hidden="true" name="IQ_AVG_REAL_PRICE_POST_TREAT_REFINING_SILVER" vbProcedure="false">"c9097"</definedName>
    <definedName function="false" hidden="true" name="IQ_AVG_REAL_PRICE_POST_TREAT_REFINING_TITAN" vbProcedure="false">"c9577"</definedName>
    <definedName function="false" hidden="true" name="IQ_AVG_REAL_PRICE_POST_TREAT_REFINING_URAN" vbProcedure="false">"c9630"</definedName>
    <definedName function="false" hidden="true" name="IQ_AVG_REAL_PRICE_POST_TREAT_REFINING_ZINC" vbProcedure="false">"c9365"</definedName>
    <definedName function="false" hidden="true" name="IQ_AVG_REAL_PRICE_PRE_TREAT_REFINING_ALUM" vbProcedure="false">"c9258"</definedName>
    <definedName function="false" hidden="true" name="IQ_AVG_REAL_PRICE_PRE_TREAT_REFINING_COP" vbProcedure="false">"c9205"</definedName>
    <definedName function="false" hidden="true" name="IQ_AVG_REAL_PRICE_PRE_TREAT_REFINING_DIAM" vbProcedure="false">"c9682"</definedName>
    <definedName function="false" hidden="true" name="IQ_AVG_REAL_PRICE_PRE_TREAT_REFINING_GOLD" vbProcedure="false">"c9043"</definedName>
    <definedName function="false" hidden="true" name="IQ_AVG_REAL_PRICE_PRE_TREAT_REFINING_IRON" vbProcedure="false">"c9417"</definedName>
    <definedName function="false" hidden="true" name="IQ_AVG_REAL_PRICE_PRE_TREAT_REFINING_LEAD" vbProcedure="false">"c9470"</definedName>
    <definedName function="false" hidden="true" name="IQ_AVG_REAL_PRICE_PRE_TREAT_REFINING_MANG" vbProcedure="false">"c9523"</definedName>
    <definedName function="false" hidden="true" name="IQ_AVG_REAL_PRICE_PRE_TREAT_REFINING_MOLYB" vbProcedure="false">"c9735"</definedName>
    <definedName function="false" hidden="true" name="IQ_AVG_REAL_PRICE_PRE_TREAT_REFINING_NICK" vbProcedure="false">"c9312"</definedName>
    <definedName function="false" hidden="true" name="IQ_AVG_REAL_PRICE_PRE_TREAT_REFINING_PLAT" vbProcedure="false">"c9149"</definedName>
    <definedName function="false" hidden="true" name="IQ_AVG_REAL_PRICE_PRE_TREAT_REFINING_SILVER" vbProcedure="false">"c9096"</definedName>
    <definedName function="false" hidden="true" name="IQ_AVG_REAL_PRICE_PRE_TREAT_REFINING_TITAN" vbProcedure="false">"c9576"</definedName>
    <definedName function="false" hidden="true" name="IQ_AVG_REAL_PRICE_PRE_TREAT_REFINING_URAN" vbProcedure="false">"c9629"</definedName>
    <definedName function="false" hidden="true" name="IQ_AVG_REAL_PRICE_PRE_TREAT_REFINING_ZINC" vbProcedure="false">"c9364"</definedName>
    <definedName function="false" hidden="true" name="IQ_AVG_REV_PER_TRADE" vbProcedure="false">"c20431"</definedName>
    <definedName function="false" hidden="true" name="IQ_AVG_SHAREOUTSTANDING" vbProcedure="false">"c83"</definedName>
    <definedName function="false" hidden="true" name="IQ_AVG_TEMP_EMPLOYEES" vbProcedure="false">"c6020"</definedName>
    <definedName function="false" hidden="true" name="IQ_AVG_TEV" vbProcedure="false">"c84"</definedName>
    <definedName function="false" hidden="true" name="IQ_AVG_TOTAL_ASSETS_LEVERAGE_CAPITAL_FFIEC" vbProcedure="false">"c13159"</definedName>
    <definedName function="false" hidden="true" name="IQ_AVG_TOTAL_ASSETS_LEVERAGE_RATIO_FFIEC" vbProcedure="false">"c13154"</definedName>
    <definedName function="false" hidden="true" name="IQ_AVG_VOLUME" vbProcedure="false">"c1346"</definedName>
    <definedName function="false" hidden="true" name="IQ_AVG_WAGES" vbProcedure="false">"c6812"</definedName>
    <definedName function="false" hidden="true" name="IQ_AVG_WAGES_APR" vbProcedure="false">"c7472"</definedName>
    <definedName function="false" hidden="true" name="IQ_AVG_WAGES_APR_FC" vbProcedure="false">"c8352"</definedName>
    <definedName function="false" hidden="true" name="IQ_AVG_WAGES_FC" vbProcedure="false">"c7692"</definedName>
    <definedName function="false" hidden="true" name="IQ_AVG_WAGES_POP" vbProcedure="false">"c7032"</definedName>
    <definedName function="false" hidden="true" name="IQ_AVG_WAGES_POP_FC" vbProcedure="false">"c7912"</definedName>
    <definedName function="false" hidden="true" name="IQ_AVG_WAGES_YOY" vbProcedure="false">"c7252"</definedName>
    <definedName function="false" hidden="true" name="IQ_AVG_WAGES_YOY_FC" vbProcedure="false">"c8132"</definedName>
    <definedName function="false" hidden="true" name="IQ_BALANCES_DUE_DEPOSITORY_INSTITUTIONS_FDIC" vbProcedure="false">"c6389"</definedName>
    <definedName function="false" hidden="true" name="IQ_BALANCES_DUE_FOREIGN_FDIC" vbProcedure="false">"c6391"</definedName>
    <definedName function="false" hidden="true" name="IQ_BALANCES_DUE_FRB_FDIC" vbProcedure="false">"c6393"</definedName>
    <definedName function="false" hidden="true" name="IQ_BALANCE_GOODS_APR_FC_UNUSED" vbProcedure="false">"c8353"</definedName>
    <definedName function="false" hidden="true" name="IQ_BALANCE_GOODS_APR_FC_UNUSED_UNUSED_UNUSED" vbProcedure="false">"c8353"</definedName>
    <definedName function="false" hidden="true" name="IQ_BALANCE_GOODS_APR_UNUSED" vbProcedure="false">"c7473"</definedName>
    <definedName function="false" hidden="true" name="IQ_BALANCE_GOODS_APR_UNUSED_UNUSED_UNUSED" vbProcedure="false">"c7473"</definedName>
    <definedName function="false" hidden="true" name="IQ_BALANCE_GOODS_FC_UNUSED" vbProcedure="false">"c7693"</definedName>
    <definedName function="false" hidden="true" name="IQ_BALANCE_GOODS_FC_UNUSED_UNUSED_UNUSED" vbProcedure="false">"c7693"</definedName>
    <definedName function="false" hidden="true" name="IQ_BALANCE_GOODS_POP_FC_UNUSED" vbProcedure="false">"c7913"</definedName>
    <definedName function="false" hidden="true" name="IQ_BALANCE_GOODS_POP_FC_UNUSED_UNUSED_UNUSED" vbProcedure="false">"c7913"</definedName>
    <definedName function="false" hidden="true" name="IQ_BALANCE_GOODS_POP_UNUSED" vbProcedure="false">"c7033"</definedName>
    <definedName function="false" hidden="true" name="IQ_BALANCE_GOODS_POP_UNUSED_UNUSED_UNUSED" vbProcedure="false">"c7033"</definedName>
    <definedName function="false" hidden="true" name="IQ_BALANCE_GOODS_REAL" vbProcedure="false">"c6952"</definedName>
    <definedName function="false" hidden="true" name="IQ_BALANCE_GOODS_REAL_APR" vbProcedure="false">"c7612"</definedName>
    <definedName function="false" hidden="true" name="IQ_BALANCE_GOODS_REAL_APR_FC" vbProcedure="false">"c8492"</definedName>
    <definedName function="false" hidden="true" name="IQ_BALANCE_GOODS_REAL_FC" vbProcedure="false">"c7832"</definedName>
    <definedName function="false" hidden="true" name="IQ_BALANCE_GOODS_REAL_POP" vbProcedure="false">"c7172"</definedName>
    <definedName function="false" hidden="true" name="IQ_BALANCE_GOODS_REAL_POP_FC" vbProcedure="false">"c8052"</definedName>
    <definedName function="false" hidden="true" name="IQ_BALANCE_GOODS_REAL_SAAR" vbProcedure="false">"c6953"</definedName>
    <definedName function="false" hidden="true" name="IQ_BALANCE_GOODS_REAL_SAAR_APR" vbProcedure="false">"c7613"</definedName>
    <definedName function="false" hidden="true" name="IQ_BALANCE_GOODS_REAL_SAAR_APR_FC" vbProcedure="false">"c8493"</definedName>
    <definedName function="false" hidden="true" name="IQ_BALANCE_GOODS_REAL_SAAR_FC" vbProcedure="false">"c7833"</definedName>
    <definedName function="false" hidden="true" name="IQ_BALANCE_GOODS_REAL_SAAR_POP" vbProcedure="false">"c7173"</definedName>
    <definedName function="false" hidden="true" name="IQ_BALANCE_GOODS_REAL_SAAR_POP_FC" vbProcedure="false">"c8053"</definedName>
    <definedName function="false" hidden="true" name="IQ_BALANCE_GOODS_REAL_SAAR_USD_APR_FC" vbProcedure="false">"c11893"</definedName>
    <definedName function="false" hidden="true" name="IQ_BALANCE_GOODS_REAL_SAAR_USD_FC" vbProcedure="false">"c11890"</definedName>
    <definedName function="false" hidden="true" name="IQ_BALANCE_GOODS_REAL_SAAR_USD_POP_FC" vbProcedure="false">"c11891"</definedName>
    <definedName function="false" hidden="true" name="IQ_BALANCE_GOODS_REAL_SAAR_USD_YOY_FC" vbProcedure="false">"c11892"</definedName>
    <definedName function="false" hidden="true" name="IQ_BALANCE_GOODS_REAL_SAAR_YOY" vbProcedure="false">"c7393"</definedName>
    <definedName function="false" hidden="true" name="IQ_BALANCE_GOODS_REAL_SAAR_YOY_FC" vbProcedure="false">"c8273"</definedName>
    <definedName function="false" hidden="true" name="IQ_BALANCE_GOODS_REAL_USD_APR_FC" vbProcedure="false">"c11889"</definedName>
    <definedName function="false" hidden="true" name="IQ_BALANCE_GOODS_REAL_USD_FC" vbProcedure="false">"c11886"</definedName>
    <definedName function="false" hidden="true" name="IQ_BALANCE_GOODS_REAL_USD_POP_FC" vbProcedure="false">"c11887"</definedName>
    <definedName function="false" hidden="true" name="IQ_BALANCE_GOODS_REAL_USD_YOY_FC" vbProcedure="false">"c11888"</definedName>
    <definedName function="false" hidden="true" name="IQ_BALANCE_GOODS_REAL_YOY" vbProcedure="false">"c7392"</definedName>
    <definedName function="false" hidden="true" name="IQ_BALANCE_GOODS_REAL_YOY_FC" vbProcedure="false">"c8272"</definedName>
    <definedName function="false" hidden="true" name="IQ_BALANCE_GOODS_SAAR" vbProcedure="false">"c6814"</definedName>
    <definedName function="false" hidden="true" name="IQ_BALANCE_GOODS_SAAR_APR" vbProcedure="false">"c7474"</definedName>
    <definedName function="false" hidden="true" name="IQ_BALANCE_GOODS_SAAR_APR_FC" vbProcedure="false">"c8354"</definedName>
    <definedName function="false" hidden="true" name="IQ_BALANCE_GOODS_SAAR_FC" vbProcedure="false">"c7694"</definedName>
    <definedName function="false" hidden="true" name="IQ_BALANCE_GOODS_SAAR_POP" vbProcedure="false">"c7034"</definedName>
    <definedName function="false" hidden="true" name="IQ_BALANCE_GOODS_SAAR_POP_FC" vbProcedure="false">"c7914"</definedName>
    <definedName function="false" hidden="true" name="IQ_BALANCE_GOODS_SAAR_USD_APR_FC" vbProcedure="false">"c11762"</definedName>
    <definedName function="false" hidden="true" name="IQ_BALANCE_GOODS_SAAR_USD_FC" vbProcedure="false">"c11759"</definedName>
    <definedName function="false" hidden="true" name="IQ_BALANCE_GOODS_SAAR_USD_POP_FC" vbProcedure="false">"c11760"</definedName>
    <definedName function="false" hidden="true" name="IQ_BALANCE_GOODS_SAAR_USD_YOY_FC" vbProcedure="false">"c11761"</definedName>
    <definedName function="false" hidden="true" name="IQ_BALANCE_GOODS_SAAR_YOY" vbProcedure="false">"c7254"</definedName>
    <definedName function="false" hidden="true" name="IQ_BALANCE_GOODS_SAAR_YOY_FC" vbProcedure="false">"c8134"</definedName>
    <definedName function="false" hidden="true" name="IQ_BALANCE_GOODS_UNUSED" vbProcedure="false">"c6813"</definedName>
    <definedName function="false" hidden="true" name="IQ_BALANCE_GOODS_UNUSED_UNUSED_UNUSED" vbProcedure="false">"c6813"</definedName>
    <definedName function="false" hidden="true" name="IQ_BALANCE_GOODS_USD_APR_FC" vbProcedure="false">"c11758"</definedName>
    <definedName function="false" hidden="true" name="IQ_BALANCE_GOODS_USD_FC" vbProcedure="false">"c11755"</definedName>
    <definedName function="false" hidden="true" name="IQ_BALANCE_GOODS_USD_POP_FC" vbProcedure="false">"c11756"</definedName>
    <definedName function="false" hidden="true" name="IQ_BALANCE_GOODS_USD_YOY_FC" vbProcedure="false">"c11757"</definedName>
    <definedName function="false" hidden="true" name="IQ_BALANCE_GOODS_YOY_FC_UNUSED" vbProcedure="false">"c8133"</definedName>
    <definedName function="false" hidden="true" name="IQ_BALANCE_GOODS_YOY_FC_UNUSED_UNUSED_UNUSED" vbProcedure="false">"c8133"</definedName>
    <definedName function="false" hidden="true" name="IQ_BALANCE_GOODS_YOY_UNUSED" vbProcedure="false">"c7253"</definedName>
    <definedName function="false" hidden="true" name="IQ_BALANCE_GOODS_YOY_UNUSED_UNUSED_UNUSED" vbProcedure="false">"c7253"</definedName>
    <definedName function="false" hidden="true" name="IQ_BALANCE_SERVICES_REAL" vbProcedure="false">"c6954"</definedName>
    <definedName function="false" hidden="true" name="IQ_BALANCE_SERVICES_REAL_APR" vbProcedure="false">"c7614"</definedName>
    <definedName function="false" hidden="true" name="IQ_BALANCE_SERVICES_REAL_APR_FC" vbProcedure="false">"c8494"</definedName>
    <definedName function="false" hidden="true" name="IQ_BALANCE_SERVICES_REAL_FC" vbProcedure="false">"c7834"</definedName>
    <definedName function="false" hidden="true" name="IQ_BALANCE_SERVICES_REAL_POP" vbProcedure="false">"c7174"</definedName>
    <definedName function="false" hidden="true" name="IQ_BALANCE_SERVICES_REAL_POP_FC" vbProcedure="false">"c8054"</definedName>
    <definedName function="false" hidden="true" name="IQ_BALANCE_SERVICES_REAL_SAAR" vbProcedure="false">"c6955"</definedName>
    <definedName function="false" hidden="true" name="IQ_BALANCE_SERVICES_REAL_SAAR_APR" vbProcedure="false">"c7615"</definedName>
    <definedName function="false" hidden="true" name="IQ_BALANCE_SERVICES_REAL_SAAR_APR_FC" vbProcedure="false">"c8495"</definedName>
    <definedName function="false" hidden="true" name="IQ_BALANCE_SERVICES_REAL_SAAR_FC" vbProcedure="false">"c7835"</definedName>
    <definedName function="false" hidden="true" name="IQ_BALANCE_SERVICES_REAL_SAAR_POP" vbProcedure="false">"c7175"</definedName>
    <definedName function="false" hidden="true" name="IQ_BALANCE_SERVICES_REAL_SAAR_POP_FC" vbProcedure="false">"c8055"</definedName>
    <definedName function="false" hidden="true" name="IQ_BALANCE_SERVICES_REAL_SAAR_YOY" vbProcedure="false">"c7395"</definedName>
    <definedName function="false" hidden="true" name="IQ_BALANCE_SERVICES_REAL_SAAR_YOY_FC" vbProcedure="false">"c8275"</definedName>
    <definedName function="false" hidden="true" name="IQ_BALANCE_SERVICES_REAL_USD_APR_FC" vbProcedure="false">"c11897"</definedName>
    <definedName function="false" hidden="true" name="IQ_BALANCE_SERVICES_REAL_USD_FC" vbProcedure="false">"c11894"</definedName>
    <definedName function="false" hidden="true" name="IQ_BALANCE_SERVICES_REAL_USD_POP_FC" vbProcedure="false">"c11895"</definedName>
    <definedName function="false" hidden="true" name="IQ_BALANCE_SERVICES_REAL_USD_YOY_FC" vbProcedure="false">"c11896"</definedName>
    <definedName function="false" hidden="true" name="IQ_BALANCE_SERVICES_REAL_YOY" vbProcedure="false">"c7394"</definedName>
    <definedName function="false" hidden="true" name="IQ_BALANCE_SERVICES_REAL_YOY_FC" vbProcedure="false">"c8274"</definedName>
    <definedName function="false" hidden="true" name="IQ_BALANCE_SERV_APR_FC_UNUSED" vbProcedure="false">"c8355"</definedName>
    <definedName function="false" hidden="true" name="IQ_BALANCE_SERV_APR_FC_UNUSED_UNUSED_UNUSED" vbProcedure="false">"c8355"</definedName>
    <definedName function="false" hidden="true" name="IQ_BALANCE_SERV_APR_UNUSED" vbProcedure="false">"c7475"</definedName>
    <definedName function="false" hidden="true" name="IQ_BALANCE_SERV_APR_UNUSED_UNUSED_UNUSED" vbProcedure="false">"c7475"</definedName>
    <definedName function="false" hidden="true" name="IQ_BALANCE_SERV_FC_UNUSED" vbProcedure="false">"c7695"</definedName>
    <definedName function="false" hidden="true" name="IQ_BALANCE_SERV_FC_UNUSED_UNUSED_UNUSED" vbProcedure="false">"c7695"</definedName>
    <definedName function="false" hidden="true" name="IQ_BALANCE_SERV_POP_FC_UNUSED" vbProcedure="false">"c7915"</definedName>
    <definedName function="false" hidden="true" name="IQ_BALANCE_SERV_POP_FC_UNUSED_UNUSED_UNUSED" vbProcedure="false">"c7915"</definedName>
    <definedName function="false" hidden="true" name="IQ_BALANCE_SERV_POP_UNUSED" vbProcedure="false">"c7035"</definedName>
    <definedName function="false" hidden="true" name="IQ_BALANCE_SERV_POP_UNUSED_UNUSED_UNUSED" vbProcedure="false">"c7035"</definedName>
    <definedName function="false" hidden="true" name="IQ_BALANCE_SERV_SAAR" vbProcedure="false">"c6816"</definedName>
    <definedName function="false" hidden="true" name="IQ_BALANCE_SERV_SAAR_APR" vbProcedure="false">"c7476"</definedName>
    <definedName function="false" hidden="true" name="IQ_BALANCE_SERV_SAAR_APR_FC" vbProcedure="false">"c8356"</definedName>
    <definedName function="false" hidden="true" name="IQ_BALANCE_SERV_SAAR_FC" vbProcedure="false">"c7696"</definedName>
    <definedName function="false" hidden="true" name="IQ_BALANCE_SERV_SAAR_POP" vbProcedure="false">"c7036"</definedName>
    <definedName function="false" hidden="true" name="IQ_BALANCE_SERV_SAAR_POP_FC" vbProcedure="false">"c7916"</definedName>
    <definedName function="false" hidden="true" name="IQ_BALANCE_SERV_SAAR_YOY" vbProcedure="false">"c7256"</definedName>
    <definedName function="false" hidden="true" name="IQ_BALANCE_SERV_SAAR_YOY_FC" vbProcedure="false">"c8136"</definedName>
    <definedName function="false" hidden="true" name="IQ_BALANCE_SERV_UNUSED" vbProcedure="false">"c6815"</definedName>
    <definedName function="false" hidden="true" name="IQ_BALANCE_SERV_UNUSED_UNUSED_UNUSED" vbProcedure="false">"c6815"</definedName>
    <definedName function="false" hidden="true" name="IQ_BALANCE_SERV_USD_APR_FC" vbProcedure="false">"c11766"</definedName>
    <definedName function="false" hidden="true" name="IQ_BALANCE_SERV_USD_FC" vbProcedure="false">"c11763"</definedName>
    <definedName function="false" hidden="true" name="IQ_BALANCE_SERV_USD_POP_FC" vbProcedure="false">"c11764"</definedName>
    <definedName function="false" hidden="true" name="IQ_BALANCE_SERV_USD_YOY_FC" vbProcedure="false">"c11765"</definedName>
    <definedName function="false" hidden="true" name="IQ_BALANCE_SERV_YOY_FC_UNUSED" vbProcedure="false">"c8135"</definedName>
    <definedName function="false" hidden="true" name="IQ_BALANCE_SERV_YOY_FC_UNUSED_UNUSED_UNUSED" vbProcedure="false">"c8135"</definedName>
    <definedName function="false" hidden="true" name="IQ_BALANCE_SERV_YOY_UNUSED" vbProcedure="false">"c7255"</definedName>
    <definedName function="false" hidden="true" name="IQ_BALANCE_SERV_YOY_UNUSED_UNUSED_UNUSED" vbProcedure="false">"c7255"</definedName>
    <definedName function="false" hidden="true" name="IQ_BALANCE_TRADE_APR_FC_UNUSED" vbProcedure="false">"c8357"</definedName>
    <definedName function="false" hidden="true" name="IQ_BALANCE_TRADE_APR_FC_UNUSED_UNUSED_UNUSED" vbProcedure="false">"c8357"</definedName>
    <definedName function="false" hidden="true" name="IQ_BALANCE_TRADE_APR_UNUSED" vbProcedure="false">"c7477"</definedName>
    <definedName function="false" hidden="true" name="IQ_BALANCE_TRADE_APR_UNUSED_UNUSED_UNUSED" vbProcedure="false">"c7477"</definedName>
    <definedName function="false" hidden="true" name="IQ_BALANCE_TRADE_FC_UNUSED" vbProcedure="false">"c7697"</definedName>
    <definedName function="false" hidden="true" name="IQ_BALANCE_TRADE_FC_UNUSED_UNUSED_UNUSED" vbProcedure="false">"c7697"</definedName>
    <definedName function="false" hidden="true" name="IQ_BALANCE_TRADE_POP_FC_UNUSED" vbProcedure="false">"c7917"</definedName>
    <definedName function="false" hidden="true" name="IQ_BALANCE_TRADE_POP_FC_UNUSED_UNUSED_UNUSED" vbProcedure="false">"c7917"</definedName>
    <definedName function="false" hidden="true" name="IQ_BALANCE_TRADE_POP_UNUSED" vbProcedure="false">"c7037"</definedName>
    <definedName function="false" hidden="true" name="IQ_BALANCE_TRADE_POP_UNUSED_UNUSED_UNUSED" vbProcedure="false">"c7037"</definedName>
    <definedName function="false" hidden="true" name="IQ_BALANCE_TRADE_REAL" vbProcedure="false">"c6956"</definedName>
    <definedName function="false" hidden="true" name="IQ_BALANCE_TRADE_REAL_APR" vbProcedure="false">"c7616"</definedName>
    <definedName function="false" hidden="true" name="IQ_BALANCE_TRADE_REAL_APR_FC" vbProcedure="false">"c8496"</definedName>
    <definedName function="false" hidden="true" name="IQ_BALANCE_TRADE_REAL_FC" vbProcedure="false">"c7836"</definedName>
    <definedName function="false" hidden="true" name="IQ_BALANCE_TRADE_REAL_POP" vbProcedure="false">"c7176"</definedName>
    <definedName function="false" hidden="true" name="IQ_BALANCE_TRADE_REAL_POP_FC" vbProcedure="false">"c8056"</definedName>
    <definedName function="false" hidden="true" name="IQ_BALANCE_TRADE_REAL_SAAR" vbProcedure="false">"c6957"</definedName>
    <definedName function="false" hidden="true" name="IQ_BALANCE_TRADE_REAL_SAAR_APR" vbProcedure="false">"c7617"</definedName>
    <definedName function="false" hidden="true" name="IQ_BALANCE_TRADE_REAL_SAAR_APR_FC" vbProcedure="false">"c8497"</definedName>
    <definedName function="false" hidden="true" name="IQ_BALANCE_TRADE_REAL_SAAR_FC" vbProcedure="false">"c7837"</definedName>
    <definedName function="false" hidden="true" name="IQ_BALANCE_TRADE_REAL_SAAR_POP" vbProcedure="false">"c7177"</definedName>
    <definedName function="false" hidden="true" name="IQ_BALANCE_TRADE_REAL_SAAR_POP_FC" vbProcedure="false">"c8057"</definedName>
    <definedName function="false" hidden="true" name="IQ_BALANCE_TRADE_REAL_SAAR_USD_APR_FC" vbProcedure="false">"c11905"</definedName>
    <definedName function="false" hidden="true" name="IQ_BALANCE_TRADE_REAL_SAAR_USD_FC" vbProcedure="false">"c11902"</definedName>
    <definedName function="false" hidden="true" name="IQ_BALANCE_TRADE_REAL_SAAR_USD_POP_FC" vbProcedure="false">"c11903"</definedName>
    <definedName function="false" hidden="true" name="IQ_BALANCE_TRADE_REAL_SAAR_USD_YOY_FC" vbProcedure="false">"c11904"</definedName>
    <definedName function="false" hidden="true" name="IQ_BALANCE_TRADE_REAL_SAAR_YOY" vbProcedure="false">"c7397"</definedName>
    <definedName function="false" hidden="true" name="IQ_BALANCE_TRADE_REAL_SAAR_YOY_FC" vbProcedure="false">"c8277"</definedName>
    <definedName function="false" hidden="true" name="IQ_BALANCE_TRADE_REAL_USD_APR_FC" vbProcedure="false">"c11901"</definedName>
    <definedName function="false" hidden="true" name="IQ_BALANCE_TRADE_REAL_USD_FC" vbProcedure="false">"c11898"</definedName>
    <definedName function="false" hidden="true" name="IQ_BALANCE_TRADE_REAL_USD_POP_FC" vbProcedure="false">"c11899"</definedName>
    <definedName function="false" hidden="true" name="IQ_BALANCE_TRADE_REAL_USD_YOY_FC" vbProcedure="false">"c11900"</definedName>
    <definedName function="false" hidden="true" name="IQ_BALANCE_TRADE_REAL_YOY" vbProcedure="false">"c7396"</definedName>
    <definedName function="false" hidden="true" name="IQ_BALANCE_TRADE_REAL_YOY_FC" vbProcedure="false">"c8276"</definedName>
    <definedName function="false" hidden="true" name="IQ_BALANCE_TRADE_SAAR" vbProcedure="false">"c6818"</definedName>
    <definedName function="false" hidden="true" name="IQ_BALANCE_TRADE_SAAR_APR" vbProcedure="false">"c7478"</definedName>
    <definedName function="false" hidden="true" name="IQ_BALANCE_TRADE_SAAR_APR_FC" vbProcedure="false">"c8358"</definedName>
    <definedName function="false" hidden="true" name="IQ_BALANCE_TRADE_SAAR_FC" vbProcedure="false">"c7698"</definedName>
    <definedName function="false" hidden="true" name="IQ_BALANCE_TRADE_SAAR_POP" vbProcedure="false">"c7038"</definedName>
    <definedName function="false" hidden="true" name="IQ_BALANCE_TRADE_SAAR_POP_FC" vbProcedure="false">"c7918"</definedName>
    <definedName function="false" hidden="true" name="IQ_BALANCE_TRADE_SAAR_USD_APR_FC" vbProcedure="false">"c11774"</definedName>
    <definedName function="false" hidden="true" name="IQ_BALANCE_TRADE_SAAR_USD_FC" vbProcedure="false">"c11771"</definedName>
    <definedName function="false" hidden="true" name="IQ_BALANCE_TRADE_SAAR_USD_POP_FC" vbProcedure="false">"c11772"</definedName>
    <definedName function="false" hidden="true" name="IQ_BALANCE_TRADE_SAAR_USD_YOY_FC" vbProcedure="false">"c11773"</definedName>
    <definedName function="false" hidden="true" name="IQ_BALANCE_TRADE_SAAR_YOY" vbProcedure="false">"c7258"</definedName>
    <definedName function="false" hidden="true" name="IQ_BALANCE_TRADE_SAAR_YOY_FC" vbProcedure="false">"c8138"</definedName>
    <definedName function="false" hidden="true" name="IQ_BALANCE_TRADE_UNUSED" vbProcedure="false">"c6817"</definedName>
    <definedName function="false" hidden="true" name="IQ_BALANCE_TRADE_UNUSED_UNUSED_UNUSED" vbProcedure="false">"c6817"</definedName>
    <definedName function="false" hidden="true" name="IQ_BALANCE_TRADE_USD_APR_FC" vbProcedure="false">"c11770"</definedName>
    <definedName function="false" hidden="true" name="IQ_BALANCE_TRADE_USD_FC" vbProcedure="false">"c11767"</definedName>
    <definedName function="false" hidden="true" name="IQ_BALANCE_TRADE_USD_POP_FC" vbProcedure="false">"c11768"</definedName>
    <definedName function="false" hidden="true" name="IQ_BALANCE_TRADE_USD_YOY_FC" vbProcedure="false">"c11769"</definedName>
    <definedName function="false" hidden="true" name="IQ_BALANCE_TRADE_YOY_FC_UNUSED" vbProcedure="false">"c8137"</definedName>
    <definedName function="false" hidden="true" name="IQ_BALANCE_TRADE_YOY_FC_UNUSED_UNUSED_UNUSED" vbProcedure="false">"c8137"</definedName>
    <definedName function="false" hidden="true" name="IQ_BALANCE_TRADE_YOY_UNUSED" vbProcedure="false">"c7257"</definedName>
    <definedName function="false" hidden="true" name="IQ_BALANCE_TRADE_YOY_UNUSED_UNUSED_UNUSED" vbProcedure="false">"c7257"</definedName>
    <definedName function="false" hidden="true" name="IQ_BANKING_FEES_OPERATING_INC_FFIEC" vbProcedure="false">"c13386"</definedName>
    <definedName function="false" hidden="true" name="IQ_BANKS_FOREIGN_COUNTRIES_NON_TRANS_ACCTS_FFIEC" vbProcedure="false">"c15326"</definedName>
    <definedName function="false" hidden="true" name="IQ_BANKS_FOREIGN_COUNTRIES_TOTAL_DEPOSITS_FDIC" vbProcedure="false">"c6475"</definedName>
    <definedName function="false" hidden="true" name="IQ_BANKS_FOREIGN_COUNTRIES_TRANS_ACCTS_FFIEC" vbProcedure="false">"c15318"</definedName>
    <definedName function="false" hidden="true" name="IQ_BANK_BENEFICIARY_FDIC" vbProcedure="false">"c6505"</definedName>
    <definedName function="false" hidden="true" name="IQ_BANK_DEBT" vbProcedure="false">"c2544"</definedName>
    <definedName function="false" hidden="true" name="IQ_BANK_DEBT_PCT" vbProcedure="false">"c2545"</definedName>
    <definedName function="false" hidden="true" name="IQ_BANK_GUARANTOR_FDIC" vbProcedure="false">"c6506"</definedName>
    <definedName function="false" hidden="true" name="IQ_BANK_LOAN_LIST" vbProcedure="false">"c13507"</definedName>
    <definedName function="false" hidden="true" name="IQ_BANK_PREMISES_FDIC" vbProcedure="false">"c6329"</definedName>
    <definedName function="false" hidden="true" name="IQ_BANK_SECURITIZATION_1_4_FAMILY_LOANS_FDIC" vbProcedure="false">"c6721"</definedName>
    <definedName function="false" hidden="true" name="IQ_BANK_SECURITIZATION_AUTO_LOANS_FDIC" vbProcedure="false">"c6715"</definedName>
    <definedName function="false" hidden="true" name="IQ_BANK_SECURITIZATION_CL_LOANS_FDIC" vbProcedure="false">"c6716"</definedName>
    <definedName function="false" hidden="true" name="IQ_BANK_SECURITIZATION_CREDIT_CARDS_RECEIVABLES_FDIC" vbProcedure="false">"c6718"</definedName>
    <definedName function="false" hidden="true" name="IQ_BANK_SECURITIZATION_HOME_EQUITY_LINES_FDIC" vbProcedure="false">"c6719"</definedName>
    <definedName function="false" hidden="true" name="IQ_BANK_SECURITIZATION_OTHER_CONSUMER_LOANS_FDIC" vbProcedure="false">"c6717"</definedName>
    <definedName function="false" hidden="true" name="IQ_BANK_SECURITIZATION_OTHER_LOANS_FDIC" vbProcedure="false">"c6720"</definedName>
    <definedName function="false" hidden="true" name="IQ_BASE_RENT" vbProcedure="false">"c16017"</definedName>
    <definedName function="false" hidden="true" name="IQ_BASE_RENT_OPERATING_LEASE_EXPIRING_AFTER_FIVE" vbProcedure="false">"c16107"</definedName>
    <definedName function="false" hidden="true" name="IQ_BASE_RENT_OPERATING_LEASE_EXPIRING_CY" vbProcedure="false">"c16101"</definedName>
    <definedName function="false" hidden="true" name="IQ_BASE_RENT_OPERATING_LEASE_EXPIRING_CY1" vbProcedure="false">"c16102"</definedName>
    <definedName function="false" hidden="true" name="IQ_BASE_RENT_OPERATING_LEASE_EXPIRING_CY2" vbProcedure="false">"c16103"</definedName>
    <definedName function="false" hidden="true" name="IQ_BASE_RENT_OPERATING_LEASE_EXPIRING_CY3" vbProcedure="false">"c16104"</definedName>
    <definedName function="false" hidden="true" name="IQ_BASE_RENT_OPERATING_LEASE_EXPIRING_CY4" vbProcedure="false">"c16105"</definedName>
    <definedName function="false" hidden="true" name="IQ_BASE_RENT_OPERATING_LEASE_EXPIRING_NEXT_FIVE" vbProcedure="false">"c16106"</definedName>
    <definedName function="false" hidden="true" name="IQ_BASE_RENT_OPERATING_LEASE_EXPIRING_TOTAL" vbProcedure="false">"c16108"</definedName>
    <definedName function="false" hidden="true" name="IQ_BASE_RENT_RENTAL_REVENUE" vbProcedure="false">"c16062"</definedName>
    <definedName function="false" hidden="true" name="IQ_BASIC_EPS_EXCL" vbProcedure="false">"c85"</definedName>
    <definedName function="false" hidden="true" name="IQ_BASIC_EPS_INCL" vbProcedure="false">"c86"</definedName>
    <definedName function="false" hidden="true" name="IQ_BASIC_NAV_SHARES" vbProcedure="false">"c16012"</definedName>
    <definedName function="false" hidden="true" name="IQ_BASIC_NORMAL_EPS" vbProcedure="false">"c1592"</definedName>
    <definedName function="false" hidden="true" name="IQ_BASIC_OUTSTANDING_CURRENT_EST" vbProcedure="false">"c4128"</definedName>
    <definedName function="false" hidden="true" name="IQ_BASIC_OUTSTANDING_CURRENT_EST_CIQ" vbProcedure="false">"c4541"</definedName>
    <definedName function="false" hidden="true" name="IQ_BASIC_OUTSTANDING_CURRENT_HIGH_EST" vbProcedure="false">"c4129"</definedName>
    <definedName function="false" hidden="true" name="IQ_BASIC_OUTSTANDING_CURRENT_HIGH_EST_CIQ" vbProcedure="false">"c4542"</definedName>
    <definedName function="false" hidden="true" name="IQ_BASIC_OUTSTANDING_CURRENT_LOW_EST" vbProcedure="false">"c4130"</definedName>
    <definedName function="false" hidden="true" name="IQ_BASIC_OUTSTANDING_CURRENT_LOW_EST_CIQ" vbProcedure="false">"c4543"</definedName>
    <definedName function="false" hidden="true" name="IQ_BASIC_OUTSTANDING_CURRENT_MEDIAN_EST" vbProcedure="false">"c4131"</definedName>
    <definedName function="false" hidden="true" name="IQ_BASIC_OUTSTANDING_CURRENT_MEDIAN_EST_CIQ" vbProcedure="false">"c4544"</definedName>
    <definedName function="false" hidden="true" name="IQ_BASIC_OUTSTANDING_CURRENT_NUM_EST" vbProcedure="false">"c4132"</definedName>
    <definedName function="false" hidden="true" name="IQ_BASIC_OUTSTANDING_CURRENT_NUM_EST_CIQ" vbProcedure="false">"c4545"</definedName>
    <definedName function="false" hidden="true" name="IQ_BASIC_OUTSTANDING_CURRENT_STDDEV_EST" vbProcedure="false">"c4133"</definedName>
    <definedName function="false" hidden="true" name="IQ_BASIC_OUTSTANDING_CURRENT_STDDEV_EST_CIQ" vbProcedure="false">"c4546"</definedName>
    <definedName function="false" hidden="true" name="IQ_BASIC_OUTSTANDING_EST" vbProcedure="false">"c4134"</definedName>
    <definedName function="false" hidden="true" name="IQ_BASIC_OUTSTANDING_EST_CIQ" vbProcedure="false">"c4547"</definedName>
    <definedName function="false" hidden="true" name="IQ_BASIC_OUTSTANDING_HIGH_EST" vbProcedure="false">"c4135"</definedName>
    <definedName function="false" hidden="true" name="IQ_BASIC_OUTSTANDING_HIGH_EST_CIQ" vbProcedure="false">"c4548"</definedName>
    <definedName function="false" hidden="true" name="IQ_BASIC_OUTSTANDING_LOW_EST" vbProcedure="false">"c4136"</definedName>
    <definedName function="false" hidden="true" name="IQ_BASIC_OUTSTANDING_LOW_EST_CIQ" vbProcedure="false">"c4549"</definedName>
    <definedName function="false" hidden="true" name="IQ_BASIC_OUTSTANDING_MEDIAN_EST" vbProcedure="false">"c4137"</definedName>
    <definedName function="false" hidden="true" name="IQ_BASIC_OUTSTANDING_MEDIAN_EST_CIQ" vbProcedure="false">"c4550"</definedName>
    <definedName function="false" hidden="true" name="IQ_BASIC_OUTSTANDING_NUM_EST" vbProcedure="false">"c4138"</definedName>
    <definedName function="false" hidden="true" name="IQ_BASIC_OUTSTANDING_NUM_EST_CIQ" vbProcedure="false">"c4551"</definedName>
    <definedName function="false" hidden="true" name="IQ_BASIC_OUTSTANDING_STDDEV_EST" vbProcedure="false">"c4139"</definedName>
    <definedName function="false" hidden="true" name="IQ_BASIC_OUTSTANDING_STDDEV_EST_CIQ" vbProcedure="false">"c4552"</definedName>
    <definedName function="false" hidden="true" name="IQ_BASIC_WEIGHT" vbProcedure="false">"c87"</definedName>
    <definedName function="false" hidden="true" name="IQ_BASIC_WEIGHT_EST" vbProcedure="false">"c4140"</definedName>
    <definedName function="false" hidden="true" name="IQ_BASIC_WEIGHT_EST_CIQ" vbProcedure="false">"c4553"</definedName>
    <definedName function="false" hidden="true" name="IQ_BASIC_WEIGHT_GUIDANCE" vbProcedure="false">"c4141"</definedName>
    <definedName function="false" hidden="true" name="IQ_BASIC_WEIGHT_HIGH_EST" vbProcedure="false">"c4142"</definedName>
    <definedName function="false" hidden="true" name="IQ_BASIC_WEIGHT_HIGH_EST_CIQ" vbProcedure="false">"c4554"</definedName>
    <definedName function="false" hidden="true" name="IQ_BASIC_WEIGHT_LOW_EST" vbProcedure="false">"c4143"</definedName>
    <definedName function="false" hidden="true" name="IQ_BASIC_WEIGHT_LOW_EST_CIQ" vbProcedure="false">"c4555"</definedName>
    <definedName function="false" hidden="true" name="IQ_BASIC_WEIGHT_MEDIAN_EST" vbProcedure="false">"c4144"</definedName>
    <definedName function="false" hidden="true" name="IQ_BASIC_WEIGHT_MEDIAN_EST_CIQ" vbProcedure="false">"c4556"</definedName>
    <definedName function="false" hidden="true" name="IQ_BASIC_WEIGHT_NUM_EST" vbProcedure="false">"c4145"</definedName>
    <definedName function="false" hidden="true" name="IQ_BASIC_WEIGHT_NUM_EST_CIQ" vbProcedure="false">"c4557"</definedName>
    <definedName function="false" hidden="true" name="IQ_BASIC_WEIGHT_STDDEV_EST" vbProcedure="false">"c4146"</definedName>
    <definedName function="false" hidden="true" name="IQ_BASIC_WEIGHT_STDDEV_EST_CIQ" vbProcedure="false">"c4558"</definedName>
    <definedName function="false" hidden="true" name="IQ_BENCHMARK_SECURITY" vbProcedure="false">"c2154"</definedName>
    <definedName function="false" hidden="true" name="IQ_BENCHMARK_SPRD" vbProcedure="false">"c2153"</definedName>
    <definedName function="false" hidden="true" name="IQ_BENCHMARK_YIELD" vbProcedure="false">"c8955"</definedName>
    <definedName function="false" hidden="true" name="IQ_BETA" vbProcedure="false">"c2133"</definedName>
    <definedName function="false" hidden="true" name="IQ_BETA_1YR" vbProcedure="false">"c1966"</definedName>
    <definedName function="false" hidden="true" name="IQ_BETA_1YR_RSQ" vbProcedure="false">"c2132"</definedName>
    <definedName function="false" hidden="true" name="IQ_BETA_2YR" vbProcedure="false">"c1965"</definedName>
    <definedName function="false" hidden="true" name="IQ_BETA_2YR_RSQ" vbProcedure="false">"c2131"</definedName>
    <definedName function="false" hidden="true" name="IQ_BETA_5YR" vbProcedure="false">"c88"</definedName>
    <definedName function="false" hidden="true" name="IQ_BETA_5YR_RSQ" vbProcedure="false">"c2130"</definedName>
    <definedName function="false" hidden="true" name="IQ_BIG_INT_BEAR_CD" vbProcedure="false">"c11749"</definedName>
    <definedName function="false" hidden="true" name="IQ_BOARD_MEMBER" vbProcedure="false">"c96"</definedName>
    <definedName function="false" hidden="true" name="IQ_BOARD_MEMBER_ALL_OTHER_COMP" vbProcedure="false">"c18992"</definedName>
    <definedName function="false" hidden="true" name="IQ_BOARD_MEMBER_ANNUAL_CASH_COMP" vbProcedure="false">"c18993"</definedName>
    <definedName function="false" hidden="true" name="IQ_BOARD_MEMBER_ASSISTANT_EMAIL" vbProcedure="false">"c15179"</definedName>
    <definedName function="false" hidden="true" name="IQ_BOARD_MEMBER_ASSISTANT_FAX" vbProcedure="false">"c15181"</definedName>
    <definedName function="false" hidden="true" name="IQ_BOARD_MEMBER_ASSISTANT_NAME" vbProcedure="false">"c15178"</definedName>
    <definedName function="false" hidden="true" name="IQ_BOARD_MEMBER_ASSISTANT_PHONE" vbProcedure="false">"c15180"</definedName>
    <definedName function="false" hidden="true" name="IQ_BOARD_MEMBER_AS_REPORTED_COMP" vbProcedure="false">"c18997"</definedName>
    <definedName function="false" hidden="true" name="IQ_BOARD_MEMBER_AS_REPORTED_DIRECTOR_COMP" vbProcedure="false">"c19009"</definedName>
    <definedName function="false" hidden="true" name="IQ_BOARD_MEMBER_BACKGROUND" vbProcedure="false">"c2101"</definedName>
    <definedName function="false" hidden="true" name="IQ_BOARD_MEMBER_BONUS" vbProcedure="false">"c18988"</definedName>
    <definedName function="false" hidden="true" name="IQ_BOARD_MEMBER_CALCULATED_COMP" vbProcedure="false">"c18995"</definedName>
    <definedName function="false" hidden="true" name="IQ_BOARD_MEMBER_CHANGE_PENSION" vbProcedure="false">"c19010"</definedName>
    <definedName function="false" hidden="true" name="IQ_BOARD_MEMBER_DIRECTOR_BONUS" vbProcedure="false">"c19004"</definedName>
    <definedName function="false" hidden="true" name="IQ_BOARD_MEMBER_DIRECTOR_CHANGE_PENSION" vbProcedure="false">"c19005"</definedName>
    <definedName function="false" hidden="true" name="IQ_BOARD_MEMBER_DIRECTOR_FEE" vbProcedure="false">"c19001"</definedName>
    <definedName function="false" hidden="true" name="IQ_BOARD_MEMBER_DIRECTOR_NON_EQUITY_COMP" vbProcedure="false">"c19006"</definedName>
    <definedName function="false" hidden="true" name="IQ_BOARD_MEMBER_DIRECTOR_OPTION_AWARDS" vbProcedure="false">"c19002"</definedName>
    <definedName function="false" hidden="true" name="IQ_BOARD_MEMBER_DIRECTOR_OTHER" vbProcedure="false">"c19003"</definedName>
    <definedName function="false" hidden="true" name="IQ_BOARD_MEMBER_DIRECTOR_STOCK_AWARDS" vbProcedure="false">"c19007"</definedName>
    <definedName function="false" hidden="true" name="IQ_BOARD_MEMBER_DIRECTOR_STOCK_GRANTS" vbProcedure="false">"c19034"</definedName>
    <definedName function="false" hidden="true" name="IQ_BOARD_MEMBER_DIRECTOR_STOCK_OPTIONS" vbProcedure="false">"c19008"</definedName>
    <definedName function="false" hidden="true" name="IQ_BOARD_MEMBER_DIRECT_FAX" vbProcedure="false">"c15176"</definedName>
    <definedName function="false" hidden="true" name="IQ_BOARD_MEMBER_DIRECT_PHONE" vbProcedure="false">"c15175"</definedName>
    <definedName function="false" hidden="true" name="IQ_BOARD_MEMBER_EMAIL" vbProcedure="false">"c15177"</definedName>
    <definedName function="false" hidden="true" name="IQ_BOARD_MEMBER_EQUITY_INCENTIVE" vbProcedure="false">"c19030"</definedName>
    <definedName function="false" hidden="true" name="IQ_BOARD_MEMBER_EST_PAYMENTS_CHANGE_CONTROL" vbProcedure="false">"c18999"</definedName>
    <definedName function="false" hidden="true" name="IQ_BOARD_MEMBER_EST_PAYMENTS_TERMINATION" vbProcedure="false">"c19011"</definedName>
    <definedName function="false" hidden="true" name="IQ_BOARD_MEMBER_EXERCISABLE_OPTIONS" vbProcedure="false">"c19014"</definedName>
    <definedName function="false" hidden="true" name="IQ_BOARD_MEMBER_EXERCISABLE_VALUES" vbProcedure="false">"c19015"</definedName>
    <definedName function="false" hidden="true" name="IQ_BOARD_MEMBER_EXERCISED_OPTIONS" vbProcedure="false">"c19012"</definedName>
    <definedName function="false" hidden="true" name="IQ_BOARD_MEMBER_EXERCISED_VALUES" vbProcedure="false">"c19013"</definedName>
    <definedName function="false" hidden="true" name="IQ_BOARD_MEMBER_ID" vbProcedure="false">"c13756"</definedName>
    <definedName function="false" hidden="true" name="IQ_BOARD_MEMBER_LT_INCENTIVE" vbProcedure="false">"c18991"</definedName>
    <definedName function="false" hidden="true" name="IQ_BOARD_MEMBER_MAIN_FAX" vbProcedure="false">"c15174"</definedName>
    <definedName function="false" hidden="true" name="IQ_BOARD_MEMBER_MAIN_PHONE" vbProcedure="false">"c15173"</definedName>
    <definedName function="false" hidden="true" name="IQ_BOARD_MEMBER_MARKET_VALUE_SHARES_NOT_VESTED" vbProcedure="false">"c19029"</definedName>
    <definedName function="false" hidden="true" name="IQ_BOARD_MEMBER_NON_EQUITY_INCENTIVE" vbProcedure="false">"c19000"</definedName>
    <definedName function="false" hidden="true" name="IQ_BOARD_MEMBER_NUM_SHARED_NOT_VESTED" vbProcedure="false">"c19028"</definedName>
    <definedName function="false" hidden="true" name="IQ_BOARD_MEMBER_NUM_SHARES_ACQUIRED" vbProcedure="false">"c19026"</definedName>
    <definedName function="false" hidden="true" name="IQ_BOARD_MEMBER_OFFICE_ADDRESS" vbProcedure="false">"c15172"</definedName>
    <definedName function="false" hidden="true" name="IQ_BOARD_MEMBER_OPTION_AWARDS" vbProcedure="false">"c18996"</definedName>
    <definedName function="false" hidden="true" name="IQ_BOARD_MEMBER_OPTION_MARKET_PRICE" vbProcedure="false">"c19025"</definedName>
    <definedName function="false" hidden="true" name="IQ_BOARD_MEMBER_OPTION_PRICE" vbProcedure="false">"c19024"</definedName>
    <definedName function="false" hidden="true" name="IQ_BOARD_MEMBER_OTHER_ANNUAL_COMP" vbProcedure="false">"c18989"</definedName>
    <definedName function="false" hidden="true" name="IQ_BOARD_MEMBER_OTHER_COMP" vbProcedure="false">"c18998"</definedName>
    <definedName function="false" hidden="true" name="IQ_BOARD_MEMBER_RESTRICTED_STOCK_COMP" vbProcedure="false">"c18990"</definedName>
    <definedName function="false" hidden="true" name="IQ_BOARD_MEMBER_SALARY" vbProcedure="false">"c18987"</definedName>
    <definedName function="false" hidden="true" name="IQ_BOARD_MEMBER_ST_COMP" vbProcedure="false">"c18994"</definedName>
    <definedName function="false" hidden="true" name="IQ_BOARD_MEMBER_TITLE" vbProcedure="false">"c97"</definedName>
    <definedName function="false" hidden="true" name="IQ_BOARD_MEMBER_TOTAL_NUM_STOCK_AWARDS" vbProcedure="false">"c19033"</definedName>
    <definedName function="false" hidden="true" name="IQ_BOARD_MEMBER_TOTAL_OPTIONS" vbProcedure="false">"c19022"</definedName>
    <definedName function="false" hidden="true" name="IQ_BOARD_MEMBER_TOTAL_STOCK_VALUE" vbProcedure="false">"c19032"</definedName>
    <definedName function="false" hidden="true" name="IQ_BOARD_MEMBER_TOTAL_VALUE_OPTIONS" vbProcedure="false">"c19023"</definedName>
    <definedName function="false" hidden="true" name="IQ_BOARD_MEMBER_UNCLASSIFIED_OPTIONS" vbProcedure="false">"c19018"</definedName>
    <definedName function="false" hidden="true" name="IQ_BOARD_MEMBER_UNCLASSIFIED_OPTIONS_VALUE" vbProcedure="false">"c19019"</definedName>
    <definedName function="false" hidden="true" name="IQ_BOARD_MEMBER_UNEARNED_STOCK_VALUE" vbProcedure="false">"c19031"</definedName>
    <definedName function="false" hidden="true" name="IQ_BOARD_MEMBER_UNEXERCISABLE_OPTIONS" vbProcedure="false">"c19016"</definedName>
    <definedName function="false" hidden="true" name="IQ_BOARD_MEMBER_UNEXERCISABLE_VALUES" vbProcedure="false">"c19017"</definedName>
    <definedName function="false" hidden="true" name="IQ_BOARD_MEMBER_UNEXERCISED_UNEARNED_OPTIONS" vbProcedure="false">"c19020"</definedName>
    <definedName function="false" hidden="true" name="IQ_BOARD_MEMBER_UNEXERCISED_UNEARNED_OPTIONS_VALUE" vbProcedure="false">"c19021"</definedName>
    <definedName function="false" hidden="true" name="IQ_BOARD_MEMBER_VALUE_VESTING" vbProcedure="false">"c19027"</definedName>
    <definedName function="false" hidden="true" name="IQ_BONDRATING_FITCH" vbProcedure="false">"IQ_BONDRATING_FITCH"</definedName>
    <definedName function="false" hidden="true" name="IQ_BONDRATING_FITCH_DATE" vbProcedure="false">"c241"</definedName>
    <definedName function="false" hidden="true" name="IQ_BONDRATING_SP" vbProcedure="false">"IQ_BONDRATING_SP"</definedName>
    <definedName function="false" hidden="true" name="IQ_BONDRATING_SP_DATE" vbProcedure="false">"c242"</definedName>
    <definedName function="false" hidden="true" name="IQ_BOND_COUPON" vbProcedure="false">"c2183"</definedName>
    <definedName function="false" hidden="true" name="IQ_BOND_COUPON_TYPE" vbProcedure="false">"c2184"</definedName>
    <definedName function="false" hidden="true" name="IQ_BOND_LIST" vbProcedure="false">"c13505"</definedName>
    <definedName function="false" hidden="true" name="IQ_BOND_PRICE" vbProcedure="false">"c2162"</definedName>
    <definedName function="false" hidden="true" name="IQ_BOOK_VALUE" vbProcedure="false">"IQ_BOOK_VALUE"</definedName>
    <definedName function="false" hidden="true" name="IQ_BORROWED_MONEY_QUARTERLY_AVG_FFIEC" vbProcedure="false">"c13091"</definedName>
    <definedName function="false" hidden="true" name="IQ_BORROWINGS_LESS_1YR_ASSETS_TOT_FFIEC" vbProcedure="false">"c13450"</definedName>
    <definedName function="false" hidden="true" name="IQ_BROKERED_DEPOSITS_FDIC" vbProcedure="false">"c6486"</definedName>
    <definedName function="false" hidden="true" name="IQ_BROKER_DEPOSIT_LESS_THAN_100000_1_YR_LESS_FFIEC" vbProcedure="false">"c15307"</definedName>
    <definedName function="false" hidden="true" name="IQ_BROKER_DEPOSIT_LESS_THAN_100000_1_YR_MORE_FFIEC" vbProcedure="false">"c15308"</definedName>
    <definedName function="false" hidden="true" name="IQ_BROKER_DEPOSIT_LESS_THAN_100000_FFIEC" vbProcedure="false">"c15306"</definedName>
    <definedName function="false" hidden="true" name="IQ_BROKER_DEPOSIT_MORE_THAN_100000_1_YR_LESS_FFIEC" vbProcedure="false">"c15310"</definedName>
    <definedName function="false" hidden="true" name="IQ_BROKER_DEPOSIT_MORE_THAN_100000_1_YR_MORE_FFIEC" vbProcedure="false">"c15311"</definedName>
    <definedName function="false" hidden="true" name="IQ_BROKER_DEPOSIT_MORE_THAN_100000_FFIEC" vbProcedure="false">"c15309"</definedName>
    <definedName function="false" hidden="true" name="IQ_BROK_COMISSION" vbProcedure="false">"c98"</definedName>
    <definedName function="false" hidden="true" name="IQ_BROK_COMMISSION" vbProcedure="false">"c3514"</definedName>
    <definedName function="false" hidden="true" name="IQ_BUDGET_BALANCE_APR_FC_UNUSED" vbProcedure="false">"c8359"</definedName>
    <definedName function="false" hidden="true" name="IQ_BUDGET_BALANCE_APR_FC_UNUSED_UNUSED_UNUSED" vbProcedure="false">"c8359"</definedName>
    <definedName function="false" hidden="true" name="IQ_BUDGET_BALANCE_APR_UNUSED" vbProcedure="false">"c7479"</definedName>
    <definedName function="false" hidden="true" name="IQ_BUDGET_BALANCE_APR_UNUSED_UNUSED_UNUSED" vbProcedure="false">"c7479"</definedName>
    <definedName function="false" hidden="true" name="IQ_BUDGET_BALANCE_FC_UNUSED" vbProcedure="false">"c7699"</definedName>
    <definedName function="false" hidden="true" name="IQ_BUDGET_BALANCE_FC_UNUSED_UNUSED_UNUSED" vbProcedure="false">"c7699"</definedName>
    <definedName function="false" hidden="true" name="IQ_BUDGET_BALANCE_POP_FC_UNUSED" vbProcedure="false">"c7919"</definedName>
    <definedName function="false" hidden="true" name="IQ_BUDGET_BALANCE_POP_FC_UNUSED_UNUSED_UNUSED" vbProcedure="false">"c7919"</definedName>
    <definedName function="false" hidden="true" name="IQ_BUDGET_BALANCE_POP_UNUSED" vbProcedure="false">"c7039"</definedName>
    <definedName function="false" hidden="true" name="IQ_BUDGET_BALANCE_POP_UNUSED_UNUSED_UNUSED" vbProcedure="false">"c7039"</definedName>
    <definedName function="false" hidden="true" name="IQ_BUDGET_BALANCE_SAAR" vbProcedure="false">"c6820"</definedName>
    <definedName function="false" hidden="true" name="IQ_BUDGET_BALANCE_SAAR_APR" vbProcedure="false">"c7480"</definedName>
    <definedName function="false" hidden="true" name="IQ_BUDGET_BALANCE_SAAR_APR_FC" vbProcedure="false">"c8360"</definedName>
    <definedName function="false" hidden="true" name="IQ_BUDGET_BALANCE_SAAR_FC" vbProcedure="false">"c7700"</definedName>
    <definedName function="false" hidden="true" name="IQ_BUDGET_BALANCE_SAAR_POP" vbProcedure="false">"c7040"</definedName>
    <definedName function="false" hidden="true" name="IQ_BUDGET_BALANCE_SAAR_POP_FC" vbProcedure="false">"c7920"</definedName>
    <definedName function="false" hidden="true" name="IQ_BUDGET_BALANCE_SAAR_YOY" vbProcedure="false">"c7260"</definedName>
    <definedName function="false" hidden="true" name="IQ_BUDGET_BALANCE_SAAR_YOY_FC" vbProcedure="false">"c8140"</definedName>
    <definedName function="false" hidden="true" name="IQ_BUDGET_BALANCE_UNUSED" vbProcedure="false">"c6819"</definedName>
    <definedName function="false" hidden="true" name="IQ_BUDGET_BALANCE_UNUSED_UNUSED_UNUSED" vbProcedure="false">"c6819"</definedName>
    <definedName function="false" hidden="true" name="IQ_BUDGET_BALANCE_YOY_FC_UNUSED" vbProcedure="false">"c8139"</definedName>
    <definedName function="false" hidden="true" name="IQ_BUDGET_BALANCE_YOY_FC_UNUSED_UNUSED_UNUSED" vbProcedure="false">"c8139"</definedName>
    <definedName function="false" hidden="true" name="IQ_BUDGET_BALANCE_YOY_UNUSED" vbProcedure="false">"c7259"</definedName>
    <definedName function="false" hidden="true" name="IQ_BUDGET_BALANCE_YOY_UNUSED_UNUSED_UNUSED" vbProcedure="false">"c7259"</definedName>
    <definedName function="false" hidden="true" name="IQ_BUDGET_RECEIPTS_APR_FC_UNUSED" vbProcedure="false">"c8361"</definedName>
    <definedName function="false" hidden="true" name="IQ_BUDGET_RECEIPTS_APR_FC_UNUSED_UNUSED_UNUSED" vbProcedure="false">"c8361"</definedName>
    <definedName function="false" hidden="true" name="IQ_BUDGET_RECEIPTS_APR_UNUSED" vbProcedure="false">"c7481"</definedName>
    <definedName function="false" hidden="true" name="IQ_BUDGET_RECEIPTS_APR_UNUSED_UNUSED_UNUSED" vbProcedure="false">"c7481"</definedName>
    <definedName function="false" hidden="true" name="IQ_BUDGET_RECEIPTS_FC_UNUSED" vbProcedure="false">"c7701"</definedName>
    <definedName function="false" hidden="true" name="IQ_BUDGET_RECEIPTS_FC_UNUSED_UNUSED_UNUSED" vbProcedure="false">"c7701"</definedName>
    <definedName function="false" hidden="true" name="IQ_BUDGET_RECEIPTS_POP_FC_UNUSED" vbProcedure="false">"c7921"</definedName>
    <definedName function="false" hidden="true" name="IQ_BUDGET_RECEIPTS_POP_FC_UNUSED_UNUSED_UNUSED" vbProcedure="false">"c7921"</definedName>
    <definedName function="false" hidden="true" name="IQ_BUDGET_RECEIPTS_POP_UNUSED" vbProcedure="false">"c7041"</definedName>
    <definedName function="false" hidden="true" name="IQ_BUDGET_RECEIPTS_POP_UNUSED_UNUSED_UNUSED" vbProcedure="false">"c7041"</definedName>
    <definedName function="false" hidden="true" name="IQ_BUDGET_RECEIPTS_UNUSED" vbProcedure="false">"c6821"</definedName>
    <definedName function="false" hidden="true" name="IQ_BUDGET_RECEIPTS_UNUSED_UNUSED_UNUSED" vbProcedure="false">"c6821"</definedName>
    <definedName function="false" hidden="true" name="IQ_BUDGET_RECEIPTS_YOY_FC_UNUSED" vbProcedure="false">"c8141"</definedName>
    <definedName function="false" hidden="true" name="IQ_BUDGET_RECEIPTS_YOY_FC_UNUSED_UNUSED_UNUSED" vbProcedure="false">"c8141"</definedName>
    <definedName function="false" hidden="true" name="IQ_BUDGET_RECEIPTS_YOY_UNUSED" vbProcedure="false">"c7261"</definedName>
    <definedName function="false" hidden="true" name="IQ_BUDGET_RECEIPTS_YOY_UNUSED_UNUSED_UNUSED" vbProcedure="false">"c7261"</definedName>
    <definedName function="false" hidden="true" name="IQ_BUDGET_SPENDING" vbProcedure="false">"c6822"</definedName>
    <definedName function="false" hidden="true" name="IQ_BUDGET_SPENDING_APR" vbProcedure="false">"c7482"</definedName>
    <definedName function="false" hidden="true" name="IQ_BUDGET_SPENDING_APR_FC" vbProcedure="false">"c8362"</definedName>
    <definedName function="false" hidden="true" name="IQ_BUDGET_SPENDING_FC" vbProcedure="false">"c7702"</definedName>
    <definedName function="false" hidden="true" name="IQ_BUDGET_SPENDING_POP" vbProcedure="false">"c7042"</definedName>
    <definedName function="false" hidden="true" name="IQ_BUDGET_SPENDING_POP_FC" vbProcedure="false">"c7922"</definedName>
    <definedName function="false" hidden="true" name="IQ_BUDGET_SPENDING_REAL" vbProcedure="false">"c6958"</definedName>
    <definedName function="false" hidden="true" name="IQ_BUDGET_SPENDING_REAL_APR" vbProcedure="false">"c7618"</definedName>
    <definedName function="false" hidden="true" name="IQ_BUDGET_SPENDING_REAL_APR_FC" vbProcedure="false">"c8498"</definedName>
    <definedName function="false" hidden="true" name="IQ_BUDGET_SPENDING_REAL_FC" vbProcedure="false">"c7838"</definedName>
    <definedName function="false" hidden="true" name="IQ_BUDGET_SPENDING_REAL_POP" vbProcedure="false">"c7178"</definedName>
    <definedName function="false" hidden="true" name="IQ_BUDGET_SPENDING_REAL_POP_FC" vbProcedure="false">"c8058"</definedName>
    <definedName function="false" hidden="true" name="IQ_BUDGET_SPENDING_REAL_SAAR" vbProcedure="false">"c6959"</definedName>
    <definedName function="false" hidden="true" name="IQ_BUDGET_SPENDING_REAL_SAAR_APR" vbProcedure="false">"c7619"</definedName>
    <definedName function="false" hidden="true" name="IQ_BUDGET_SPENDING_REAL_SAAR_APR_FC" vbProcedure="false">"c8499"</definedName>
    <definedName function="false" hidden="true" name="IQ_BUDGET_SPENDING_REAL_SAAR_FC" vbProcedure="false">"c7839"</definedName>
    <definedName function="false" hidden="true" name="IQ_BUDGET_SPENDING_REAL_SAAR_POP" vbProcedure="false">"c7179"</definedName>
    <definedName function="false" hidden="true" name="IQ_BUDGET_SPENDING_REAL_SAAR_POP_FC" vbProcedure="false">"c8059"</definedName>
    <definedName function="false" hidden="true" name="IQ_BUDGET_SPENDING_REAL_SAAR_USD" vbProcedure="false">"c11906"</definedName>
    <definedName function="false" hidden="true" name="IQ_BUDGET_SPENDING_REAL_SAAR_USD_APR" vbProcedure="false">"c11909"</definedName>
    <definedName function="false" hidden="true" name="IQ_BUDGET_SPENDING_REAL_SAAR_USD_POP" vbProcedure="false">"c11907"</definedName>
    <definedName function="false" hidden="true" name="IQ_BUDGET_SPENDING_REAL_SAAR_USD_YOY" vbProcedure="false">"c11908"</definedName>
    <definedName function="false" hidden="true" name="IQ_BUDGET_SPENDING_REAL_SAAR_YOY" vbProcedure="false">"c7399"</definedName>
    <definedName function="false" hidden="true" name="IQ_BUDGET_SPENDING_REAL_SAAR_YOY_FC" vbProcedure="false">"c8279"</definedName>
    <definedName function="false" hidden="true" name="IQ_BUDGET_SPENDING_REAL_YOY" vbProcedure="false">"c7398"</definedName>
    <definedName function="false" hidden="true" name="IQ_BUDGET_SPENDING_REAL_YOY_FC" vbProcedure="false">"c8278"</definedName>
    <definedName function="false" hidden="true" name="IQ_BUDGET_SPENDING_SAAR" vbProcedure="false">"c6823"</definedName>
    <definedName function="false" hidden="true" name="IQ_BUDGET_SPENDING_SAAR_APR" vbProcedure="false">"c7483"</definedName>
    <definedName function="false" hidden="true" name="IQ_BUDGET_SPENDING_SAAR_APR_FC" vbProcedure="false">"c8363"</definedName>
    <definedName function="false" hidden="true" name="IQ_BUDGET_SPENDING_SAAR_FC" vbProcedure="false">"c7703"</definedName>
    <definedName function="false" hidden="true" name="IQ_BUDGET_SPENDING_SAAR_POP" vbProcedure="false">"c7043"</definedName>
    <definedName function="false" hidden="true" name="IQ_BUDGET_SPENDING_SAAR_POP_FC" vbProcedure="false">"c7923"</definedName>
    <definedName function="false" hidden="true" name="IQ_BUDGET_SPENDING_SAAR_USD_APR_FC" vbProcedure="false">"c11782"</definedName>
    <definedName function="false" hidden="true" name="IQ_BUDGET_SPENDING_SAAR_USD_FC" vbProcedure="false">"c11779"</definedName>
    <definedName function="false" hidden="true" name="IQ_BUDGET_SPENDING_SAAR_USD_POP_FC" vbProcedure="false">"c11780"</definedName>
    <definedName function="false" hidden="true" name="IQ_BUDGET_SPENDING_SAAR_USD_YOY_FC" vbProcedure="false">"c11781"</definedName>
    <definedName function="false" hidden="true" name="IQ_BUDGET_SPENDING_SAAR_YOY" vbProcedure="false">"c7263"</definedName>
    <definedName function="false" hidden="true" name="IQ_BUDGET_SPENDING_SAAR_YOY_FC" vbProcedure="false">"c8143"</definedName>
    <definedName function="false" hidden="true" name="IQ_BUDGET_SPENDING_USD_APR_FC" vbProcedure="false">"c11778"</definedName>
    <definedName function="false" hidden="true" name="IQ_BUDGET_SPENDING_USD_FC" vbProcedure="false">"c11775"</definedName>
    <definedName function="false" hidden="true" name="IQ_BUDGET_SPENDING_USD_POP_FC" vbProcedure="false">"c11776"</definedName>
    <definedName function="false" hidden="true" name="IQ_BUDGET_SPENDING_USD_YOY_FC" vbProcedure="false">"c11777"</definedName>
    <definedName function="false" hidden="true" name="IQ_BUDGET_SPENDING_YOY" vbProcedure="false">"c7262"</definedName>
    <definedName function="false" hidden="true" name="IQ_BUDGET_SPENDING_YOY_FC" vbProcedure="false">"c8142"</definedName>
    <definedName function="false" hidden="true" name="IQ_BUILDINGS" vbProcedure="false">"c99"</definedName>
    <definedName function="false" hidden="true" name="IQ_BUSINESS_COMBINATIONS_FFIEC" vbProcedure="false">"c12967"</definedName>
    <definedName function="false" hidden="true" name="IQ_BUSINESS_DESCRIPTION" vbProcedure="false">"c322"</definedName>
    <definedName function="false" hidden="true" name="IQ_BUS_SEG_ASSETS" vbProcedure="false">"c4067"</definedName>
    <definedName function="false" hidden="true" name="IQ_BUS_SEG_ASSETS_ABS" vbProcedure="false">"c4089"</definedName>
    <definedName function="false" hidden="true" name="IQ_BUS_SEG_ASSETS_TOTAL" vbProcedure="false">"c4112"</definedName>
    <definedName function="false" hidden="true" name="IQ_BUS_SEG_CAPEX" vbProcedure="false">"c4079"</definedName>
    <definedName function="false" hidden="true" name="IQ_BUS_SEG_CAPEX_ABS" vbProcedure="false">"c4101"</definedName>
    <definedName function="false" hidden="true" name="IQ_BUS_SEG_CAPEX_TOTAL" vbProcedure="false">"c4116"</definedName>
    <definedName function="false" hidden="true" name="IQ_BUS_SEG_DA" vbProcedure="false">"c4078"</definedName>
    <definedName function="false" hidden="true" name="IQ_BUS_SEG_DA_ABS" vbProcedure="false">"c4100"</definedName>
    <definedName function="false" hidden="true" name="IQ_BUS_SEG_DA_TOTAL" vbProcedure="false">"c4115"</definedName>
    <definedName function="false" hidden="true" name="IQ_BUS_SEG_DESCRIPTION" vbProcedure="false">"c15589"</definedName>
    <definedName function="false" hidden="true" name="IQ_BUS_SEG_DESCRIPTION_ABS" vbProcedure="false">"c15577"</definedName>
    <definedName function="false" hidden="true" name="IQ_BUS_SEG_EARNINGS_OP" vbProcedure="false">"c4063"</definedName>
    <definedName function="false" hidden="true" name="IQ_BUS_SEG_EARNINGS_OP_ABS" vbProcedure="false">"c4085"</definedName>
    <definedName function="false" hidden="true" name="IQ_BUS_SEG_EARNINGS_OP_TOTAL" vbProcedure="false">"c4108"</definedName>
    <definedName function="false" hidden="true" name="IQ_BUS_SEG_EBT" vbProcedure="false">"c4064"</definedName>
    <definedName function="false" hidden="true" name="IQ_BUS_SEG_EBT_ABS" vbProcedure="false">"c4086"</definedName>
    <definedName function="false" hidden="true" name="IQ_BUS_SEG_EBT_TOTAL" vbProcedure="false">"c4110"</definedName>
    <definedName function="false" hidden="true" name="IQ_BUS_SEG_GP" vbProcedure="false">"c4066"</definedName>
    <definedName function="false" hidden="true" name="IQ_BUS_SEG_GP_ABS" vbProcedure="false">"c4088"</definedName>
    <definedName function="false" hidden="true" name="IQ_BUS_SEG_GP_TOTAL" vbProcedure="false">"c4109"</definedName>
    <definedName function="false" hidden="true" name="IQ_BUS_SEG_INC_TAX" vbProcedure="false">"c4077"</definedName>
    <definedName function="false" hidden="true" name="IQ_BUS_SEG_INC_TAX_ABS" vbProcedure="false">"c4099"</definedName>
    <definedName function="false" hidden="true" name="IQ_BUS_SEG_INC_TAX_TOTAL" vbProcedure="false">"c4114"</definedName>
    <definedName function="false" hidden="true" name="IQ_BUS_SEG_INTEREST_EXP" vbProcedure="false">"c4076"</definedName>
    <definedName function="false" hidden="true" name="IQ_BUS_SEG_INTEREST_EXP_ABS" vbProcedure="false">"c4098"</definedName>
    <definedName function="false" hidden="true" name="IQ_BUS_SEG_INTEREST_EXP_TOTAL" vbProcedure="false">"c4113"</definedName>
    <definedName function="false" hidden="true" name="IQ_BUS_SEG_NAIC" vbProcedure="false">"c15588"</definedName>
    <definedName function="false" hidden="true" name="IQ_BUS_SEG_NAIC_ABS" vbProcedure="false">"c15576"</definedName>
    <definedName function="false" hidden="true" name="IQ_BUS_SEG_NAME" vbProcedure="false">"c5482"</definedName>
    <definedName function="false" hidden="true" name="IQ_BUS_SEG_NAME_ABS" vbProcedure="false">"c5483"</definedName>
    <definedName function="false" hidden="true" name="IQ_BUS_SEG_NI" vbProcedure="false">"c4065"</definedName>
    <definedName function="false" hidden="true" name="IQ_BUS_SEG_NI_ABS" vbProcedure="false">"c4087"</definedName>
    <definedName function="false" hidden="true" name="IQ_BUS_SEG_NI_TOTAL" vbProcedure="false">"c4111"</definedName>
    <definedName function="false" hidden="true" name="IQ_BUS_SEG_OPER_INC" vbProcedure="false">"c4062"</definedName>
    <definedName function="false" hidden="true" name="IQ_BUS_SEG_OPER_INC_ABS" vbProcedure="false">"c4084"</definedName>
    <definedName function="false" hidden="true" name="IQ_BUS_SEG_OPER_INC_TOTAL" vbProcedure="false">"c4107"</definedName>
    <definedName function="false" hidden="true" name="IQ_BUS_SEG_PRIMARY_GIC" vbProcedure="false">"c15584"</definedName>
    <definedName function="false" hidden="true" name="IQ_BUS_SEG_PRIMARY_GIC_ABS" vbProcedure="false">"c15572"</definedName>
    <definedName function="false" hidden="true" name="IQ_BUS_SEG_PRIMARY_SIC" vbProcedure="false">"c15586"</definedName>
    <definedName function="false" hidden="true" name="IQ_BUS_SEG_PRIMARY_SIC_ABS" vbProcedure="false">"c15574"</definedName>
    <definedName function="false" hidden="true" name="IQ_BUS_SEG_REV" vbProcedure="false">"c4068"</definedName>
    <definedName function="false" hidden="true" name="IQ_BUS_SEG_REV_ABS" vbProcedure="false">"c4090"</definedName>
    <definedName function="false" hidden="true" name="IQ_BUS_SEG_REV_TOTAL" vbProcedure="false">"c4106"</definedName>
    <definedName function="false" hidden="true" name="IQ_BUS_SEG_SECONDARY_GIC" vbProcedure="false">"c15585"</definedName>
    <definedName function="false" hidden="true" name="IQ_BUS_SEG_SECONDARY_GIC_ABS" vbProcedure="false">"c15573"</definedName>
    <definedName function="false" hidden="true" name="IQ_BUS_SEG_SECONDARY_SIC" vbProcedure="false">"c15587"</definedName>
    <definedName function="false" hidden="true" name="IQ_BUS_SEG_SECONDARY_SIC_ABS" vbProcedure="false">"c15575"</definedName>
    <definedName function="false" hidden="true" name="IQ_BV_ACT_OR_EST_CIQ" vbProcedure="false">"c5068"</definedName>
    <definedName function="false" hidden="true" name="IQ_BV_ACT_OR_EST_CIQ_COL" vbProcedure="false">"c11715"</definedName>
    <definedName function="false" hidden="true" name="IQ_BV_ACT_OR_EST_REUT" vbProcedure="false">"c5471"</definedName>
    <definedName function="false" hidden="true" name="IQ_BV_ACT_OR_EST_THOM" vbProcedure="false">"c5308"</definedName>
    <definedName function="false" hidden="true" name="IQ_BV_EST" vbProcedure="false">"c5624"</definedName>
    <definedName function="false" hidden="true" name="IQ_BV_EST_CIQ" vbProcedure="false">"c4737"</definedName>
    <definedName function="false" hidden="true" name="IQ_BV_EST_REUT" vbProcedure="false">"c5403"</definedName>
    <definedName function="false" hidden="true" name="IQ_BV_EST_THOM" vbProcedure="false">"c5147"</definedName>
    <definedName function="false" hidden="true" name="IQ_BV_HIGH_EST" vbProcedure="false">"c5626"</definedName>
    <definedName function="false" hidden="true" name="IQ_BV_HIGH_EST_CIQ" vbProcedure="false">"c4739"</definedName>
    <definedName function="false" hidden="true" name="IQ_BV_HIGH_EST_REUT" vbProcedure="false">"c5405"</definedName>
    <definedName function="false" hidden="true" name="IQ_BV_HIGH_EST_THOM" vbProcedure="false">"c5149"</definedName>
    <definedName function="false" hidden="true" name="IQ_BV_LOW_EST" vbProcedure="false">"c5627"</definedName>
    <definedName function="false" hidden="true" name="IQ_BV_LOW_EST_CIQ" vbProcedure="false">"c4740"</definedName>
    <definedName function="false" hidden="true" name="IQ_BV_LOW_EST_REUT" vbProcedure="false">"c5406"</definedName>
    <definedName function="false" hidden="true" name="IQ_BV_LOW_EST_THOM" vbProcedure="false">"c5150"</definedName>
    <definedName function="false" hidden="true" name="IQ_BV_MEDIAN_EST" vbProcedure="false">"c5625"</definedName>
    <definedName function="false" hidden="true" name="IQ_BV_MEDIAN_EST_CIQ" vbProcedure="false">"c4738"</definedName>
    <definedName function="false" hidden="true" name="IQ_BV_MEDIAN_EST_REUT" vbProcedure="false">"c5404"</definedName>
    <definedName function="false" hidden="true" name="IQ_BV_MEDIAN_EST_THOM" vbProcedure="false">"c5148"</definedName>
    <definedName function="false" hidden="true" name="IQ_BV_NUM_EST" vbProcedure="false">"c5628"</definedName>
    <definedName function="false" hidden="true" name="IQ_BV_NUM_EST_CIQ" vbProcedure="false">"c4741"</definedName>
    <definedName function="false" hidden="true" name="IQ_BV_NUM_EST_REUT" vbProcedure="false">"c5407"</definedName>
    <definedName function="false" hidden="true" name="IQ_BV_NUM_EST_THOM" vbProcedure="false">"c5151"</definedName>
    <definedName function="false" hidden="true" name="IQ_BV_OVER_SHARES" vbProcedure="false">"c1349"</definedName>
    <definedName function="false" hidden="true" name="IQ_BV_SHARE" vbProcedure="false">"c100"</definedName>
    <definedName function="false" hidden="true" name="IQ_BV_SHARE_ACT_OR_EST" vbProcedure="false">"c3587"</definedName>
    <definedName function="false" hidden="true" name="IQ_BV_SHARE_ACT_OR_EST_CIQ" vbProcedure="false">"c5072"</definedName>
    <definedName function="false" hidden="true" name="IQ_BV_SHARE_ACT_OR_EST_CIQ_COL" vbProcedure="false">"c11719"</definedName>
    <definedName function="false" hidden="true" name="IQ_BV_SHARE_ACT_OR_EST_REUT" vbProcedure="false">"c5477"</definedName>
    <definedName function="false" hidden="true" name="IQ_BV_SHARE_ACT_OR_EST_THOM" vbProcedure="false">"c5312"</definedName>
    <definedName function="false" hidden="true" name="IQ_BV_SHARE_DET_EST" vbProcedure="false">"c12047"</definedName>
    <definedName function="false" hidden="true" name="IQ_BV_SHARE_DET_EST_CIQ" vbProcedure="false">"c12107"</definedName>
    <definedName function="false" hidden="true" name="IQ_BV_SHARE_DET_EST_CURRENCY" vbProcedure="false">"c12456"</definedName>
    <definedName function="false" hidden="true" name="IQ_BV_SHARE_DET_EST_CURRENCY_CIQ" vbProcedure="false">"c12500"</definedName>
    <definedName function="false" hidden="true" name="IQ_BV_SHARE_DET_EST_CURRENCY_THOM" vbProcedure="false">"c12476"</definedName>
    <definedName function="false" hidden="true" name="IQ_BV_SHARE_DET_EST_DATE" vbProcedure="false">"c12200"</definedName>
    <definedName function="false" hidden="true" name="IQ_BV_SHARE_DET_EST_DATE_CIQ" vbProcedure="false">"c12253"</definedName>
    <definedName function="false" hidden="true" name="IQ_BV_SHARE_DET_EST_DATE_THOM" vbProcedure="false">"c12225"</definedName>
    <definedName function="false" hidden="true" name="IQ_BV_SHARE_DET_EST_INCL" vbProcedure="false">"c12339"</definedName>
    <definedName function="false" hidden="true" name="IQ_BV_SHARE_DET_EST_INCL_CIQ" vbProcedure="false">"c12383"</definedName>
    <definedName function="false" hidden="true" name="IQ_BV_SHARE_DET_EST_INCL_THOM" vbProcedure="false">"c12359"</definedName>
    <definedName function="false" hidden="true" name="IQ_BV_SHARE_DET_EST_NOTE" vbProcedure="false">"c17545"</definedName>
    <definedName function="false" hidden="true" name="IQ_BV_SHARE_DET_EST_NOTE_CIQ" vbProcedure="false">"c17498"</definedName>
    <definedName function="false" hidden="true" name="IQ_BV_SHARE_DET_EST_ORIGIN" vbProcedure="false">"c12573"</definedName>
    <definedName function="false" hidden="true" name="IQ_BV_SHARE_DET_EST_ORIGIN_CIQ" vbProcedure="false">"c12622"</definedName>
    <definedName function="false" hidden="true" name="IQ_BV_SHARE_DET_EST_ORIGIN_THOM" vbProcedure="false">"c12595"</definedName>
    <definedName function="false" hidden="true" name="IQ_BV_SHARE_DET_EST_THOM" vbProcedure="false">"c12075"</definedName>
    <definedName function="false" hidden="true" name="IQ_BV_SHARE_EST" vbProcedure="false">"c3541"</definedName>
    <definedName function="false" hidden="true" name="IQ_BV_SHARE_EST_CIQ" vbProcedure="false">"c3800"</definedName>
    <definedName function="false" hidden="true" name="IQ_BV_SHARE_EST_DOWN_2MONTH" vbProcedure="false">"c16573"</definedName>
    <definedName function="false" hidden="true" name="IQ_BV_SHARE_EST_DOWN_2MONTH_CIQ" vbProcedure="false">"c16837"</definedName>
    <definedName function="false" hidden="true" name="IQ_BV_SHARE_EST_DOWN_3MONTH" vbProcedure="false">"c16577"</definedName>
    <definedName function="false" hidden="true" name="IQ_BV_SHARE_EST_DOWN_3MONTH_CIQ" vbProcedure="false">"c16841"</definedName>
    <definedName function="false" hidden="true" name="IQ_BV_SHARE_EST_DOWN_MONTH" vbProcedure="false">"c16569"</definedName>
    <definedName function="false" hidden="true" name="IQ_BV_SHARE_EST_DOWN_MONTH_CIQ" vbProcedure="false">"c16833"</definedName>
    <definedName function="false" hidden="true" name="IQ_BV_SHARE_EST_NOTE" vbProcedure="false">"c17523"</definedName>
    <definedName function="false" hidden="true" name="IQ_BV_SHARE_EST_NOTE_CIQ" vbProcedure="false">"c17476"</definedName>
    <definedName function="false" hidden="true" name="IQ_BV_SHARE_EST_NUM_ANALYSTS_2MONTH" vbProcedure="false">"c16571"</definedName>
    <definedName function="false" hidden="true" name="IQ_BV_SHARE_EST_NUM_ANALYSTS_2MONTH_CIQ" vbProcedure="false">"c16835"</definedName>
    <definedName function="false" hidden="true" name="IQ_BV_SHARE_EST_NUM_ANALYSTS_3MONTH" vbProcedure="false">"c16575"</definedName>
    <definedName function="false" hidden="true" name="IQ_BV_SHARE_EST_NUM_ANALYSTS_3MONTH_CIQ" vbProcedure="false">"c16839"</definedName>
    <definedName function="false" hidden="true" name="IQ_BV_SHARE_EST_NUM_ANALYSTS_MONTH" vbProcedure="false">"c16567"</definedName>
    <definedName function="false" hidden="true" name="IQ_BV_SHARE_EST_NUM_ANALYSTS_MONTH_CIQ" vbProcedure="false">"c16831"</definedName>
    <definedName function="false" hidden="true" name="IQ_BV_SHARE_EST_REUT" vbProcedure="false">"c5439"</definedName>
    <definedName function="false" hidden="true" name="IQ_BV_SHARE_EST_THOM" vbProcedure="false">"c4020"</definedName>
    <definedName function="false" hidden="true" name="IQ_BV_SHARE_EST_TOTAL_REVISED_2MONTH" vbProcedure="false">"c16574"</definedName>
    <definedName function="false" hidden="true" name="IQ_BV_SHARE_EST_TOTAL_REVISED_2MONTH_CIQ" vbProcedure="false">"c16838"</definedName>
    <definedName function="false" hidden="true" name="IQ_BV_SHARE_EST_TOTAL_REVISED_3MONTH" vbProcedure="false">"c16578"</definedName>
    <definedName function="false" hidden="true" name="IQ_BV_SHARE_EST_TOTAL_REVISED_3MONTH_CIQ" vbProcedure="false">"c16842"</definedName>
    <definedName function="false" hidden="true" name="IQ_BV_SHARE_EST_TOTAL_REVISED_MONTH" vbProcedure="false">"c16570"</definedName>
    <definedName function="false" hidden="true" name="IQ_BV_SHARE_EST_TOTAL_REVISED_MONTH_CIQ" vbProcedure="false">"c16834"</definedName>
    <definedName function="false" hidden="true" name="IQ_BV_SHARE_EST_UP_2MONTH" vbProcedure="false">"c16572"</definedName>
    <definedName function="false" hidden="true" name="IQ_BV_SHARE_EST_UP_2MONTH_CIQ" vbProcedure="false">"c16836"</definedName>
    <definedName function="false" hidden="true" name="IQ_BV_SHARE_EST_UP_3MONTH" vbProcedure="false">"c16576"</definedName>
    <definedName function="false" hidden="true" name="IQ_BV_SHARE_EST_UP_3MONTH_CIQ" vbProcedure="false">"c16840"</definedName>
    <definedName function="false" hidden="true" name="IQ_BV_SHARE_EST_UP_MONTH" vbProcedure="false">"c16568"</definedName>
    <definedName function="false" hidden="true" name="IQ_BV_SHARE_EST_UP_MONTH_CIQ" vbProcedure="false">"c16832"</definedName>
    <definedName function="false" hidden="true" name="IQ_BV_SHARE_HIGH_EST" vbProcedure="false">"c3542"</definedName>
    <definedName function="false" hidden="true" name="IQ_BV_SHARE_HIGH_EST_CIQ" vbProcedure="false">"c3802"</definedName>
    <definedName function="false" hidden="true" name="IQ_BV_SHARE_HIGH_EST_REUT" vbProcedure="false">"c5441"</definedName>
    <definedName function="false" hidden="true" name="IQ_BV_SHARE_HIGH_EST_THOM" vbProcedure="false">"c4022"</definedName>
    <definedName function="false" hidden="true" name="IQ_BV_SHARE_LOW_EST" vbProcedure="false">"c3543"</definedName>
    <definedName function="false" hidden="true" name="IQ_BV_SHARE_LOW_EST_CIQ" vbProcedure="false">"c3803"</definedName>
    <definedName function="false" hidden="true" name="IQ_BV_SHARE_LOW_EST_REUT" vbProcedure="false">"c5442"</definedName>
    <definedName function="false" hidden="true" name="IQ_BV_SHARE_LOW_EST_THOM" vbProcedure="false">"c4023"</definedName>
    <definedName function="false" hidden="true" name="IQ_BV_SHARE_MEDIAN_EST" vbProcedure="false">"c3544"</definedName>
    <definedName function="false" hidden="true" name="IQ_BV_SHARE_MEDIAN_EST_CIQ" vbProcedure="false">"c3801"</definedName>
    <definedName function="false" hidden="true" name="IQ_BV_SHARE_MEDIAN_EST_REUT" vbProcedure="false">"c5440"</definedName>
    <definedName function="false" hidden="true" name="IQ_BV_SHARE_MEDIAN_EST_THOM" vbProcedure="false">"c4021"</definedName>
    <definedName function="false" hidden="true" name="IQ_BV_SHARE_NUM_EST" vbProcedure="false">"c3539"</definedName>
    <definedName function="false" hidden="true" name="IQ_BV_SHARE_NUM_EST_CIQ" vbProcedure="false">"c3804"</definedName>
    <definedName function="false" hidden="true" name="IQ_BV_SHARE_NUM_EST_REUT" vbProcedure="false">"c5443"</definedName>
    <definedName function="false" hidden="true" name="IQ_BV_SHARE_NUM_EST_THOM" vbProcedure="false">"c4024"</definedName>
    <definedName function="false" hidden="true" name="IQ_BV_SHARE_STDDEV_EST" vbProcedure="false">"c3540"</definedName>
    <definedName function="false" hidden="true" name="IQ_BV_SHARE_STDDEV_EST_CIQ" vbProcedure="false">"c3805"</definedName>
    <definedName function="false" hidden="true" name="IQ_BV_SHARE_STDDEV_EST_REUT" vbProcedure="false">"c5444"</definedName>
    <definedName function="false" hidden="true" name="IQ_BV_SHARE_STDDEV_EST_THOM" vbProcedure="false">"c4025"</definedName>
    <definedName function="false" hidden="true" name="IQ_BV_STDDEV_EST" vbProcedure="false">"c5629"</definedName>
    <definedName function="false" hidden="true" name="IQ_BV_STDDEV_EST_CIQ" vbProcedure="false">"c4742"</definedName>
    <definedName function="false" hidden="true" name="IQ_BV_STDDEV_EST_REUT" vbProcedure="false">"c5408"</definedName>
    <definedName function="false" hidden="true" name="IQ_BV_STDDEV_EST_THOM" vbProcedure="false">"c5152"</definedName>
    <definedName function="false" hidden="true" name="IQ_CABLE_ARPU" vbProcedure="false">"c2869"</definedName>
    <definedName function="false" hidden="true" name="IQ_CABLE_ARPU_ANALOG" vbProcedure="false">"c2864"</definedName>
    <definedName function="false" hidden="true" name="IQ_CABLE_ARPU_BASIC" vbProcedure="false">"c2866"</definedName>
    <definedName function="false" hidden="true" name="IQ_CABLE_ARPU_BBAND" vbProcedure="false">"c2867"</definedName>
    <definedName function="false" hidden="true" name="IQ_CABLE_ARPU_DIG" vbProcedure="false">"c2865"</definedName>
    <definedName function="false" hidden="true" name="IQ_CABLE_ARPU_PHONE" vbProcedure="false">"c2868"</definedName>
    <definedName function="false" hidden="true" name="IQ_CABLE_BASIC_PENETRATION" vbProcedure="false">"c2850"</definedName>
    <definedName function="false" hidden="true" name="IQ_CABLE_BBAND_PENETRATION" vbProcedure="false">"c2852"</definedName>
    <definedName function="false" hidden="true" name="IQ_CABLE_BBAND_PENETRATION_THP" vbProcedure="false">"c2851"</definedName>
    <definedName function="false" hidden="true" name="IQ_CABLE_CHURN" vbProcedure="false">"c2874"</definedName>
    <definedName function="false" hidden="true" name="IQ_CABLE_CHURN_BASIC" vbProcedure="false">"c2871"</definedName>
    <definedName function="false" hidden="true" name="IQ_CABLE_CHURN_BBAND" vbProcedure="false">"c2872"</definedName>
    <definedName function="false" hidden="true" name="IQ_CABLE_CHURN_DIG" vbProcedure="false">"c2870"</definedName>
    <definedName function="false" hidden="true" name="IQ_CABLE_CHURN_PHONE" vbProcedure="false">"c2873"</definedName>
    <definedName function="false" hidden="true" name="IQ_CABLE_HOMES_PER_MILE" vbProcedure="false">"c2849"</definedName>
    <definedName function="false" hidden="true" name="IQ_CABLE_HP_BBAND" vbProcedure="false">"c2845"</definedName>
    <definedName function="false" hidden="true" name="IQ_CABLE_HP_DIG" vbProcedure="false">"c2844"</definedName>
    <definedName function="false" hidden="true" name="IQ_CABLE_HP_PHONE" vbProcedure="false">"c2846"</definedName>
    <definedName function="false" hidden="true" name="IQ_CABLE_MILES_PASSED" vbProcedure="false">"c2848"</definedName>
    <definedName function="false" hidden="true" name="IQ_CABLE_OTHER_REV" vbProcedure="false">"c2882"</definedName>
    <definedName function="false" hidden="true" name="IQ_CABLE_PHONE_PENETRATION" vbProcedure="false">"c2853"</definedName>
    <definedName function="false" hidden="true" name="IQ_CABLE_PROGRAMMING_COSTS" vbProcedure="false">"c2884"</definedName>
    <definedName function="false" hidden="true" name="IQ_CABLE_REV_ADVERT" vbProcedure="false">"c2880"</definedName>
    <definedName function="false" hidden="true" name="IQ_CABLE_REV_ANALOG" vbProcedure="false">"c2875"</definedName>
    <definedName function="false" hidden="true" name="IQ_CABLE_REV_BASIC" vbProcedure="false">"c2877"</definedName>
    <definedName function="false" hidden="true" name="IQ_CABLE_REV_BBAND" vbProcedure="false">"c2878"</definedName>
    <definedName function="false" hidden="true" name="IQ_CABLE_REV_COMMERCIAL" vbProcedure="false">"c2881"</definedName>
    <definedName function="false" hidden="true" name="IQ_CABLE_REV_DIG" vbProcedure="false">"c2876"</definedName>
    <definedName function="false" hidden="true" name="IQ_CABLE_REV_PHONE" vbProcedure="false">"c2879"</definedName>
    <definedName function="false" hidden="true" name="IQ_CABLE_RGU" vbProcedure="false">"c2863"</definedName>
    <definedName function="false" hidden="true" name="IQ_CABLE_SUBS_ANALOG" vbProcedure="false">"c2855"</definedName>
    <definedName function="false" hidden="true" name="IQ_CABLE_SUBS_BASIC" vbProcedure="false">"c2857"</definedName>
    <definedName function="false" hidden="true" name="IQ_CABLE_SUBS_BBAND" vbProcedure="false">"c2858"</definedName>
    <definedName function="false" hidden="true" name="IQ_CABLE_SUBS_BUNDLED" vbProcedure="false">"c2861"</definedName>
    <definedName function="false" hidden="true" name="IQ_CABLE_SUBS_BUS_PHONE" vbProcedure="false">"c15773"</definedName>
    <definedName function="false" hidden="true" name="IQ_CABLE_SUBS_DIG" vbProcedure="false">"c2856"</definedName>
    <definedName function="false" hidden="true" name="IQ_CABLE_SUBS_LONG_DIST_PHONE" vbProcedure="false">"c15775"</definedName>
    <definedName function="false" hidden="true" name="IQ_CABLE_SUBS_NON_VIDEO" vbProcedure="false">"c2860"</definedName>
    <definedName function="false" hidden="true" name="IQ_CABLE_SUBS_PHONE" vbProcedure="false">"c2859"</definedName>
    <definedName function="false" hidden="true" name="IQ_CABLE_SUBS_RES_PHONE" vbProcedure="false">"c15772"</definedName>
    <definedName function="false" hidden="true" name="IQ_CABLE_SUBS_SATELITE" vbProcedure="false">"c15771"</definedName>
    <definedName function="false" hidden="true" name="IQ_CABLE_SUBS_TOTAL" vbProcedure="false">"c2862"</definedName>
    <definedName function="false" hidden="true" name="IQ_CABLE_SUBS_WHOLE_PHONE" vbProcedure="false">"c15774"</definedName>
    <definedName function="false" hidden="true" name="IQ_CABLE_THP" vbProcedure="false">"c2847"</definedName>
    <definedName function="false" hidden="true" name="IQ_CABLE_TOTAL_PENETRATION" vbProcedure="false">"c2854"</definedName>
    <definedName function="false" hidden="true" name="IQ_CABLE_TOTAL_REV" vbProcedure="false">"c2883"</definedName>
    <definedName function="false" hidden="true" name="IQ_CALC_TYPE_BS" vbProcedure="false">"c3086"</definedName>
    <definedName function="false" hidden="true" name="IQ_CALC_TYPE_CF" vbProcedure="false">"c3085"</definedName>
    <definedName function="false" hidden="true" name="IQ_CALC_TYPE_IS" vbProcedure="false">"c3084"</definedName>
    <definedName function="false" hidden="true" name="IQ_CALLABLE" vbProcedure="false">"c2196"</definedName>
    <definedName function="false" hidden="true" name="IQ_CALL_DATE_SCHEDULE" vbProcedure="false">"c2481"</definedName>
    <definedName function="false" hidden="true" name="IQ_CALL_FEATURE" vbProcedure="false">"c2197"</definedName>
    <definedName function="false" hidden="true" name="IQ_CALL_PRICE_SCHEDULE" vbProcedure="false">"c2482"</definedName>
    <definedName function="false" hidden="true" name="IQ_CAL_Q" vbProcedure="false">"c101"</definedName>
    <definedName function="false" hidden="true" name="IQ_CAL_Q_EST" vbProcedure="false">"c6796"</definedName>
    <definedName function="false" hidden="true" name="IQ_CAL_Q_EST_CIQ" vbProcedure="false">"c6808"</definedName>
    <definedName function="false" hidden="true" name="IQ_CAL_Q_EST_CIQ_COL" vbProcedure="false">"c11743"</definedName>
    <definedName function="false" hidden="true" name="IQ_CAL_Q_EST_REUT" vbProcedure="false">"c6800"</definedName>
    <definedName function="false" hidden="true" name="IQ_CAL_Q_EST_THOM" vbProcedure="false">"c6804"</definedName>
    <definedName function="false" hidden="true" name="IQ_CAL_Y" vbProcedure="false">"c102"</definedName>
    <definedName function="false" hidden="true" name="IQ_CAL_Y_EST" vbProcedure="false">"c6797"</definedName>
    <definedName function="false" hidden="true" name="IQ_CAL_Y_EST_CIQ" vbProcedure="false">"c6809"</definedName>
    <definedName function="false" hidden="true" name="IQ_CAL_Y_EST_CIQ_COL" vbProcedure="false">"c11744"</definedName>
    <definedName function="false" hidden="true" name="IQ_CAL_Y_EST_REUT" vbProcedure="false">"c6801"</definedName>
    <definedName function="false" hidden="true" name="IQ_CAL_Y_EST_THOM" vbProcedure="false">"c6805"</definedName>
    <definedName function="false" hidden="true" name="IQ_CAPEX" vbProcedure="false">"c103"</definedName>
    <definedName function="false" hidden="true" name="IQ_CAPEX_10YR_ANN_CAGR" vbProcedure="false">"c6050"</definedName>
    <definedName function="false" hidden="true" name="IQ_CAPEX_10YR_ANN_GROWTH" vbProcedure="false">"c104"</definedName>
    <definedName function="false" hidden="true" name="IQ_CAPEX_1YR_ANN_GROWTH" vbProcedure="false">"c105"</definedName>
    <definedName function="false" hidden="true" name="IQ_CAPEX_2YR_ANN_CAGR" vbProcedure="false">"c6051"</definedName>
    <definedName function="false" hidden="true" name="IQ_CAPEX_2YR_ANN_GROWTH" vbProcedure="false">"c106"</definedName>
    <definedName function="false" hidden="true" name="IQ_CAPEX_3YR_ANN_CAGR" vbProcedure="false">"c6052"</definedName>
    <definedName function="false" hidden="true" name="IQ_CAPEX_3YR_ANN_GROWTH" vbProcedure="false">"c107"</definedName>
    <definedName function="false" hidden="true" name="IQ_CAPEX_5YR_ANN_CAGR" vbProcedure="false">"c6053"</definedName>
    <definedName function="false" hidden="true" name="IQ_CAPEX_5YR_ANN_GROWTH" vbProcedure="false">"c108"</definedName>
    <definedName function="false" hidden="true" name="IQ_CAPEX_7YR_ANN_CAGR" vbProcedure="false">"c6054"</definedName>
    <definedName function="false" hidden="true" name="IQ_CAPEX_7YR_ANN_GROWTH" vbProcedure="false">"c109"</definedName>
    <definedName function="false" hidden="true" name="IQ_CAPEX_ACT_OR_EST" vbProcedure="false">"c3584"</definedName>
    <definedName function="false" hidden="true" name="IQ_CAPEX_ACT_OR_EST_CIQ" vbProcedure="false">"c5071"</definedName>
    <definedName function="false" hidden="true" name="IQ_CAPEX_ACT_OR_EST_CIQ_COL" vbProcedure="false">"c11718"</definedName>
    <definedName function="false" hidden="true" name="IQ_CAPEX_ACT_OR_EST_REUT" vbProcedure="false">"c5474"</definedName>
    <definedName function="false" hidden="true" name="IQ_CAPEX_ACT_OR_EST_THOM" vbProcedure="false">"c5546"</definedName>
    <definedName function="false" hidden="true" name="IQ_CAPEX_BNK" vbProcedure="false">"c110"</definedName>
    <definedName function="false" hidden="true" name="IQ_CAPEX_BR" vbProcedure="false">"c111"</definedName>
    <definedName function="false" hidden="true" name="IQ_CAPEX_DET_EST" vbProcedure="false">"c12048"</definedName>
    <definedName function="false" hidden="true" name="IQ_CAPEX_DET_EST_CIQ" vbProcedure="false">"c12108"</definedName>
    <definedName function="false" hidden="true" name="IQ_CAPEX_DET_EST_CURRENCY" vbProcedure="false">"c12457"</definedName>
    <definedName function="false" hidden="true" name="IQ_CAPEX_DET_EST_CURRENCY_CIQ" vbProcedure="false">"c12501"</definedName>
    <definedName function="false" hidden="true" name="IQ_CAPEX_DET_EST_CURRENCY_THOM" vbProcedure="false">"c12477"</definedName>
    <definedName function="false" hidden="true" name="IQ_CAPEX_DET_EST_DATE" vbProcedure="false">"c12201"</definedName>
    <definedName function="false" hidden="true" name="IQ_CAPEX_DET_EST_DATE_CIQ" vbProcedure="false">"c12254"</definedName>
    <definedName function="false" hidden="true" name="IQ_CAPEX_DET_EST_DATE_THOM" vbProcedure="false">"c12226"</definedName>
    <definedName function="false" hidden="true" name="IQ_CAPEX_DET_EST_INCL" vbProcedure="false">"c12340"</definedName>
    <definedName function="false" hidden="true" name="IQ_CAPEX_DET_EST_INCL_CIQ" vbProcedure="false">"c12384"</definedName>
    <definedName function="false" hidden="true" name="IQ_CAPEX_DET_EST_INCL_THOM" vbProcedure="false">"c12360"</definedName>
    <definedName function="false" hidden="true" name="IQ_CAPEX_DET_EST_NOTE" vbProcedure="false">"c17542"</definedName>
    <definedName function="false" hidden="true" name="IQ_CAPEX_DET_EST_NOTE_CIQ" vbProcedure="false">"c17495"</definedName>
    <definedName function="false" hidden="true" name="IQ_CAPEX_DET_EST_ORIGIN" vbProcedure="false">"c12765"</definedName>
    <definedName function="false" hidden="true" name="IQ_CAPEX_DET_EST_ORIGIN_CIQ" vbProcedure="false">"c12766"</definedName>
    <definedName function="false" hidden="true" name="IQ_CAPEX_DET_EST_ORIGIN_CIQ_COL" vbProcedure="false">"c12767"</definedName>
    <definedName function="false" hidden="true" name="IQ_CAPEX_DET_EST_ORIGIN_THOM" vbProcedure="false">"c12596"</definedName>
    <definedName function="false" hidden="true" name="IQ_CAPEX_DET_EST_THOM" vbProcedure="false">"c12076"</definedName>
    <definedName function="false" hidden="true" name="IQ_CAPEX_EST" vbProcedure="false">"c3523"</definedName>
    <definedName function="false" hidden="true" name="IQ_CAPEX_EST_CIQ" vbProcedure="false">"c3807"</definedName>
    <definedName function="false" hidden="true" name="IQ_CAPEX_EST_DOWN_2MONTH" vbProcedure="false">"c16525"</definedName>
    <definedName function="false" hidden="true" name="IQ_CAPEX_EST_DOWN_2MONTH_CIQ" vbProcedure="false">"c16789"</definedName>
    <definedName function="false" hidden="true" name="IQ_CAPEX_EST_DOWN_3MONTH" vbProcedure="false">"c16529"</definedName>
    <definedName function="false" hidden="true" name="IQ_CAPEX_EST_DOWN_3MONTH_CIQ" vbProcedure="false">"c16793"</definedName>
    <definedName function="false" hidden="true" name="IQ_CAPEX_EST_DOWN_MONTH" vbProcedure="false">"c16521"</definedName>
    <definedName function="false" hidden="true" name="IQ_CAPEX_EST_DOWN_MONTH_CIQ" vbProcedure="false">"c16785"</definedName>
    <definedName function="false" hidden="true" name="IQ_CAPEX_EST_NOTE" vbProcedure="false">"c17519"</definedName>
    <definedName function="false" hidden="true" name="IQ_CAPEX_EST_NOTE_CIQ" vbProcedure="false">"c17472"</definedName>
    <definedName function="false" hidden="true" name="IQ_CAPEX_EST_NUM_ANALYSTS_2MONTH" vbProcedure="false">"c16523"</definedName>
    <definedName function="false" hidden="true" name="IQ_CAPEX_EST_NUM_ANALYSTS_2MONTH_CIQ" vbProcedure="false">"c16787"</definedName>
    <definedName function="false" hidden="true" name="IQ_CAPEX_EST_NUM_ANALYSTS_3MONTH" vbProcedure="false">"c16527"</definedName>
    <definedName function="false" hidden="true" name="IQ_CAPEX_EST_NUM_ANALYSTS_3MONTH_CIQ" vbProcedure="false">"c16791"</definedName>
    <definedName function="false" hidden="true" name="IQ_CAPEX_EST_NUM_ANALYSTS_MONTH" vbProcedure="false">"c16519"</definedName>
    <definedName function="false" hidden="true" name="IQ_CAPEX_EST_NUM_ANALYSTS_MONTH_CIQ" vbProcedure="false">"c16783"</definedName>
    <definedName function="false" hidden="true" name="IQ_CAPEX_EST_REUT" vbProcedure="false">"c3969"</definedName>
    <definedName function="false" hidden="true" name="IQ_CAPEX_EST_THOM" vbProcedure="false">"c5502"</definedName>
    <definedName function="false" hidden="true" name="IQ_CAPEX_EST_TOTAL_REVISED_2MONTH" vbProcedure="false">"c16526"</definedName>
    <definedName function="false" hidden="true" name="IQ_CAPEX_EST_TOTAL_REVISED_2MONTH_CIQ" vbProcedure="false">"c16790"</definedName>
    <definedName function="false" hidden="true" name="IQ_CAPEX_EST_TOTAL_REVISED_3MONTH" vbProcedure="false">"c16530"</definedName>
    <definedName function="false" hidden="true" name="IQ_CAPEX_EST_TOTAL_REVISED_3MONTH_CIQ" vbProcedure="false">"c16794"</definedName>
    <definedName function="false" hidden="true" name="IQ_CAPEX_EST_TOTAL_REVISED_MONTH" vbProcedure="false">"c16522"</definedName>
    <definedName function="false" hidden="true" name="IQ_CAPEX_EST_TOTAL_REVISED_MONTH_CIQ" vbProcedure="false">"c16786"</definedName>
    <definedName function="false" hidden="true" name="IQ_CAPEX_EST_UP_2MONTH" vbProcedure="false">"c16524"</definedName>
    <definedName function="false" hidden="true" name="IQ_CAPEX_EST_UP_2MONTH_CIQ" vbProcedure="false">"c16788"</definedName>
    <definedName function="false" hidden="true" name="IQ_CAPEX_EST_UP_3MONTH" vbProcedure="false">"c16528"</definedName>
    <definedName function="false" hidden="true" name="IQ_CAPEX_EST_UP_3MONTH_CIQ" vbProcedure="false">"c16792"</definedName>
    <definedName function="false" hidden="true" name="IQ_CAPEX_EST_UP_MONTH" vbProcedure="false">"c16520"</definedName>
    <definedName function="false" hidden="true" name="IQ_CAPEX_EST_UP_MONTH_CIQ" vbProcedure="false">"c16784"</definedName>
    <definedName function="false" hidden="true" name="IQ_CAPEX_FIN" vbProcedure="false">"c112"</definedName>
    <definedName function="false" hidden="true" name="IQ_CAPEX_GUIDANCE" vbProcedure="false">"c4150"</definedName>
    <definedName function="false" hidden="true" name="IQ_CAPEX_GUIDANCE_CIQ" vbProcedure="false">"c4562"</definedName>
    <definedName function="false" hidden="true" name="IQ_CAPEX_GUIDANCE_CIQ_COL" vbProcedure="false">"c11211"</definedName>
    <definedName function="false" hidden="true" name="IQ_CAPEX_HIGH_EST" vbProcedure="false">"c3524"</definedName>
    <definedName function="false" hidden="true" name="IQ_CAPEX_HIGH_EST_CIQ" vbProcedure="false">"c3809"</definedName>
    <definedName function="false" hidden="true" name="IQ_CAPEX_HIGH_EST_REUT" vbProcedure="false">"c3971"</definedName>
    <definedName function="false" hidden="true" name="IQ_CAPEX_HIGH_EST_THOM" vbProcedure="false">"c5504"</definedName>
    <definedName function="false" hidden="true" name="IQ_CAPEX_HIGH_GUIDANCE" vbProcedure="false">"c4180"</definedName>
    <definedName function="false" hidden="true" name="IQ_CAPEX_HIGH_GUIDANCE_CIQ" vbProcedure="false">"c4592"</definedName>
    <definedName function="false" hidden="true" name="IQ_CAPEX_HIGH_GUIDANCE_CIQ_COL" vbProcedure="false">"c11241"</definedName>
    <definedName function="false" hidden="true" name="IQ_CAPEX_INS" vbProcedure="false">"c113"</definedName>
    <definedName function="false" hidden="true" name="IQ_CAPEX_LOW_EST" vbProcedure="false">"c3525"</definedName>
    <definedName function="false" hidden="true" name="IQ_CAPEX_LOW_EST_CIQ" vbProcedure="false">"c3810"</definedName>
    <definedName function="false" hidden="true" name="IQ_CAPEX_LOW_EST_REUT" vbProcedure="false">"c3972"</definedName>
    <definedName function="false" hidden="true" name="IQ_CAPEX_LOW_EST_THOM" vbProcedure="false">"c5505"</definedName>
    <definedName function="false" hidden="true" name="IQ_CAPEX_LOW_GUIDANCE" vbProcedure="false">"c4220"</definedName>
    <definedName function="false" hidden="true" name="IQ_CAPEX_LOW_GUIDANCE_CIQ" vbProcedure="false">"c4632"</definedName>
    <definedName function="false" hidden="true" name="IQ_CAPEX_LOW_GUIDANCE_CIQ_COL" vbProcedure="false">"c11281"</definedName>
    <definedName function="false" hidden="true" name="IQ_CAPEX_MEDIAN_EST" vbProcedure="false">"c3526"</definedName>
    <definedName function="false" hidden="true" name="IQ_CAPEX_MEDIAN_EST_CIQ" vbProcedure="false">"c3808"</definedName>
    <definedName function="false" hidden="true" name="IQ_CAPEX_MEDIAN_EST_REUT" vbProcedure="false">"c3970"</definedName>
    <definedName function="false" hidden="true" name="IQ_CAPEX_MEDIAN_EST_THOM" vbProcedure="false">"c5503"</definedName>
    <definedName function="false" hidden="true" name="IQ_CAPEX_NUM_EST" vbProcedure="false">"c3521"</definedName>
    <definedName function="false" hidden="true" name="IQ_CAPEX_NUM_EST_CIQ" vbProcedure="false">"c3811"</definedName>
    <definedName function="false" hidden="true" name="IQ_CAPEX_NUM_EST_REUT" vbProcedure="false">"c3973"</definedName>
    <definedName function="false" hidden="true" name="IQ_CAPEX_NUM_EST_THOM" vbProcedure="false">"c5506"</definedName>
    <definedName function="false" hidden="true" name="IQ_CAPEX_PCT_REV" vbProcedure="false">"c19144"</definedName>
    <definedName function="false" hidden="true" name="IQ_CAPEX_STDDEV_EST" vbProcedure="false">"c3522"</definedName>
    <definedName function="false" hidden="true" name="IQ_CAPEX_STDDEV_EST_CIQ" vbProcedure="false">"c3812"</definedName>
    <definedName function="false" hidden="true" name="IQ_CAPEX_STDDEV_EST_REUT" vbProcedure="false">"c3974"</definedName>
    <definedName function="false" hidden="true" name="IQ_CAPEX_STDDEV_EST_THOM" vbProcedure="false">"c5507"</definedName>
    <definedName function="false" hidden="true" name="IQ_CAPEX_UTI" vbProcedure="false">"c114"</definedName>
    <definedName function="false" hidden="true" name="IQ_CAPITALIZED_INTEREST" vbProcedure="false">"c2076"</definedName>
    <definedName function="false" hidden="true" name="IQ_CAPITALIZED_INTEREST_BOP" vbProcedure="false">"c3459"</definedName>
    <definedName function="false" hidden="true" name="IQ_CAPITALIZED_INTEREST_EOP" vbProcedure="false">"c3464"</definedName>
    <definedName function="false" hidden="true" name="IQ_CAPITALIZED_INTEREST_EXP" vbProcedure="false">"c3461"</definedName>
    <definedName function="false" hidden="true" name="IQ_CAPITALIZED_INTEREST_OTHER_ADJ" vbProcedure="false">"c3463"</definedName>
    <definedName function="false" hidden="true" name="IQ_CAPITALIZED_INTEREST_WRITE_OFF" vbProcedure="false">"c3462"</definedName>
    <definedName function="false" hidden="true" name="IQ_CAPITAL_ALLOCATION_ADJUSTMENT_FOREIGN_FFIEC" vbProcedure="false">"c15389"</definedName>
    <definedName function="false" hidden="true" name="IQ_CAPITAL_LEASE" vbProcedure="false">"c1350"</definedName>
    <definedName function="false" hidden="true" name="IQ_CAPITAL_LEASES" vbProcedure="false">"c115"</definedName>
    <definedName function="false" hidden="true" name="IQ_CAPITAL_LEASES_TOTAL" vbProcedure="false">"c3031"</definedName>
    <definedName function="false" hidden="true" name="IQ_CAPITAL_LEASES_TOTAL_PCT" vbProcedure="false">"c2506"</definedName>
    <definedName function="false" hidden="true" name="IQ_CAPITAL_RAISED_PERIOD_COVERED" vbProcedure="false">"c9959"</definedName>
    <definedName function="false" hidden="true" name="IQ_CAPITAL_RAISED_PERIOD_GROUP" vbProcedure="false">"c9945"</definedName>
    <definedName function="false" hidden="true" name="IQ_CAPITAL_UNDER_MANAGE" vbProcedure="false">"c18929"</definedName>
    <definedName function="false" hidden="true" name="IQ_CAPITAL_UNDER_MANAGE_CURRENCY" vbProcedure="false">"c19171"</definedName>
    <definedName function="false" hidden="true" name="IQ_CAPITAL_UNDER_MANAGE_DATE" vbProcedure="false">"c18930"</definedName>
    <definedName function="false" hidden="true" name="IQ_CAP_INVEST_CABLE" vbProcedure="false">"c15794"</definedName>
    <definedName function="false" hidden="true" name="IQ_CAP_INVEST_COMMERCIAL" vbProcedure="false">"c15800"</definedName>
    <definedName function="false" hidden="true" name="IQ_CAP_INVEST_CUST_PREMISE_EQUIP" vbProcedure="false">"c15795"</definedName>
    <definedName function="false" hidden="true" name="IQ_CAP_INVEST_LINE_EXTENSIONS" vbProcedure="false">"c15797"</definedName>
    <definedName function="false" hidden="true" name="IQ_CAP_INVEST_SCALABLE_INFRASTRUCTURE" vbProcedure="false">"c15796"</definedName>
    <definedName function="false" hidden="true" name="IQ_CAP_INVEST_SUPPORT" vbProcedure="false">"c15799"</definedName>
    <definedName function="false" hidden="true" name="IQ_CAP_INVEST_UPGRADE_REBUILD" vbProcedure="false">"c15798"</definedName>
    <definedName function="false" hidden="true" name="IQ_CAP_LOSS_CF_1YR" vbProcedure="false">"c3474"</definedName>
    <definedName function="false" hidden="true" name="IQ_CAP_LOSS_CF_2YR" vbProcedure="false">"c3475"</definedName>
    <definedName function="false" hidden="true" name="IQ_CAP_LOSS_CF_3YR" vbProcedure="false">"c3476"</definedName>
    <definedName function="false" hidden="true" name="IQ_CAP_LOSS_CF_4YR" vbProcedure="false">"c3477"</definedName>
    <definedName function="false" hidden="true" name="IQ_CAP_LOSS_CF_5YR" vbProcedure="false">"c3478"</definedName>
    <definedName function="false" hidden="true" name="IQ_CAP_LOSS_CF_AFTER_FIVE" vbProcedure="false">"c3479"</definedName>
    <definedName function="false" hidden="true" name="IQ_CAP_LOSS_CF_MAX_YEAR" vbProcedure="false">"c3482"</definedName>
    <definedName function="false" hidden="true" name="IQ_CAP_LOSS_CF_NO_EXP" vbProcedure="false">"c3480"</definedName>
    <definedName function="false" hidden="true" name="IQ_CAP_LOSS_CF_TOTAL" vbProcedure="false">"c3481"</definedName>
    <definedName function="false" hidden="true" name="IQ_CAP_UTIL_RATE" vbProcedure="false">"c6824"</definedName>
    <definedName function="false" hidden="true" name="IQ_CAP_UTIL_RATE_POP" vbProcedure="false">"c7044"</definedName>
    <definedName function="false" hidden="true" name="IQ_CAP_UTIL_RATE_YOY" vbProcedure="false">"c7264"</definedName>
    <definedName function="false" hidden="true" name="IQ_CASH" vbProcedure="false">"c1458"</definedName>
    <definedName function="false" hidden="true" name="IQ_CASH_ACQUIRE_CF" vbProcedure="false">"c116"</definedName>
    <definedName function="false" hidden="true" name="IQ_CASH_BALANCES_DUE_FFIEC" vbProcedure="false">"c12773"</definedName>
    <definedName function="false" hidden="true" name="IQ_CASH_BANKS_FOREIGN_COUNTRIES_DOM_FFIEC" vbProcedure="false">"c15289"</definedName>
    <definedName function="false" hidden="true" name="IQ_CASH_COLLECTION_UNPOSTED_DEBITS_CURRENCY_FFIEC" vbProcedure="false">"c15279"</definedName>
    <definedName function="false" hidden="true" name="IQ_CASH_COLLECTION_UNPOSTED_DEBITS_DOM_FFIEC" vbProcedure="false">"c15286"</definedName>
    <definedName function="false" hidden="true" name="IQ_CASH_CONVERSION" vbProcedure="false">"c117"</definedName>
    <definedName function="false" hidden="true" name="IQ_CASH_COST_ALUM" vbProcedure="false">"c9252"</definedName>
    <definedName function="false" hidden="true" name="IQ_CASH_COST_COAL" vbProcedure="false">"c9825"</definedName>
    <definedName function="false" hidden="true" name="IQ_CASH_COST_COP" vbProcedure="false">"c9199"</definedName>
    <definedName function="false" hidden="true" name="IQ_CASH_COST_DIAM" vbProcedure="false">"c9676"</definedName>
    <definedName function="false" hidden="true" name="IQ_CASH_COST_GOLD" vbProcedure="false">"c9037"</definedName>
    <definedName function="false" hidden="true" name="IQ_CASH_COST_IRON" vbProcedure="false">"c9411"</definedName>
    <definedName function="false" hidden="true" name="IQ_CASH_COST_LEAD" vbProcedure="false">"c9464"</definedName>
    <definedName function="false" hidden="true" name="IQ_CASH_COST_MANG" vbProcedure="false">"c9517"</definedName>
    <definedName function="false" hidden="true" name="IQ_CASH_COST_MET_COAL" vbProcedure="false">"c9762"</definedName>
    <definedName function="false" hidden="true" name="IQ_CASH_COST_MOLYB" vbProcedure="false">"c9729"</definedName>
    <definedName function="false" hidden="true" name="IQ_CASH_COST_NICK" vbProcedure="false">"c9305"</definedName>
    <definedName function="false" hidden="true" name="IQ_CASH_COST_PER_SUB" vbProcedure="false">"c15763"</definedName>
    <definedName function="false" hidden="true" name="IQ_CASH_COST_PLAT" vbProcedure="false">"c9143"</definedName>
    <definedName function="false" hidden="true" name="IQ_CASH_COST_SILVER" vbProcedure="false">"c9090"</definedName>
    <definedName function="false" hidden="true" name="IQ_CASH_COST_STEAM" vbProcedure="false">"c9792"</definedName>
    <definedName function="false" hidden="true" name="IQ_CASH_COST_TITAN" vbProcedure="false">"c9570"</definedName>
    <definedName function="false" hidden="true" name="IQ_CASH_COST_URAN" vbProcedure="false">"c9623"</definedName>
    <definedName function="false" hidden="true" name="IQ_CASH_COST_ZINC" vbProcedure="false">"c9358"</definedName>
    <definedName function="false" hidden="true" name="IQ_CASH_DEPOSITORY_INSTIT_US_DOM_FFIEC" vbProcedure="false">"c15288"</definedName>
    <definedName function="false" hidden="true" name="IQ_CASH_DIVIDENDS_NET_INCOME_FDIC" vbProcedure="false">"c6738"</definedName>
    <definedName function="false" hidden="true" name="IQ_CASH_DUE_BANKS" vbProcedure="false">"c1351"</definedName>
    <definedName function="false" hidden="true" name="IQ_CASH_DUE_OTHER_FED_RESERVE_BANKS_DOM_FFIEC" vbProcedure="false">"c15290"</definedName>
    <definedName function="false" hidden="true" name="IQ_CASH_DUE_OTHER_FED_RESERVE_BANKS_FFIEC" vbProcedure="false">"c15284"</definedName>
    <definedName function="false" hidden="true" name="IQ_CASH_DUE_US_BRANCH_FOREIGN_BANK_FFIEC" vbProcedure="false">"c15280"</definedName>
    <definedName function="false" hidden="true" name="IQ_CASH_EPS_ACT_OR_EST" vbProcedure="false">"c5638"</definedName>
    <definedName function="false" hidden="true" name="IQ_CASH_EPS_ACT_OR_EST_THOM" vbProcedure="false">"c5646"</definedName>
    <definedName function="false" hidden="true" name="IQ_CASH_EPS_DET_EST_CURRENCY_THOM" vbProcedure="false">"c12478"</definedName>
    <definedName function="false" hidden="true" name="IQ_CASH_EPS_DET_EST_DATE_THOM" vbProcedure="false">"c12227"</definedName>
    <definedName function="false" hidden="true" name="IQ_CASH_EPS_DET_EST_INCL_THOM" vbProcedure="false">"c12361"</definedName>
    <definedName function="false" hidden="true" name="IQ_CASH_EPS_DET_EST_ORIGIN_THOM" vbProcedure="false">"c12597"</definedName>
    <definedName function="false" hidden="true" name="IQ_CASH_EPS_DET_EST_THOM" vbProcedure="false">"c12077"</definedName>
    <definedName function="false" hidden="true" name="IQ_CASH_EPS_EST" vbProcedure="false">"c5631"</definedName>
    <definedName function="false" hidden="true" name="IQ_CASH_EPS_EST_DOWN_2MONTH" vbProcedure="false">"c16333"</definedName>
    <definedName function="false" hidden="true" name="IQ_CASH_EPS_EST_DOWN_3MONTH" vbProcedure="false">"c16337"</definedName>
    <definedName function="false" hidden="true" name="IQ_CASH_EPS_EST_DOWN_MONTH" vbProcedure="false">"c16329"</definedName>
    <definedName function="false" hidden="true" name="IQ_CASH_EPS_EST_NUM_ANALYSTS_2MONTH" vbProcedure="false">"c16331"</definedName>
    <definedName function="false" hidden="true" name="IQ_CASH_EPS_EST_NUM_ANALYSTS_3MONTH" vbProcedure="false">"c16335"</definedName>
    <definedName function="false" hidden="true" name="IQ_CASH_EPS_EST_NUM_ANALYSTS_MONTH" vbProcedure="false">"c16327"</definedName>
    <definedName function="false" hidden="true" name="IQ_CASH_EPS_EST_THOM" vbProcedure="false">"c5639"</definedName>
    <definedName function="false" hidden="true" name="IQ_CASH_EPS_EST_TOTAL_REVISED_2MONTH" vbProcedure="false">"c16334"</definedName>
    <definedName function="false" hidden="true" name="IQ_CASH_EPS_EST_TOTAL_REVISED_3MONTH" vbProcedure="false">"c16338"</definedName>
    <definedName function="false" hidden="true" name="IQ_CASH_EPS_EST_TOTAL_REVISED_MONTH" vbProcedure="false">"c16330"</definedName>
    <definedName function="false" hidden="true" name="IQ_CASH_EPS_EST_UP_2MONTH" vbProcedure="false">"c16332"</definedName>
    <definedName function="false" hidden="true" name="IQ_CASH_EPS_EST_UP_3MONTH" vbProcedure="false">"c16336"</definedName>
    <definedName function="false" hidden="true" name="IQ_CASH_EPS_EST_UP_MONTH" vbProcedure="false">"c16328"</definedName>
    <definedName function="false" hidden="true" name="IQ_CASH_EPS_HIGH_EST" vbProcedure="false">"c5633"</definedName>
    <definedName function="false" hidden="true" name="IQ_CASH_EPS_HIGH_EST_THOM" vbProcedure="false">"c5641"</definedName>
    <definedName function="false" hidden="true" name="IQ_CASH_EPS_LOW_EST" vbProcedure="false">"c5634"</definedName>
    <definedName function="false" hidden="true" name="IQ_CASH_EPS_LOW_EST_THOM" vbProcedure="false">"c5642"</definedName>
    <definedName function="false" hidden="true" name="IQ_CASH_EPS_MEDIAN_EST" vbProcedure="false">"c5632"</definedName>
    <definedName function="false" hidden="true" name="IQ_CASH_EPS_MEDIAN_EST_THOM" vbProcedure="false">"c5640"</definedName>
    <definedName function="false" hidden="true" name="IQ_CASH_EPS_NUM_EST" vbProcedure="false">"c5635"</definedName>
    <definedName function="false" hidden="true" name="IQ_CASH_EPS_NUM_EST_THOM" vbProcedure="false">"c5643"</definedName>
    <definedName function="false" hidden="true" name="IQ_CASH_EPS_STDDEV_EST" vbProcedure="false">"c5636"</definedName>
    <definedName function="false" hidden="true" name="IQ_CASH_EPS_STDDEV_EST_THOM" vbProcedure="false">"c5644"</definedName>
    <definedName function="false" hidden="true" name="IQ_CASH_EQUIV" vbProcedure="false">"c118"</definedName>
    <definedName function="false" hidden="true" name="IQ_CASH_FINAN" vbProcedure="false">"c119"</definedName>
    <definedName function="false" hidden="true" name="IQ_CASH_FINAN_AP" vbProcedure="false">"c8890"</definedName>
    <definedName function="false" hidden="true" name="IQ_CASH_FINAN_AP_ABS" vbProcedure="false">"c8909"</definedName>
    <definedName function="false" hidden="true" name="IQ_CASH_FINAN_NAME_AP" vbProcedure="false">"c8928"</definedName>
    <definedName function="false" hidden="true" name="IQ_CASH_FINAN_NAME_AP_ABS" vbProcedure="false">"c8947"</definedName>
    <definedName function="false" hidden="true" name="IQ_CASH_FINAN_SUBTOTAL_AP" vbProcedure="false">"c10111"</definedName>
    <definedName function="false" hidden="true" name="IQ_CASH_FLOW_ACT_OR_EST" vbProcedure="false">"c4154"</definedName>
    <definedName function="false" hidden="true" name="IQ_CASH_FLOW_ACT_OR_EST_CIQ" vbProcedure="false">"c4566"</definedName>
    <definedName function="false" hidden="true" name="IQ_CASH_FLOW_ACT_OR_EST_CIQ_COL" vbProcedure="false">"c11215"</definedName>
    <definedName function="false" hidden="true" name="IQ_CASH_FLOW_EST" vbProcedure="false">"c4153"</definedName>
    <definedName function="false" hidden="true" name="IQ_CASH_FLOW_EST_CIQ" vbProcedure="false">"c4565"</definedName>
    <definedName function="false" hidden="true" name="IQ_CASH_FLOW_GUIDANCE" vbProcedure="false">"c4155"</definedName>
    <definedName function="false" hidden="true" name="IQ_CASH_FLOW_GUIDANCE_CIQ" vbProcedure="false">"c4567"</definedName>
    <definedName function="false" hidden="true" name="IQ_CASH_FLOW_GUIDANCE_CIQ_COL" vbProcedure="false">"c11216"</definedName>
    <definedName function="false" hidden="true" name="IQ_CASH_FLOW_HIGH_EST" vbProcedure="false">"c4156"</definedName>
    <definedName function="false" hidden="true" name="IQ_CASH_FLOW_HIGH_EST_CIQ" vbProcedure="false">"c4568"</definedName>
    <definedName function="false" hidden="true" name="IQ_CASH_FLOW_HIGH_GUIDANCE" vbProcedure="false">"c4201"</definedName>
    <definedName function="false" hidden="true" name="IQ_CASH_FLOW_HIGH_GUIDANCE_CIQ" vbProcedure="false">"c4613"</definedName>
    <definedName function="false" hidden="true" name="IQ_CASH_FLOW_HIGH_GUIDANCE_CIQ_COL" vbProcedure="false">"c11262"</definedName>
    <definedName function="false" hidden="true" name="IQ_CASH_FLOW_LOW_EST" vbProcedure="false">"c4157"</definedName>
    <definedName function="false" hidden="true" name="IQ_CASH_FLOW_LOW_EST_CIQ" vbProcedure="false">"c4569"</definedName>
    <definedName function="false" hidden="true" name="IQ_CASH_FLOW_LOW_GUIDANCE" vbProcedure="false">"c4241"</definedName>
    <definedName function="false" hidden="true" name="IQ_CASH_FLOW_LOW_GUIDANCE_CIQ" vbProcedure="false">"c4653"</definedName>
    <definedName function="false" hidden="true" name="IQ_CASH_FLOW_LOW_GUIDANCE_CIQ_COL" vbProcedure="false">"c11302"</definedName>
    <definedName function="false" hidden="true" name="IQ_CASH_FLOW_MEDIAN_EST" vbProcedure="false">"c4158"</definedName>
    <definedName function="false" hidden="true" name="IQ_CASH_FLOW_MEDIAN_EST_CIQ" vbProcedure="false">"c4570"</definedName>
    <definedName function="false" hidden="true" name="IQ_CASH_FLOW_NUM_EST" vbProcedure="false">"c4159"</definedName>
    <definedName function="false" hidden="true" name="IQ_CASH_FLOW_NUM_EST_CIQ" vbProcedure="false">"c4571"</definedName>
    <definedName function="false" hidden="true" name="IQ_CASH_FLOW_STDDEV_EST" vbProcedure="false">"c4160"</definedName>
    <definedName function="false" hidden="true" name="IQ_CASH_FLOW_STDDEV_EST_CIQ" vbProcedure="false">"c4572"</definedName>
    <definedName function="false" hidden="true" name="IQ_CASH_FOREIGN_BRANCH_OTHER_US_BANKS_FFIEC" vbProcedure="false">"c15282"</definedName>
    <definedName function="false" hidden="true" name="IQ_CASH_INTEREST" vbProcedure="false">"c120"</definedName>
    <definedName function="false" hidden="true" name="IQ_CASH_INTEREST_FINAN" vbProcedure="false">"c6295"</definedName>
    <definedName function="false" hidden="true" name="IQ_CASH_INTEREST_INVEST" vbProcedure="false">"c6294"</definedName>
    <definedName function="false" hidden="true" name="IQ_CASH_INTEREST_NET" vbProcedure="false">"c12753"</definedName>
    <definedName function="false" hidden="true" name="IQ_CASH_INTEREST_OPER" vbProcedure="false">"c6293"</definedName>
    <definedName function="false" hidden="true" name="IQ_CASH_INTEREST_RECEIVED" vbProcedure="false">"c12754"</definedName>
    <definedName function="false" hidden="true" name="IQ_CASH_INVEST" vbProcedure="false">"c121"</definedName>
    <definedName function="false" hidden="true" name="IQ_CASH_INVEST_AP" vbProcedure="false">"c8889"</definedName>
    <definedName function="false" hidden="true" name="IQ_CASH_INVEST_AP_ABS" vbProcedure="false">"c8908"</definedName>
    <definedName function="false" hidden="true" name="IQ_CASH_INVEST_NAME_AP" vbProcedure="false">"c8927"</definedName>
    <definedName function="false" hidden="true" name="IQ_CASH_INVEST_NAME_AP_ABS" vbProcedure="false">"c8946"</definedName>
    <definedName function="false" hidden="true" name="IQ_CASH_INVEST_SUBTOTAL_AP" vbProcedure="false">"c8991"</definedName>
    <definedName function="false" hidden="true" name="IQ_CASH_IN_PROCESS_FDIC" vbProcedure="false">"c6386"</definedName>
    <definedName function="false" hidden="true" name="IQ_CASH_OPER" vbProcedure="false">"c122"</definedName>
    <definedName function="false" hidden="true" name="IQ_CASH_OPER_ACT_OR_EST" vbProcedure="false">"c4164"</definedName>
    <definedName function="false" hidden="true" name="IQ_CASH_OPER_ACT_OR_EST_CIQ" vbProcedure="false">"c4576"</definedName>
    <definedName function="false" hidden="true" name="IQ_CASH_OPER_ACT_OR_EST_CIQ_COL" vbProcedure="false">"c11225"</definedName>
    <definedName function="false" hidden="true" name="IQ_CASH_OPER_AP" vbProcedure="false">"c8888"</definedName>
    <definedName function="false" hidden="true" name="IQ_CASH_OPER_AP_ABS" vbProcedure="false">"c8907"</definedName>
    <definedName function="false" hidden="true" name="IQ_CASH_OPER_EST" vbProcedure="false">"c4163"</definedName>
    <definedName function="false" hidden="true" name="IQ_CASH_OPER_EST_CIQ" vbProcedure="false">"c4575"</definedName>
    <definedName function="false" hidden="true" name="IQ_CASH_OPER_GUIDANCE" vbProcedure="false">"c4165"</definedName>
    <definedName function="false" hidden="true" name="IQ_CASH_OPER_GUIDANCE_CIQ" vbProcedure="false">"c4577"</definedName>
    <definedName function="false" hidden="true" name="IQ_CASH_OPER_GUIDANCE_CIQ_COL" vbProcedure="false">"c11226"</definedName>
    <definedName function="false" hidden="true" name="IQ_CASH_OPER_HIGH_EST" vbProcedure="false">"c4166"</definedName>
    <definedName function="false" hidden="true" name="IQ_CASH_OPER_HIGH_EST_CIQ" vbProcedure="false">"c4578"</definedName>
    <definedName function="false" hidden="true" name="IQ_CASH_OPER_HIGH_GUIDANCE" vbProcedure="false">"c4185"</definedName>
    <definedName function="false" hidden="true" name="IQ_CASH_OPER_HIGH_GUIDANCE_CIQ" vbProcedure="false">"c4597"</definedName>
    <definedName function="false" hidden="true" name="IQ_CASH_OPER_HIGH_GUIDANCE_CIQ_COL" vbProcedure="false">"c11246"</definedName>
    <definedName function="false" hidden="true" name="IQ_CASH_OPER_LOW_EST" vbProcedure="false">"c4244"</definedName>
    <definedName function="false" hidden="true" name="IQ_CASH_OPER_LOW_EST_CIQ" vbProcedure="false">"c4768"</definedName>
    <definedName function="false" hidden="true" name="IQ_CASH_OPER_LOW_GUIDANCE" vbProcedure="false">"c4225"</definedName>
    <definedName function="false" hidden="true" name="IQ_CASH_OPER_LOW_GUIDANCE_CIQ" vbProcedure="false">"c4637"</definedName>
    <definedName function="false" hidden="true" name="IQ_CASH_OPER_LOW_GUIDANCE_CIQ_COL" vbProcedure="false">"c11286"</definedName>
    <definedName function="false" hidden="true" name="IQ_CASH_OPER_MEDIAN_EST" vbProcedure="false">"c4245"</definedName>
    <definedName function="false" hidden="true" name="IQ_CASH_OPER_MEDIAN_EST_CIQ" vbProcedure="false">"c4771"</definedName>
    <definedName function="false" hidden="true" name="IQ_CASH_OPER_NAME_AP" vbProcedure="false">"c8926"</definedName>
    <definedName function="false" hidden="true" name="IQ_CASH_OPER_NAME_AP_ABS" vbProcedure="false">"c8945"</definedName>
    <definedName function="false" hidden="true" name="IQ_CASH_OPER_NUM_EST" vbProcedure="false">"c4246"</definedName>
    <definedName function="false" hidden="true" name="IQ_CASH_OPER_NUM_EST_CIQ" vbProcedure="false">"c4772"</definedName>
    <definedName function="false" hidden="true" name="IQ_CASH_OPER_STDDEV_EST" vbProcedure="false">"c4247"</definedName>
    <definedName function="false" hidden="true" name="IQ_CASH_OPER_STDDEV_EST_CIQ" vbProcedure="false">"c4773"</definedName>
    <definedName function="false" hidden="true" name="IQ_CASH_OPER_SUBTOTAL_AP" vbProcedure="false">"c8990"</definedName>
    <definedName function="false" hidden="true" name="IQ_CASH_OTHER_ADJ_AP" vbProcedure="false">"c8891"</definedName>
    <definedName function="false" hidden="true" name="IQ_CASH_OTHER_ADJ_AP_ABS" vbProcedure="false">"c8910"</definedName>
    <definedName function="false" hidden="true" name="IQ_CASH_OTHER_ADJ_NAME_AP" vbProcedure="false">"c8929"</definedName>
    <definedName function="false" hidden="true" name="IQ_CASH_OTHER_ADJ_NAME_AP_ABS" vbProcedure="false">"c8948"</definedName>
    <definedName function="false" hidden="true" name="IQ_CASH_OTHER_BANKS_FOREIGN_COUNTRIES_FFIEC" vbProcedure="false">"c15283"</definedName>
    <definedName function="false" hidden="true" name="IQ_CASH_OTHER_US_COMM_BANK_DEP_INSTIT_FFIEC" vbProcedure="false">"c15281"</definedName>
    <definedName function="false" hidden="true" name="IQ_CASH_SEGREG" vbProcedure="false">"c123"</definedName>
    <definedName function="false" hidden="true" name="IQ_CASH_SHARE" vbProcedure="false">"c1911"</definedName>
    <definedName function="false" hidden="true" name="IQ_CASH_ST" vbProcedure="false">"c1355"</definedName>
    <definedName function="false" hidden="true" name="IQ_CASH_STRUCTURED_PRODUCTS_AFS_AMORT_COST_FFIEC" vbProcedure="false">"c20500"</definedName>
    <definedName function="false" hidden="true" name="IQ_CASH_STRUCTURED_PRODUCTS_AFS_FAIR_VAL_FFIEC" vbProcedure="false">"c20465"</definedName>
    <definedName function="false" hidden="true" name="IQ_CASH_STRUCTURED_PRODUCTS_AVAIL_SALE_FFIEC" vbProcedure="false">"c15263"</definedName>
    <definedName function="false" hidden="true" name="IQ_CASH_STRUCTURED_PRODUCTS_FFIEC" vbProcedure="false">"c15260"</definedName>
    <definedName function="false" hidden="true" name="IQ_CASH_STRUCTURED_PRODUCTS_HTM_AMORT_COST_FFIEC" vbProcedure="false">"c20448"</definedName>
    <definedName function="false" hidden="true" name="IQ_CASH_STRUCTURED_PRODUCTS_HTM_FAIR_VAL_FFIEC" vbProcedure="false">"c20483"</definedName>
    <definedName function="false" hidden="true" name="IQ_CASH_ST_INVEST" vbProcedure="false">"c124"</definedName>
    <definedName function="false" hidden="true" name="IQ_CASH_ST_INVEST_EST" vbProcedure="false">"c4249"</definedName>
    <definedName function="false" hidden="true" name="IQ_CASH_ST_INVEST_EST_CIQ" vbProcedure="false">"c4775"</definedName>
    <definedName function="false" hidden="true" name="IQ_CASH_ST_INVEST_GUIDANCE" vbProcedure="false">"c4250"</definedName>
    <definedName function="false" hidden="true" name="IQ_CASH_ST_INVEST_GUIDANCE_CIQ" vbProcedure="false">"c4776"</definedName>
    <definedName function="false" hidden="true" name="IQ_CASH_ST_INVEST_GUIDANCE_CIQ_COL" vbProcedure="false">"c11423"</definedName>
    <definedName function="false" hidden="true" name="IQ_CASH_ST_INVEST_HIGH_EST" vbProcedure="false">"c4251"</definedName>
    <definedName function="false" hidden="true" name="IQ_CASH_ST_INVEST_HIGH_EST_CIQ" vbProcedure="false">"c4777"</definedName>
    <definedName function="false" hidden="true" name="IQ_CASH_ST_INVEST_HIGH_GUIDANCE" vbProcedure="false">"c4195"</definedName>
    <definedName function="false" hidden="true" name="IQ_CASH_ST_INVEST_HIGH_GUIDANCE_CIQ" vbProcedure="false">"c4607"</definedName>
    <definedName function="false" hidden="true" name="IQ_CASH_ST_INVEST_HIGH_GUIDANCE_CIQ_COL" vbProcedure="false">"c11256"</definedName>
    <definedName function="false" hidden="true" name="IQ_CASH_ST_INVEST_LOW_EST" vbProcedure="false">"c4252"</definedName>
    <definedName function="false" hidden="true" name="IQ_CASH_ST_INVEST_LOW_EST_CIQ" vbProcedure="false">"c4778"</definedName>
    <definedName function="false" hidden="true" name="IQ_CASH_ST_INVEST_LOW_GUIDANCE" vbProcedure="false">"c4235"</definedName>
    <definedName function="false" hidden="true" name="IQ_CASH_ST_INVEST_LOW_GUIDANCE_CIQ" vbProcedure="false">"c4647"</definedName>
    <definedName function="false" hidden="true" name="IQ_CASH_ST_INVEST_LOW_GUIDANCE_CIQ_COL" vbProcedure="false">"c11296"</definedName>
    <definedName function="false" hidden="true" name="IQ_CASH_ST_INVEST_MEDIAN_EST" vbProcedure="false">"c4253"</definedName>
    <definedName function="false" hidden="true" name="IQ_CASH_ST_INVEST_MEDIAN_EST_CIQ" vbProcedure="false">"c4779"</definedName>
    <definedName function="false" hidden="true" name="IQ_CASH_ST_INVEST_NUM_EST" vbProcedure="false">"c4254"</definedName>
    <definedName function="false" hidden="true" name="IQ_CASH_ST_INVEST_NUM_EST_CIQ" vbProcedure="false">"c4780"</definedName>
    <definedName function="false" hidden="true" name="IQ_CASH_ST_INVEST_STDDEV_EST" vbProcedure="false">"c4255"</definedName>
    <definedName function="false" hidden="true" name="IQ_CASH_ST_INVEST_STDDEV_EST_CIQ" vbProcedure="false">"c4781"</definedName>
    <definedName function="false" hidden="true" name="IQ_CASH_TAXES" vbProcedure="false">"c125"</definedName>
    <definedName function="false" hidden="true" name="IQ_CASH_TAXES_FINAN" vbProcedure="false">"c6292"</definedName>
    <definedName function="false" hidden="true" name="IQ_CASH_TAXES_INVEST" vbProcedure="false">"c6291"</definedName>
    <definedName function="false" hidden="true" name="IQ_CASH_TAXES_OPER" vbProcedure="false">"c6290"</definedName>
    <definedName function="false" hidden="true" name="IQ_CATASTROPHIC_LOSS_RATIO" vbProcedure="false">"c15881"</definedName>
    <definedName function="false" hidden="true" name="IQ_CA_AP" vbProcedure="false">"c8881"</definedName>
    <definedName function="false" hidden="true" name="IQ_CA_AP_ABS" vbProcedure="false">"c8900"</definedName>
    <definedName function="false" hidden="true" name="IQ_CA_NAME_AP" vbProcedure="false">"c8919"</definedName>
    <definedName function="false" hidden="true" name="IQ_CA_NAME_AP_ABS" vbProcedure="false">"c8938"</definedName>
    <definedName function="false" hidden="true" name="IQ_CCE_FDIC" vbProcedure="false">"c6296"</definedName>
    <definedName function="false" hidden="true" name="IQ_CDS_5YR_CIQID" vbProcedure="false">"c11751"</definedName>
    <definedName function="false" hidden="true" name="IQ_CDS_ASK" vbProcedure="false">"c6027"</definedName>
    <definedName function="false" hidden="true" name="IQ_CDS_BID" vbProcedure="false">"c6026"</definedName>
    <definedName function="false" hidden="true" name="IQ_CDS_COUPON" vbProcedure="false">"c15234"</definedName>
    <definedName function="false" hidden="true" name="IQ_CDS_CURRENCY" vbProcedure="false">"c6031"</definedName>
    <definedName function="false" hidden="true" name="IQ_CDS_DERIVATIVES_BENEFICIARY_FFIEC" vbProcedure="false">"c13119"</definedName>
    <definedName function="false" hidden="true" name="IQ_CDS_DERIVATIVES_GUARANTOR_FFIEC" vbProcedure="false">"c13112"</definedName>
    <definedName function="false" hidden="true" name="IQ_CDS_EVAL_DATE" vbProcedure="false">"c6029"</definedName>
    <definedName function="false" hidden="true" name="IQ_CDS_LIST" vbProcedure="false">"c13510"</definedName>
    <definedName function="false" hidden="true" name="IQ_CDS_LOAN_LIST" vbProcedure="false">"c13518"</definedName>
    <definedName function="false" hidden="true" name="IQ_CDS_MID" vbProcedure="false">"c6028"</definedName>
    <definedName function="false" hidden="true" name="IQ_CDS_NAME" vbProcedure="false">"c6034"</definedName>
    <definedName function="false" hidden="true" name="IQ_CDS_NEXT_SERIES_ID" vbProcedure="false">"c15231"</definedName>
    <definedName function="false" hidden="true" name="IQ_CDS_PREV_SERIES_ID" vbProcedure="false">"c15232"</definedName>
    <definedName function="false" hidden="true" name="IQ_CDS_PRICE_TYPE" vbProcedure="false">"c15233"</definedName>
    <definedName function="false" hidden="true" name="IQ_CDS_SENIOR_LIST" vbProcedure="false">"c13508"</definedName>
    <definedName function="false" hidden="true" name="IQ_CDS_SUB_LIST" vbProcedure="false">"c13509"</definedName>
    <definedName function="false" hidden="true" name="IQ_CDS_TERM" vbProcedure="false">"c6030"</definedName>
    <definedName function="false" hidden="true" name="IQ_CDS_TYPE" vbProcedure="false">"c6025"</definedName>
    <definedName function="false" hidden="true" name="IQ_CEDED_AH_EARNED" vbProcedure="false">"c2743"</definedName>
    <definedName function="false" hidden="true" name="IQ_CEDED_CLAIM_ADJ_EXP_RESERVE_BOP" vbProcedure="false">"c15875"</definedName>
    <definedName function="false" hidden="true" name="IQ_CEDED_CLAIM_EXP_INCUR" vbProcedure="false">"c2756"</definedName>
    <definedName function="false" hidden="true" name="IQ_CEDED_CLAIM_EXP_PAID" vbProcedure="false">"c2759"</definedName>
    <definedName function="false" hidden="true" name="IQ_CEDED_CLAIM_EXP_RES" vbProcedure="false">"c2753"</definedName>
    <definedName function="false" hidden="true" name="IQ_CEDED_EARNED" vbProcedure="false">"c2733"</definedName>
    <definedName function="false" hidden="true" name="IQ_CEDED_LIFE_EARNED" vbProcedure="false">"c2738"</definedName>
    <definedName function="false" hidden="true" name="IQ_CEDED_LIFE_IN_FORCE" vbProcedure="false">"c2768"</definedName>
    <definedName function="false" hidden="true" name="IQ_CEDED_LOSSES" vbProcedure="false">"c15872"</definedName>
    <definedName function="false" hidden="true" name="IQ_CEDED_PC_EARNED" vbProcedure="false">"c2748"</definedName>
    <definedName function="false" hidden="true" name="IQ_CEDED_PREMIUMS_EARNED_GROSS_PREMIUMS_EARNED" vbProcedure="false">"c15887"</definedName>
    <definedName function="false" hidden="true" name="IQ_CEDED_PREMIUMS_WRITTEN_GROSS_PREMIUMS_WRITTEN" vbProcedure="false">"c15885"</definedName>
    <definedName function="false" hidden="true" name="IQ_CEDED_WRITTEN" vbProcedure="false">"c2727"</definedName>
    <definedName function="false" hidden="true" name="IQ_CEO_ID" vbProcedure="false">"c15210"</definedName>
    <definedName function="false" hidden="true" name="IQ_CEO_NAME" vbProcedure="false">"c15209"</definedName>
    <definedName function="false" hidden="true" name="IQ_CERTIFIED_OFFICIAL_CHECKS_TRANS_ACCTS_FFIEC" vbProcedure="false">"c15320"</definedName>
    <definedName function="false" hidden="true" name="IQ_CFO_10YR_ANN_CAGR" vbProcedure="false">"c6055"</definedName>
    <definedName function="false" hidden="true" name="IQ_CFO_10YR_ANN_GROWTH" vbProcedure="false">"c126"</definedName>
    <definedName function="false" hidden="true" name="IQ_CFO_1YR_ANN_GROWTH" vbProcedure="false">"c127"</definedName>
    <definedName function="false" hidden="true" name="IQ_CFO_2YR_ANN_CAGR" vbProcedure="false">"c6056"</definedName>
    <definedName function="false" hidden="true" name="IQ_CFO_2YR_ANN_GROWTH" vbProcedure="false">"c128"</definedName>
    <definedName function="false" hidden="true" name="IQ_CFO_3YR_ANN_CAGR" vbProcedure="false">"c6057"</definedName>
    <definedName function="false" hidden="true" name="IQ_CFO_3YR_ANN_GROWTH" vbProcedure="false">"c129"</definedName>
    <definedName function="false" hidden="true" name="IQ_CFO_5YR_ANN_CAGR" vbProcedure="false">"c6058"</definedName>
    <definedName function="false" hidden="true" name="IQ_CFO_5YR_ANN_GROWTH" vbProcedure="false">"c130"</definedName>
    <definedName function="false" hidden="true" name="IQ_CFO_7YR_ANN_CAGR" vbProcedure="false">"c6059"</definedName>
    <definedName function="false" hidden="true" name="IQ_CFO_7YR_ANN_GROWTH" vbProcedure="false">"c131"</definedName>
    <definedName function="false" hidden="true" name="IQ_CFO_CURRENT_LIAB" vbProcedure="false">"c132"</definedName>
    <definedName function="false" hidden="true" name="IQ_CFO_ID" vbProcedure="false">"c15212"</definedName>
    <definedName function="false" hidden="true" name="IQ_CFO_NAME" vbProcedure="false">"c15211"</definedName>
    <definedName function="false" hidden="true" name="IQ_CFPS_ACT_OR_EST" vbProcedure="false">"c2217"</definedName>
    <definedName function="false" hidden="true" name="IQ_CFPS_ACT_OR_EST_CIQ" vbProcedure="false">"c5061"</definedName>
    <definedName function="false" hidden="true" name="IQ_CFPS_ACT_OR_EST_CIQ_COL" vbProcedure="false">"c11708"</definedName>
    <definedName function="false" hidden="true" name="IQ_CFPS_ACT_OR_EST_REUT" vbProcedure="false">"c5463"</definedName>
    <definedName function="false" hidden="true" name="IQ_CFPS_ACT_OR_EST_THOM" vbProcedure="false">"c5301"</definedName>
    <definedName function="false" hidden="true" name="IQ_CFPS_DET_EST" vbProcedure="false">"c12049"</definedName>
    <definedName function="false" hidden="true" name="IQ_CFPS_DET_EST_CIQ" vbProcedure="false">"c12109"</definedName>
    <definedName function="false" hidden="true" name="IQ_CFPS_DET_EST_CURRENCY" vbProcedure="false">"c12458"</definedName>
    <definedName function="false" hidden="true" name="IQ_CFPS_DET_EST_CURRENCY_CIQ" vbProcedure="false">"c12502"</definedName>
    <definedName function="false" hidden="true" name="IQ_CFPS_DET_EST_CURRENCY_THOM" vbProcedure="false">"c12479"</definedName>
    <definedName function="false" hidden="true" name="IQ_CFPS_DET_EST_DATE" vbProcedure="false">"c12202"</definedName>
    <definedName function="false" hidden="true" name="IQ_CFPS_DET_EST_DATE_CIQ" vbProcedure="false">"c12255"</definedName>
    <definedName function="false" hidden="true" name="IQ_CFPS_DET_EST_DATE_THOM" vbProcedure="false">"c12228"</definedName>
    <definedName function="false" hidden="true" name="IQ_CFPS_DET_EST_INCL" vbProcedure="false">"c12341"</definedName>
    <definedName function="false" hidden="true" name="IQ_CFPS_DET_EST_INCL_CIQ" vbProcedure="false">"c12385"</definedName>
    <definedName function="false" hidden="true" name="IQ_CFPS_DET_EST_INCL_THOM" vbProcedure="false">"c12362"</definedName>
    <definedName function="false" hidden="true" name="IQ_CFPS_DET_EST_NOTE" vbProcedure="false">"c17529"</definedName>
    <definedName function="false" hidden="true" name="IQ_CFPS_DET_EST_NOTE_CIQ" vbProcedure="false">"c17482"</definedName>
    <definedName function="false" hidden="true" name="IQ_CFPS_DET_EST_ORIGIN" vbProcedure="false">"c12575"</definedName>
    <definedName function="false" hidden="true" name="IQ_CFPS_DET_EST_ORIGIN_CIQ" vbProcedure="false">"c12624"</definedName>
    <definedName function="false" hidden="true" name="IQ_CFPS_DET_EST_ORIGIN_THOM" vbProcedure="false">"c12598"</definedName>
    <definedName function="false" hidden="true" name="IQ_CFPS_DET_EST_REUT_CURRENCY_CURRENCY_REUT" vbProcedure="false">"c12526"</definedName>
    <definedName function="false" hidden="true" name="IQ_CFPS_DET_EST_THOM" vbProcedure="false">"c12078"</definedName>
    <definedName function="false" hidden="true" name="IQ_CFPS_EST" vbProcedure="false">"c1667"</definedName>
    <definedName function="false" hidden="true" name="IQ_CFPS_EST_CIQ" vbProcedure="false">"c3675"</definedName>
    <definedName function="false" hidden="true" name="IQ_CFPS_EST_DOWN_2MONTH" vbProcedure="false">"c16321"</definedName>
    <definedName function="false" hidden="true" name="IQ_CFPS_EST_DOWN_2MONTH_CIQ" vbProcedure="false">"c16645"</definedName>
    <definedName function="false" hidden="true" name="IQ_CFPS_EST_DOWN_3MONTH" vbProcedure="false">"c16325"</definedName>
    <definedName function="false" hidden="true" name="IQ_CFPS_EST_DOWN_3MONTH_CIQ" vbProcedure="false">"c16649"</definedName>
    <definedName function="false" hidden="true" name="IQ_CFPS_EST_DOWN_MONTH" vbProcedure="false">"c16317"</definedName>
    <definedName function="false" hidden="true" name="IQ_CFPS_EST_DOWN_MONTH_CIQ" vbProcedure="false">"c16641"</definedName>
    <definedName function="false" hidden="true" name="IQ_CFPS_EST_NOTE" vbProcedure="false">"c17508"</definedName>
    <definedName function="false" hidden="true" name="IQ_CFPS_EST_NOTE_CIQ" vbProcedure="false">"c17461"</definedName>
    <definedName function="false" hidden="true" name="IQ_CFPS_EST_NUM_ANALYSTS_2MONTH" vbProcedure="false">"c16319"</definedName>
    <definedName function="false" hidden="true" name="IQ_CFPS_EST_NUM_ANALYSTS_2MONTH_CIQ" vbProcedure="false">"c16643"</definedName>
    <definedName function="false" hidden="true" name="IQ_CFPS_EST_NUM_ANALYSTS_3MONTH" vbProcedure="false">"c16323"</definedName>
    <definedName function="false" hidden="true" name="IQ_CFPS_EST_NUM_ANALYSTS_3MONTH_CIQ" vbProcedure="false">"c16647"</definedName>
    <definedName function="false" hidden="true" name="IQ_CFPS_EST_NUM_ANALYSTS_MONTH" vbProcedure="false">"c16315"</definedName>
    <definedName function="false" hidden="true" name="IQ_CFPS_EST_NUM_ANALYSTS_MONTH_CIQ" vbProcedure="false">"c16639"</definedName>
    <definedName function="false" hidden="true" name="IQ_CFPS_EST_REUT" vbProcedure="false">"c3844"</definedName>
    <definedName function="false" hidden="true" name="IQ_CFPS_EST_THOM" vbProcedure="false">"c4006"</definedName>
    <definedName function="false" hidden="true" name="IQ_CFPS_EST_TOTAL_REVISED_2MONTH" vbProcedure="false">"c16322"</definedName>
    <definedName function="false" hidden="true" name="IQ_CFPS_EST_TOTAL_REVISED_2MONTH_CIQ" vbProcedure="false">"c16646"</definedName>
    <definedName function="false" hidden="true" name="IQ_CFPS_EST_TOTAL_REVISED_3MONTH" vbProcedure="false">"c16326"</definedName>
    <definedName function="false" hidden="true" name="IQ_CFPS_EST_TOTAL_REVISED_3MONTH_CIQ" vbProcedure="false">"c16650"</definedName>
    <definedName function="false" hidden="true" name="IQ_CFPS_EST_TOTAL_REVISED_MONTH" vbProcedure="false">"c16318"</definedName>
    <definedName function="false" hidden="true" name="IQ_CFPS_EST_TOTAL_REVISED_MONTH_CIQ" vbProcedure="false">"c16642"</definedName>
    <definedName function="false" hidden="true" name="IQ_CFPS_EST_UP_2MONTH" vbProcedure="false">"c16320"</definedName>
    <definedName function="false" hidden="true" name="IQ_CFPS_EST_UP_2MONTH_CIQ" vbProcedure="false">"c16644"</definedName>
    <definedName function="false" hidden="true" name="IQ_CFPS_EST_UP_3MONTH" vbProcedure="false">"c16324"</definedName>
    <definedName function="false" hidden="true" name="IQ_CFPS_EST_UP_3MONTH_CIQ" vbProcedure="false">"c16648"</definedName>
    <definedName function="false" hidden="true" name="IQ_CFPS_EST_UP_MONTH" vbProcedure="false">"c16316"</definedName>
    <definedName function="false" hidden="true" name="IQ_CFPS_EST_UP_MONTH_CIQ" vbProcedure="false">"c16640"</definedName>
    <definedName function="false" hidden="true" name="IQ_CFPS_GUIDANCE" vbProcedure="false">"c4256"</definedName>
    <definedName function="false" hidden="true" name="IQ_CFPS_GUIDANCE_CIQ" vbProcedure="false">"c4782"</definedName>
    <definedName function="false" hidden="true" name="IQ_CFPS_GUIDANCE_CIQ_COL" vbProcedure="false">"c11429"</definedName>
    <definedName function="false" hidden="true" name="IQ_CFPS_HIGH_EST" vbProcedure="false">"c1669"</definedName>
    <definedName function="false" hidden="true" name="IQ_CFPS_HIGH_EST_CIQ" vbProcedure="false">"c3677"</definedName>
    <definedName function="false" hidden="true" name="IQ_CFPS_HIGH_EST_REUT" vbProcedure="false">"c3846"</definedName>
    <definedName function="false" hidden="true" name="IQ_CFPS_HIGH_EST_THOM" vbProcedure="false">"c4008"</definedName>
    <definedName function="false" hidden="true" name="IQ_CFPS_HIGH_GUIDANCE" vbProcedure="false">"c4167"</definedName>
    <definedName function="false" hidden="true" name="IQ_CFPS_HIGH_GUIDANCE_CIQ" vbProcedure="false">"c4579"</definedName>
    <definedName function="false" hidden="true" name="IQ_CFPS_HIGH_GUIDANCE_CIQ_COL" vbProcedure="false">"c11228"</definedName>
    <definedName function="false" hidden="true" name="IQ_CFPS_LOW_EST" vbProcedure="false">"c1670"</definedName>
    <definedName function="false" hidden="true" name="IQ_CFPS_LOW_EST_CIQ" vbProcedure="false">"c3678"</definedName>
    <definedName function="false" hidden="true" name="IQ_CFPS_LOW_EST_REUT" vbProcedure="false">"c3847"</definedName>
    <definedName function="false" hidden="true" name="IQ_CFPS_LOW_EST_THOM" vbProcedure="false">"c4009"</definedName>
    <definedName function="false" hidden="true" name="IQ_CFPS_LOW_GUIDANCE" vbProcedure="false">"c4207"</definedName>
    <definedName function="false" hidden="true" name="IQ_CFPS_LOW_GUIDANCE_CIQ" vbProcedure="false">"c4619"</definedName>
    <definedName function="false" hidden="true" name="IQ_CFPS_LOW_GUIDANCE_CIQ_COL" vbProcedure="false">"c11268"</definedName>
    <definedName function="false" hidden="true" name="IQ_CFPS_MEDIAN_EST" vbProcedure="false">"c1668"</definedName>
    <definedName function="false" hidden="true" name="IQ_CFPS_MEDIAN_EST_CIQ" vbProcedure="false">"c3676"</definedName>
    <definedName function="false" hidden="true" name="IQ_CFPS_MEDIAN_EST_REUT" vbProcedure="false">"c3845"</definedName>
    <definedName function="false" hidden="true" name="IQ_CFPS_MEDIAN_EST_THOM" vbProcedure="false">"c4007"</definedName>
    <definedName function="false" hidden="true" name="IQ_CFPS_NUM_EST" vbProcedure="false">"c1671"</definedName>
    <definedName function="false" hidden="true" name="IQ_CFPS_NUM_EST_CIQ" vbProcedure="false">"c3679"</definedName>
    <definedName function="false" hidden="true" name="IQ_CFPS_NUM_EST_REUT" vbProcedure="false">"c3848"</definedName>
    <definedName function="false" hidden="true" name="IQ_CFPS_NUM_EST_THOM" vbProcedure="false">"c4010"</definedName>
    <definedName function="false" hidden="true" name="IQ_CFPS_STDDEV_EST" vbProcedure="false">"c1672"</definedName>
    <definedName function="false" hidden="true" name="IQ_CFPS_STDDEV_EST_CIQ" vbProcedure="false">"c3680"</definedName>
    <definedName function="false" hidden="true" name="IQ_CFPS_STDDEV_EST_REUT" vbProcedure="false">"c3849"</definedName>
    <definedName function="false" hidden="true" name="IQ_CFPS_STDDEV_EST_THOM" vbProcedure="false">"c4011"</definedName>
    <definedName function="false" hidden="true" name="IQ_CH" vbProcedure="false">110000</definedName>
    <definedName function="false" hidden="true" name="IQ_CHAIRMAN_ID" vbProcedure="false">"c15218"</definedName>
    <definedName function="false" hidden="true" name="IQ_CHAIRMAN_NAME" vbProcedure="false">"c15217"</definedName>
    <definedName function="false" hidden="true" name="IQ_CHANGES_WORK_CAP" vbProcedure="false">"c1357"</definedName>
    <definedName function="false" hidden="true" name="IQ_CHANGE_AP" vbProcedure="false">"c133"</definedName>
    <definedName function="false" hidden="true" name="IQ_CHANGE_AP_BNK" vbProcedure="false">"c134"</definedName>
    <definedName function="false" hidden="true" name="IQ_CHANGE_AP_BR" vbProcedure="false">"c135"</definedName>
    <definedName function="false" hidden="true" name="IQ_CHANGE_AP_FIN" vbProcedure="false">"c136"</definedName>
    <definedName function="false" hidden="true" name="IQ_CHANGE_AP_INS" vbProcedure="false">"c137"</definedName>
    <definedName function="false" hidden="true" name="IQ_CHANGE_AP_RE" vbProcedure="false">"c6200"</definedName>
    <definedName function="false" hidden="true" name="IQ_CHANGE_AP_REIT" vbProcedure="false">"c138"</definedName>
    <definedName function="false" hidden="true" name="IQ_CHANGE_AP_UTI" vbProcedure="false">"c139"</definedName>
    <definedName function="false" hidden="true" name="IQ_CHANGE_AR" vbProcedure="false">"c140"</definedName>
    <definedName function="false" hidden="true" name="IQ_CHANGE_AR_BNK" vbProcedure="false">"c141"</definedName>
    <definedName function="false" hidden="true" name="IQ_CHANGE_AR_BR" vbProcedure="false">"c142"</definedName>
    <definedName function="false" hidden="true" name="IQ_CHANGE_AR_FIN" vbProcedure="false">"c143"</definedName>
    <definedName function="false" hidden="true" name="IQ_CHANGE_AR_INS" vbProcedure="false">"c144"</definedName>
    <definedName function="false" hidden="true" name="IQ_CHANGE_AR_RE" vbProcedure="false">"c6201"</definedName>
    <definedName function="false" hidden="true" name="IQ_CHANGE_AR_REIT" vbProcedure="false">"c145"</definedName>
    <definedName function="false" hidden="true" name="IQ_CHANGE_AR_UTI" vbProcedure="false">"c146"</definedName>
    <definedName function="false" hidden="true" name="IQ_CHANGE_DEF_TAX" vbProcedure="false">"c147"</definedName>
    <definedName function="false" hidden="true" name="IQ_CHANGE_DEF_TAX_TOTAL" vbProcedure="false">"c15557"</definedName>
    <definedName function="false" hidden="true" name="IQ_CHANGE_DEPOSIT_ACCT" vbProcedure="false">"c148"</definedName>
    <definedName function="false" hidden="true" name="IQ_CHANGE_FAIR_VALUE_FINANCIAL_LIAB_T1_FFIEC" vbProcedure="false">"c13138"</definedName>
    <definedName function="false" hidden="true" name="IQ_CHANGE_FAIR_VALUE_OPTIONS_FFIEC" vbProcedure="false">"c13045"</definedName>
    <definedName function="false" hidden="true" name="IQ_CHANGE_INC_TAX" vbProcedure="false">"c149"</definedName>
    <definedName function="false" hidden="true" name="IQ_CHANGE_INS_RES_LIAB" vbProcedure="false">"c150"</definedName>
    <definedName function="false" hidden="true" name="IQ_CHANGE_INVENT" vbProcedure="false">"c6826"</definedName>
    <definedName function="false" hidden="true" name="IQ_CHANGE_INVENTORY" vbProcedure="false">"c151"</definedName>
    <definedName function="false" hidden="true" name="IQ_CHANGE_INVENT_APR" vbProcedure="false">"c7486"</definedName>
    <definedName function="false" hidden="true" name="IQ_CHANGE_INVENT_POP" vbProcedure="false">"c7046"</definedName>
    <definedName function="false" hidden="true" name="IQ_CHANGE_INVENT_REAL_APR_FC_UNUSED" vbProcedure="false">"c8500"</definedName>
    <definedName function="false" hidden="true" name="IQ_CHANGE_INVENT_REAL_APR_FC_UNUSED_UNUSED_UNUSED" vbProcedure="false">"c8500"</definedName>
    <definedName function="false" hidden="true" name="IQ_CHANGE_INVENT_REAL_APR_UNUSED" vbProcedure="false">"c7620"</definedName>
    <definedName function="false" hidden="true" name="IQ_CHANGE_INVENT_REAL_APR_UNUSED_UNUSED_UNUSED" vbProcedure="false">"c7620"</definedName>
    <definedName function="false" hidden="true" name="IQ_CHANGE_INVENT_REAL_FC_UNUSED" vbProcedure="false">"c7840"</definedName>
    <definedName function="false" hidden="true" name="IQ_CHANGE_INVENT_REAL_FC_UNUSED_UNUSED_UNUSED" vbProcedure="false">"c7840"</definedName>
    <definedName function="false" hidden="true" name="IQ_CHANGE_INVENT_REAL_POP_FC_UNUSED" vbProcedure="false">"c8060"</definedName>
    <definedName function="false" hidden="true" name="IQ_CHANGE_INVENT_REAL_POP_FC_UNUSED_UNUSED_UNUSED" vbProcedure="false">"c8060"</definedName>
    <definedName function="false" hidden="true" name="IQ_CHANGE_INVENT_REAL_POP_UNUSED" vbProcedure="false">"c7180"</definedName>
    <definedName function="false" hidden="true" name="IQ_CHANGE_INVENT_REAL_POP_UNUSED_UNUSED_UNUSED" vbProcedure="false">"c7180"</definedName>
    <definedName function="false" hidden="true" name="IQ_CHANGE_INVENT_REAL_SAAR" vbProcedure="false">"c6962"</definedName>
    <definedName function="false" hidden="true" name="IQ_CHANGE_INVENT_REAL_SAAR_APR" vbProcedure="false">"c7622"</definedName>
    <definedName function="false" hidden="true" name="IQ_CHANGE_INVENT_REAL_SAAR_APR_FC" vbProcedure="false">"c8502"</definedName>
    <definedName function="false" hidden="true" name="IQ_CHANGE_INVENT_REAL_SAAR_FC" vbProcedure="false">"c7842"</definedName>
    <definedName function="false" hidden="true" name="IQ_CHANGE_INVENT_REAL_SAAR_POP" vbProcedure="false">"c7182"</definedName>
    <definedName function="false" hidden="true" name="IQ_CHANGE_INVENT_REAL_SAAR_POP_FC" vbProcedure="false">"c8062"</definedName>
    <definedName function="false" hidden="true" name="IQ_CHANGE_INVENT_REAL_SAAR_USD_APR_FC" vbProcedure="false">"c11917"</definedName>
    <definedName function="false" hidden="true" name="IQ_CHANGE_INVENT_REAL_SAAR_USD_FC" vbProcedure="false">"c11914"</definedName>
    <definedName function="false" hidden="true" name="IQ_CHANGE_INVENT_REAL_SAAR_USD_POP_FC" vbProcedure="false">"c11915"</definedName>
    <definedName function="false" hidden="true" name="IQ_CHANGE_INVENT_REAL_SAAR_USD_YOY_FC" vbProcedure="false">"c11916"</definedName>
    <definedName function="false" hidden="true" name="IQ_CHANGE_INVENT_REAL_SAAR_YOY" vbProcedure="false">"c7402"</definedName>
    <definedName function="false" hidden="true" name="IQ_CHANGE_INVENT_REAL_SAAR_YOY_FC" vbProcedure="false">"c8282"</definedName>
    <definedName function="false" hidden="true" name="IQ_CHANGE_INVENT_REAL_UNUSED" vbProcedure="false">"c6960"</definedName>
    <definedName function="false" hidden="true" name="IQ_CHANGE_INVENT_REAL_UNUSED_UNUSED_UNUSED" vbProcedure="false">"c6960"</definedName>
    <definedName function="false" hidden="true" name="IQ_CHANGE_INVENT_REAL_USD_APR_FC" vbProcedure="false">"c11913"</definedName>
    <definedName function="false" hidden="true" name="IQ_CHANGE_INVENT_REAL_USD_FC" vbProcedure="false">"c11910"</definedName>
    <definedName function="false" hidden="true" name="IQ_CHANGE_INVENT_REAL_USD_POP_FC" vbProcedure="false">"c11911"</definedName>
    <definedName function="false" hidden="true" name="IQ_CHANGE_INVENT_REAL_USD_YOY_FC" vbProcedure="false">"c11912"</definedName>
    <definedName function="false" hidden="true" name="IQ_CHANGE_INVENT_REAL_YOY_FC_UNUSED" vbProcedure="false">"c8280"</definedName>
    <definedName function="false" hidden="true" name="IQ_CHANGE_INVENT_REAL_YOY_FC_UNUSED_UNUSED_UNUSED" vbProcedure="false">"c8280"</definedName>
    <definedName function="false" hidden="true" name="IQ_CHANGE_INVENT_REAL_YOY_UNUSED" vbProcedure="false">"c7400"</definedName>
    <definedName function="false" hidden="true" name="IQ_CHANGE_INVENT_REAL_YOY_UNUSED_UNUSED_UNUSED" vbProcedure="false">"c7400"</definedName>
    <definedName function="false" hidden="true" name="IQ_CHANGE_INVENT_SAAR" vbProcedure="false">"c6827"</definedName>
    <definedName function="false" hidden="true" name="IQ_CHANGE_INVENT_SAAR_APR" vbProcedure="false">"c7487"</definedName>
    <definedName function="false" hidden="true" name="IQ_CHANGE_INVENT_SAAR_APR_FC" vbProcedure="false">"c8367"</definedName>
    <definedName function="false" hidden="true" name="IQ_CHANGE_INVENT_SAAR_FC" vbProcedure="false">"c7707"</definedName>
    <definedName function="false" hidden="true" name="IQ_CHANGE_INVENT_SAAR_POP" vbProcedure="false">"c7047"</definedName>
    <definedName function="false" hidden="true" name="IQ_CHANGE_INVENT_SAAR_POP_FC" vbProcedure="false">"c7927"</definedName>
    <definedName function="false" hidden="true" name="IQ_CHANGE_INVENT_SAAR_YOY" vbProcedure="false">"c7267"</definedName>
    <definedName function="false" hidden="true" name="IQ_CHANGE_INVENT_SAAR_YOY_FC" vbProcedure="false">"c8147"</definedName>
    <definedName function="false" hidden="true" name="IQ_CHANGE_INVENT_YOY" vbProcedure="false">"c7266"</definedName>
    <definedName function="false" hidden="true" name="IQ_CHANGE_NET_OPER_ASSETS" vbProcedure="false">"c3592"</definedName>
    <definedName function="false" hidden="true" name="IQ_CHANGE_NET_WORKING_CAPITAL" vbProcedure="false">"c1909"</definedName>
    <definedName function="false" hidden="true" name="IQ_CHANGE_OTHER_NET_OPER_ASSETS" vbProcedure="false">"c3593"</definedName>
    <definedName function="false" hidden="true" name="IQ_CHANGE_OTHER_NET_OPER_ASSETS_BNK" vbProcedure="false">"c3594"</definedName>
    <definedName function="false" hidden="true" name="IQ_CHANGE_OTHER_NET_OPER_ASSETS_BR" vbProcedure="false">"c3595"</definedName>
    <definedName function="false" hidden="true" name="IQ_CHANGE_OTHER_NET_OPER_ASSETS_FIN" vbProcedure="false">"c3596"</definedName>
    <definedName function="false" hidden="true" name="IQ_CHANGE_OTHER_NET_OPER_ASSETS_INS" vbProcedure="false">"c3597"</definedName>
    <definedName function="false" hidden="true" name="IQ_CHANGE_OTHER_NET_OPER_ASSETS_RE" vbProcedure="false">"c6285"</definedName>
    <definedName function="false" hidden="true" name="IQ_CHANGE_OTHER_NET_OPER_ASSETS_REIT" vbProcedure="false">"c3598"</definedName>
    <definedName function="false" hidden="true" name="IQ_CHANGE_OTHER_NET_OPER_ASSETS_UTI" vbProcedure="false">"c3599"</definedName>
    <definedName function="false" hidden="true" name="IQ_CHANGE_OTHER_WORK_CAP" vbProcedure="false">"c152"</definedName>
    <definedName function="false" hidden="true" name="IQ_CHANGE_OTHER_WORK_CAP_BNK" vbProcedure="false">"c153"</definedName>
    <definedName function="false" hidden="true" name="IQ_CHANGE_OTHER_WORK_CAP_BR" vbProcedure="false">"c154"</definedName>
    <definedName function="false" hidden="true" name="IQ_CHANGE_OTHER_WORK_CAP_FIN" vbProcedure="false">"c155"</definedName>
    <definedName function="false" hidden="true" name="IQ_CHANGE_OTHER_WORK_CAP_INS" vbProcedure="false">"c156"</definedName>
    <definedName function="false" hidden="true" name="IQ_CHANGE_OTHER_WORK_CAP_REIT" vbProcedure="false">"c157"</definedName>
    <definedName function="false" hidden="true" name="IQ_CHANGE_OTHER_WORK_CAP_UTI" vbProcedure="false">"c158"</definedName>
    <definedName function="false" hidden="true" name="IQ_CHANGE_PRIVATE_INVENT" vbProcedure="false">"c6828"</definedName>
    <definedName function="false" hidden="true" name="IQ_CHANGE_PRIVATE_INVENT_APR" vbProcedure="false">"c7488"</definedName>
    <definedName function="false" hidden="true" name="IQ_CHANGE_PRIVATE_INVENT_APR_FC" vbProcedure="false">"c8368"</definedName>
    <definedName function="false" hidden="true" name="IQ_CHANGE_PRIVATE_INVENT_FC" vbProcedure="false">"c7708"</definedName>
    <definedName function="false" hidden="true" name="IQ_CHANGE_PRIVATE_INVENT_POP" vbProcedure="false">"c7048"</definedName>
    <definedName function="false" hidden="true" name="IQ_CHANGE_PRIVATE_INVENT_POP_FC" vbProcedure="false">"c7928"</definedName>
    <definedName function="false" hidden="true" name="IQ_CHANGE_PRIVATE_INVENT_YOY" vbProcedure="false">"c7268"</definedName>
    <definedName function="false" hidden="true" name="IQ_CHANGE_PRIVATE_INVENT_YOY_FC" vbProcedure="false">"c8148"</definedName>
    <definedName function="false" hidden="true" name="IQ_CHANGE_TRADING_ASSETS" vbProcedure="false">"c159"</definedName>
    <definedName function="false" hidden="true" name="IQ_CHANGE_UNEARN_REV" vbProcedure="false">"c160"</definedName>
    <definedName function="false" hidden="true" name="IQ_CHANGE_UNRECOG_TAX_BENEFIT_1_YR_MAX" vbProcedure="false">"c15747"</definedName>
    <definedName function="false" hidden="true" name="IQ_CHANGE_UNRECOG_TAX_BENEFIT_1_YR_MIN" vbProcedure="false">"c15746"</definedName>
    <definedName function="false" hidden="true" name="IQ_CHANGE_WORK_CAP" vbProcedure="false">"c161"</definedName>
    <definedName function="false" hidden="true" name="IQ_CHARGE_OFFS_1_4_FAMILY_FDIC" vbProcedure="false">"c6756"</definedName>
    <definedName function="false" hidden="true" name="IQ_CHARGE_OFFS_1_4_FAMILY_LOANS_FDIC" vbProcedure="false">"c6714"</definedName>
    <definedName function="false" hidden="true" name="IQ_CHARGE_OFFS_AUTO_LOANS_FDIC" vbProcedure="false">"c6708"</definedName>
    <definedName function="false" hidden="true" name="IQ_CHARGE_OFFS_CL_LOANS_FDIC" vbProcedure="false">"c6709"</definedName>
    <definedName function="false" hidden="true" name="IQ_CHARGE_OFFS_COMMERCIAL_INDUSTRIAL_FDIC" vbProcedure="false">"c6759"</definedName>
    <definedName function="false" hidden="true" name="IQ_CHARGE_OFFS_COMMERCIAL_RE_FDIC" vbProcedure="false">"c6754"</definedName>
    <definedName function="false" hidden="true" name="IQ_CHARGE_OFFS_COMMERCIAL_RE_NOT_SECURED_FDIC" vbProcedure="false">"c6764"</definedName>
    <definedName function="false" hidden="true" name="IQ_CHARGE_OFFS_CONSTRUCTION_DEVELOPMENT_FDIC" vbProcedure="false">"c6753"</definedName>
    <definedName function="false" hidden="true" name="IQ_CHARGE_OFFS_CREDIT_CARDS_FDIC" vbProcedure="false">"c6761"</definedName>
    <definedName function="false" hidden="true" name="IQ_CHARGE_OFFS_CREDIT_CARDS_RECEIVABLES_FDIC" vbProcedure="false">"c6711"</definedName>
    <definedName function="false" hidden="true" name="IQ_CHARGE_OFFS_GROSS" vbProcedure="false">"c162"</definedName>
    <definedName function="false" hidden="true" name="IQ_CHARGE_OFFS_HOME_EQUITY_FDIC" vbProcedure="false">"c6757"</definedName>
    <definedName function="false" hidden="true" name="IQ_CHARGE_OFFS_HOME_EQUITY_LINES_FDIC" vbProcedure="false">"c6712"</definedName>
    <definedName function="false" hidden="true" name="IQ_CHARGE_OFFS_INDIVIDUALS_FDIC" vbProcedure="false">"c6760"</definedName>
    <definedName function="false" hidden="true" name="IQ_CHARGE_OFFS_MULTI_FAMILY_FDIC" vbProcedure="false">"c6755"</definedName>
    <definedName function="false" hidden="true" name="IQ_CHARGE_OFFS_NET" vbProcedure="false">"c163"</definedName>
    <definedName function="false" hidden="true" name="IQ_CHARGE_OFFS_OTHER_1_4_FAMILY_FDIC" vbProcedure="false">"c6758"</definedName>
    <definedName function="false" hidden="true" name="IQ_CHARGE_OFFS_OTHER_CONSUMER_LOANS_FDIC" vbProcedure="false">"c6710"</definedName>
    <definedName function="false" hidden="true" name="IQ_CHARGE_OFFS_OTHER_INDIVIDUAL_FDIC" vbProcedure="false">"c6762"</definedName>
    <definedName function="false" hidden="true" name="IQ_CHARGE_OFFS_OTHER_LOANS_FDIC" vbProcedure="false">"c6763"</definedName>
    <definedName function="false" hidden="true" name="IQ_CHARGE_OFFS_OTHER_LOANS_OTHER_FDIC" vbProcedure="false">"c6713"</definedName>
    <definedName function="false" hidden="true" name="IQ_CHARGE_OFFS_RECOVERED" vbProcedure="false">"c164"</definedName>
    <definedName function="false" hidden="true" name="IQ_CHARGE_OFFS_RE_LOANS_FDIC" vbProcedure="false">"c6752"</definedName>
    <definedName function="false" hidden="true" name="IQ_CHARGE_OFFS_TOTAL_AVG_LOANS" vbProcedure="false">"c165"</definedName>
    <definedName function="false" hidden="true" name="IQ_CHICAGO_PMI" vbProcedure="false">"c6829"</definedName>
    <definedName function="false" hidden="true" name="IQ_CHICAGO_PMI_APR" vbProcedure="false">"c7489"</definedName>
    <definedName function="false" hidden="true" name="IQ_CHICAGO_PMI_APR_FC" vbProcedure="false">"c8369"</definedName>
    <definedName function="false" hidden="true" name="IQ_CHICAGO_PMI_FC" vbProcedure="false">"c7709"</definedName>
    <definedName function="false" hidden="true" name="IQ_CHICAGO_PMI_POP" vbProcedure="false">"c7049"</definedName>
    <definedName function="false" hidden="true" name="IQ_CHICAGO_PMI_POP_FC" vbProcedure="false">"c7929"</definedName>
    <definedName function="false" hidden="true" name="IQ_CHICAGO_PMI_YOY" vbProcedure="false">"c7269"</definedName>
    <definedName function="false" hidden="true" name="IQ_CHICAGO_PMI_YOY_FC" vbProcedure="false">"c8149"</definedName>
    <definedName function="false" hidden="true" name="IQ_CHURN_BASIC_CABLE" vbProcedure="false">"c2871"</definedName>
    <definedName function="false" hidden="true" name="IQ_CHURN_BBAND" vbProcedure="false">"c2872"</definedName>
    <definedName function="false" hidden="true" name="IQ_CHURN_DIG_CABLE" vbProcedure="false">"c2870"</definedName>
    <definedName function="false" hidden="true" name="IQ_CHURN_PHONE" vbProcedure="false">"c2873"</definedName>
    <definedName function="false" hidden="true" name="IQ_CHURN_POSTPAID_WIRELESS" vbProcedure="false">"c2121"</definedName>
    <definedName function="false" hidden="true" name="IQ_CHURN_PREPAID_WIRELESS" vbProcedure="false">"c2120"</definedName>
    <definedName function="false" hidden="true" name="IQ_CHURN_SATELLITE" vbProcedure="false">"c15791"</definedName>
    <definedName function="false" hidden="true" name="IQ_CHURN_TOTAL" vbProcedure="false">"c2874"</definedName>
    <definedName function="false" hidden="true" name="IQ_CHURN_TOTAL_WIRELESS" vbProcedure="false">"c2122"</definedName>
    <definedName function="false" hidden="true" name="IQ_CIK" vbProcedure="false">"c20384"</definedName>
    <definedName function="false" hidden="true" name="IQ_CIP" vbProcedure="false">"c17551"</definedName>
    <definedName function="false" hidden="true" name="IQ_CITY" vbProcedure="false">"c166"</definedName>
    <definedName function="false" hidden="true" name="IQ_CLAIMS_ADJUSTMENT_EXP_PC_FFIEC" vbProcedure="false">"c13100"</definedName>
    <definedName function="false" hidden="true" name="IQ_CLASSA_OPTIONS_BEG_OS" vbProcedure="false">"c2679"</definedName>
    <definedName function="false" hidden="true" name="IQ_CLASSA_OPTIONS_CANCELLED" vbProcedure="false">"c2682"</definedName>
    <definedName function="false" hidden="true" name="IQ_CLASSA_OPTIONS_END_OS" vbProcedure="false">"c2683"</definedName>
    <definedName function="false" hidden="true" name="IQ_CLASSA_OPTIONS_EXERCISABLE_END_OS" vbProcedure="false">"c5809"</definedName>
    <definedName function="false" hidden="true" name="IQ_CLASSA_OPTIONS_EXERCISED" vbProcedure="false">"c2681"</definedName>
    <definedName function="false" hidden="true" name="IQ_CLASSA_OPTIONS_GRANTED" vbProcedure="false">"c2680"</definedName>
    <definedName function="false" hidden="true" name="IQ_CLASSA_OPTIONS_STRIKE_PRICE_BEG_OS" vbProcedure="false">"c5810"</definedName>
    <definedName function="false" hidden="true" name="IQ_CLASSA_OPTIONS_STRIKE_PRICE_CANCELLED" vbProcedure="false">"c5812"</definedName>
    <definedName function="false" hidden="true" name="IQ_CLASSA_OPTIONS_STRIKE_PRICE_EXERCISABLE" vbProcedure="false">"c5813"</definedName>
    <definedName function="false" hidden="true" name="IQ_CLASSA_OPTIONS_STRIKE_PRICE_EXERCISED" vbProcedure="false">"c5811"</definedName>
    <definedName function="false" hidden="true" name="IQ_CLASSA_OPTIONS_STRIKE_PRICE_OS" vbProcedure="false">"c2684"</definedName>
    <definedName function="false" hidden="true" name="IQ_CLASSA_OUTSTANDING_BS_DATE" vbProcedure="false">"c1971"</definedName>
    <definedName function="false" hidden="true" name="IQ_CLASSA_OUTSTANDING_FILING_DATE" vbProcedure="false">"c1973"</definedName>
    <definedName function="false" hidden="true" name="IQ_CLASSA_STRIKE_PRICE_GRANTED" vbProcedure="false">"c2685"</definedName>
    <definedName function="false" hidden="true" name="IQ_CLASSA_WARRANTS_BEG_OS" vbProcedure="false">"c2705"</definedName>
    <definedName function="false" hidden="true" name="IQ_CLASSA_WARRANTS_CANCELLED" vbProcedure="false">"c2708"</definedName>
    <definedName function="false" hidden="true" name="IQ_CLASSA_WARRANTS_END_OS" vbProcedure="false">"c2709"</definedName>
    <definedName function="false" hidden="true" name="IQ_CLASSA_WARRANTS_EXERCISED" vbProcedure="false">"c2707"</definedName>
    <definedName function="false" hidden="true" name="IQ_CLASSA_WARRANTS_ISSUED" vbProcedure="false">"c2706"</definedName>
    <definedName function="false" hidden="true" name="IQ_CLASSA_WARRANTS_STRIKE_PRICE_ISSUED" vbProcedure="false">"c2711"</definedName>
    <definedName function="false" hidden="true" name="IQ_CLASSA_WARRANTS_STRIKE_PRICE_OS" vbProcedure="false">"c2710"</definedName>
    <definedName function="false" hidden="true" name="IQ_CLASSB_OUTSTANDING_BS_DATE" vbProcedure="false">"c1972"</definedName>
    <definedName function="false" hidden="true" name="IQ_CLASSB_OUTSTANDING_FILING_DATE" vbProcedure="false">"c1974"</definedName>
    <definedName function="false" hidden="true" name="IQ_CLASS_MARKETCAP" vbProcedure="false">"c13512"</definedName>
    <definedName function="false" hidden="true" name="IQ_CLASS_SHARESOUTSTANDING" vbProcedure="false">"c13513"</definedName>
    <definedName function="false" hidden="true" name="IQ_CLOSED_END_1_4_FAM_LOANS_TOT_LOANS_FFIEC" vbProcedure="false">"c13866"</definedName>
    <definedName function="false" hidden="true" name="IQ_CLOSED_END_1_4_FIRST_LIENS_TRADING_DOM_FFIEC" vbProcedure="false">"c12928"</definedName>
    <definedName function="false" hidden="true" name="IQ_CLOSED_END_1_4_JR_LIENS_LL_REC_DOM_FFIEC" vbProcedure="false">"c12904"</definedName>
    <definedName function="false" hidden="true" name="IQ_CLOSED_END_1_4_JUNIOR_LIENS_TRADING_DOM_FFIEC" vbProcedure="false">"c12929"</definedName>
    <definedName function="false" hidden="true" name="IQ_CLOSED_END_SECURED_1_4_FIRST_LIENS_LL_REC_DOM_FFIEC" vbProcedure="false">"c12903"</definedName>
    <definedName function="false" hidden="true" name="IQ_CLOSED_END_SEC_1_4_1ST_LIENS_CHARGE_OFFS_FFIEC" vbProcedure="false">"c13169"</definedName>
    <definedName function="false" hidden="true" name="IQ_CLOSED_END_SEC_1_4_1ST_LIENS_DUE_30_89_FFIEC" vbProcedure="false">"c13261"</definedName>
    <definedName function="false" hidden="true" name="IQ_CLOSED_END_SEC_1_4_1ST_LIENS_DUE_90_FFIEC" vbProcedure="false">"c13289"</definedName>
    <definedName function="false" hidden="true" name="IQ_CLOSED_END_SEC_1_4_1ST_LIENS_NON_ACCRUAL_FFIEC" vbProcedure="false">"c13315"</definedName>
    <definedName function="false" hidden="true" name="IQ_CLOSED_END_SEC_1_4_1ST_LIENS_RECOV_FFIEC" vbProcedure="false">"c13191"</definedName>
    <definedName function="false" hidden="true" name="IQ_CLOSED_END_SEC_1_4_JR_LIENS_CHARGE_OFFS_FFIEC" vbProcedure="false">"c13170"</definedName>
    <definedName function="false" hidden="true" name="IQ_CLOSED_END_SEC_1_4_JR_LIENS_DUE_30_89_FFIEC" vbProcedure="false">"c13262"</definedName>
    <definedName function="false" hidden="true" name="IQ_CLOSED_END_SEC_1_4_JR_LIENS_DUE_90_FFIEC" vbProcedure="false">"c13290"</definedName>
    <definedName function="false" hidden="true" name="IQ_CLOSED_END_SEC_1_4_JR_LIENS_NON_ACCRUAL_FFIEC" vbProcedure="false">"c13316"</definedName>
    <definedName function="false" hidden="true" name="IQ_CLOSED_END_SEC_1_4_JR_LIENS_RECOV_FFIEC" vbProcedure="false">"c13192"</definedName>
    <definedName function="false" hidden="true" name="IQ_CLOSED_END_SEC_1_4_RESIDENT_CHARGE_OFFS_FFIEC" vbProcedure="false">"c15397"</definedName>
    <definedName function="false" hidden="true" name="IQ_CLOSED_END_SEC_1_4_RESIDENT_DUE_30_89_FFIEC" vbProcedure="false">"c15413"</definedName>
    <definedName function="false" hidden="true" name="IQ_CLOSED_END_SEC_1_4_RESIDENT_DUE_90_FFIEC" vbProcedure="false">"c15417"</definedName>
    <definedName function="false" hidden="true" name="IQ_CLOSED_END_SEC_1_4_RESIDENT_NON_ACCRUAL_FFIEC" vbProcedure="false">"c15460"</definedName>
    <definedName function="false" hidden="true" name="IQ_CLOSED_END_SEC_1_4_RESIDENT_RECOV_FFIEC" vbProcedure="false">"c15398"</definedName>
    <definedName function="false" hidden="true" name="IQ_CLOSED_LOANS_GROSS_LOANS_FFIEC" vbProcedure="false">"c13399"</definedName>
    <definedName function="false" hidden="true" name="IQ_CLOSED_LOANS_RISK_BASED_FFIEC" vbProcedure="false">"c13420"</definedName>
    <definedName function="false" hidden="true" name="IQ_CLOSEPRICE" vbProcedure="false">"c174"</definedName>
    <definedName function="false" hidden="true" name="IQ_CLOSEPRICE_ADJ" vbProcedure="false">"c2115"</definedName>
    <definedName function="false" hidden="true" name="IQ_CLOSEPRICE_RT" vbProcedure="false">"CLOSE"</definedName>
    <definedName function="false" hidden="true" name="IQ_CL_AP" vbProcedure="false">"c8884"</definedName>
    <definedName function="false" hidden="true" name="IQ_CL_AP_ABS" vbProcedure="false">"c8903"</definedName>
    <definedName function="false" hidden="true" name="IQ_CL_DUE_AFTER_FIVE" vbProcedure="false">"c167"</definedName>
    <definedName function="false" hidden="true" name="IQ_CL_DUE_CY" vbProcedure="false">"c168"</definedName>
    <definedName function="false" hidden="true" name="IQ_CL_DUE_CY1" vbProcedure="false">"c169"</definedName>
    <definedName function="false" hidden="true" name="IQ_CL_DUE_CY2" vbProcedure="false">"c170"</definedName>
    <definedName function="false" hidden="true" name="IQ_CL_DUE_CY3" vbProcedure="false">"c171"</definedName>
    <definedName function="false" hidden="true" name="IQ_CL_DUE_CY4" vbProcedure="false">"c172"</definedName>
    <definedName function="false" hidden="true" name="IQ_CL_DUE_NEXT_FIVE" vbProcedure="false">"c173"</definedName>
    <definedName function="false" hidden="true" name="IQ_CL_NAME_AP" vbProcedure="false">"c8922"</definedName>
    <definedName function="false" hidden="true" name="IQ_CL_NAME_AP_ABS" vbProcedure="false">"c8941"</definedName>
    <definedName function="false" hidden="true" name="IQ_CL_OBLIGATION_IMMEDIATE" vbProcedure="false">"c2253"</definedName>
    <definedName function="false" hidden="true" name="IQ_CMBS_ISSUED_AFS_AMORT_COST_FFIEC" vbProcedure="false">"c20497"</definedName>
    <definedName function="false" hidden="true" name="IQ_CMBS_ISSUED_AFS_FAIR_VAL_FFIEC" vbProcedure="false">"c20462"</definedName>
    <definedName function="false" hidden="true" name="IQ_CMBS_ISSUED_AVAIL_SALE_FFIEC" vbProcedure="false">"c12800"</definedName>
    <definedName function="false" hidden="true" name="IQ_CMBS_ISSUED_FFIEC" vbProcedure="false">"c12786"</definedName>
    <definedName function="false" hidden="true" name="IQ_CMBS_ISSUED_HTM_AMORT_COST_FFIEC" vbProcedure="false">"c20445"</definedName>
    <definedName function="false" hidden="true" name="IQ_CMBS_ISSUED_HTM_FAIR_VAL_FFIEC" vbProcedure="false">"c20480"</definedName>
    <definedName function="false" hidden="true" name="IQ_CMO_FDIC" vbProcedure="false">"c6406"</definedName>
    <definedName function="false" hidden="true" name="IQ_COAL_SALES_TO_OPERATING_REVENUE_COAL" vbProcedure="false">"c15954"</definedName>
    <definedName function="false" hidden="true" name="IQ_COGS" vbProcedure="false">"c175"</definedName>
    <definedName function="false" hidden="true" name="IQ_COLLATERAL_TYPE" vbProcedure="false">"c8954"</definedName>
    <definedName function="false" hidden="true" name="IQ_COLLECTION_DOMESTIC_FDIC" vbProcedure="false">"c6387"</definedName>
    <definedName function="false" hidden="true" name="IQ_COMBINED_RATIO" vbProcedure="false">"c176"</definedName>
    <definedName function="false" hidden="true" name="IQ_COMMERCIAL_BANKS_DEPOSITS_FOREIGN_FDIC" vbProcedure="false">"c6480"</definedName>
    <definedName function="false" hidden="true" name="IQ_COMMERCIAL_BANKS_LOANS_FDIC" vbProcedure="false">"c6434"</definedName>
    <definedName function="false" hidden="true" name="IQ_COMMERCIAL_BANKS_NONTRANSACTION_ACCOUNTS_FDIC" vbProcedure="false">"c6548"</definedName>
    <definedName function="false" hidden="true" name="IQ_COMMERCIAL_BANKS_TOTAL_DEPOSITS_FDIC" vbProcedure="false">"c6474"</definedName>
    <definedName function="false" hidden="true" name="IQ_COMMERCIAL_BANKS_TOTAL_LOANS_FOREIGN_FDIC" vbProcedure="false">"c6444"</definedName>
    <definedName function="false" hidden="true" name="IQ_COMMERCIAL_BANKS_TRANSACTION_ACCOUNTS_FDIC" vbProcedure="false">"c6540"</definedName>
    <definedName function="false" hidden="true" name="IQ_COMMERCIAL_DOM" vbProcedure="false">"c177"</definedName>
    <definedName function="false" hidden="true" name="IQ_COMMERCIAL_FIRE_WRITTEN" vbProcedure="false">"c178"</definedName>
    <definedName function="false" hidden="true" name="IQ_COMMERCIAL_INDUSTRIAL_CHARGE_OFFS_FDIC" vbProcedure="false">"c6598"</definedName>
    <definedName function="false" hidden="true" name="IQ_COMMERCIAL_INDUSTRIAL_DOM_QUARTERLY_AVG_FFIEC" vbProcedure="false">"c15478"</definedName>
    <definedName function="false" hidden="true" name="IQ_COMMERCIAL_INDUSTRIAL_GROSS_LOANS_FFIEC" vbProcedure="false">"c13410"</definedName>
    <definedName function="false" hidden="true" name="IQ_COMMERCIAL_INDUSTRIAL_LOANS_DUE_30_89_FFIEC" vbProcedure="false">"c13271"</definedName>
    <definedName function="false" hidden="true" name="IQ_COMMERCIAL_INDUSTRIAL_LOANS_DUE_90_FFIEC" vbProcedure="false">"c13297"</definedName>
    <definedName function="false" hidden="true" name="IQ_COMMERCIAL_INDUSTRIAL_LOANS_LL_REC_DOM_FFIEC" vbProcedure="false">"c12910"</definedName>
    <definedName function="false" hidden="true" name="IQ_COMMERCIAL_INDUSTRIAL_LOANS_NET_FDIC" vbProcedure="false">"c6317"</definedName>
    <definedName function="false" hidden="true" name="IQ_COMMERCIAL_INDUSTRIAL_LOANS_NON_ACCRUAL_FFIEC" vbProcedure="false">"c13323"</definedName>
    <definedName function="false" hidden="true" name="IQ_COMMERCIAL_INDUSTRIAL_NET_CHARGE_OFFS_FDIC" vbProcedure="false">"c6636"</definedName>
    <definedName function="false" hidden="true" name="IQ_COMMERCIAL_INDUSTRIAL_NON_US_CHARGE_OFFS_FFIEC" vbProcedure="false">"c13179"</definedName>
    <definedName function="false" hidden="true" name="IQ_COMMERCIAL_INDUSTRIAL_NON_US_DUE_30_89_FFIEC" vbProcedure="false">"c15415"</definedName>
    <definedName function="false" hidden="true" name="IQ_COMMERCIAL_INDUSTRIAL_NON_US_DUE_90_FFIEC" vbProcedure="false">"c15419"</definedName>
    <definedName function="false" hidden="true" name="IQ_COMMERCIAL_INDUSTRIAL_NON_US_NON_ACCRUAL_FFIEC" vbProcedure="false">"c15464"</definedName>
    <definedName function="false" hidden="true" name="IQ_COMMERCIAL_INDUSTRIAL_NON_US_RECOV_FFIEC" vbProcedure="false">"c13201"</definedName>
    <definedName function="false" hidden="true" name="IQ_COMMERCIAL_INDUSTRIAL_RECOVERIES_FDIC" vbProcedure="false">"c6617"</definedName>
    <definedName function="false" hidden="true" name="IQ_COMMERCIAL_INDUSTRIAL_RISK_BASED_FFIEC" vbProcedure="false">"c13431"</definedName>
    <definedName function="false" hidden="true" name="IQ_COMMERCIAL_INDUSTRIAL_TOTAL_LOANS_FOREIGN_FDIC" vbProcedure="false">"c6451"</definedName>
    <definedName function="false" hidden="true" name="IQ_COMMERCIAL_INDUSTRIAL_TRADING_DOM_FFIEC" vbProcedure="false">"c12932"</definedName>
    <definedName function="false" hidden="true" name="IQ_COMMERCIAL_INDUSTRIAL_US_CHARGE_OFFS_FFIEC" vbProcedure="false">"c13178"</definedName>
    <definedName function="false" hidden="true" name="IQ_COMMERCIAL_INDUSTRIAL_US_DUE_30_89_FFIEC" vbProcedure="false">"c15414"</definedName>
    <definedName function="false" hidden="true" name="IQ_COMMERCIAL_INDUSTRIAL_US_DUE_90_FFIEC" vbProcedure="false">"c15418"</definedName>
    <definedName function="false" hidden="true" name="IQ_COMMERCIAL_INDUSTRIAL_US_NON_ACCRUAL_FFIEC" vbProcedure="false">"c15463"</definedName>
    <definedName function="false" hidden="true" name="IQ_COMMERCIAL_INDUSTRIAL_US_RECOV_FFIEC" vbProcedure="false">"c13200"</definedName>
    <definedName function="false" hidden="true" name="IQ_COMMERCIAL_INVEST_CABLE_INVEST" vbProcedure="false">"c15806"</definedName>
    <definedName function="false" hidden="true" name="IQ_COMMERCIAL_LOANS_TOTAL_LOANS" vbProcedure="false">"c15709"</definedName>
    <definedName function="false" hidden="true" name="IQ_COMMERCIAL_MORT" vbProcedure="false">"c179"</definedName>
    <definedName function="false" hidden="true" name="IQ_COMMERCIAL_OTHER_LOC_FFIEC" vbProcedure="false">"c13253"</definedName>
    <definedName function="false" hidden="true" name="IQ_COMMERCIAL_PAPER_ASSETS_TOT_FFIEC" vbProcedure="false">"c13449"</definedName>
    <definedName function="false" hidden="true" name="IQ_COMMERCIAL_PAPER_FFIEC" vbProcedure="false">"c12863"</definedName>
    <definedName function="false" hidden="true" name="IQ_COMMERCIAL_RE_CONSTRUCTION_LAND_DEV_FDIC" vbProcedure="false">"c6526"</definedName>
    <definedName function="false" hidden="true" name="IQ_COMMERCIAL_RE_GROSS_LOANS_FFIEC" vbProcedure="false">"c13400"</definedName>
    <definedName function="false" hidden="true" name="IQ_COMMERCIAL_RE_LOANS_FDIC" vbProcedure="false">"c6312"</definedName>
    <definedName function="false" hidden="true" name="IQ_COMMERCIAL_RE_LOANS_TOTAL_LOANS" vbProcedure="false">"c15710"</definedName>
    <definedName function="false" hidden="true" name="IQ_COMMERCIAL_RE_RISK_BASED_FFIEC" vbProcedure="false">"c13421"</definedName>
    <definedName function="false" hidden="true" name="IQ_COMMISSION_DEF" vbProcedure="false">"c181"</definedName>
    <definedName function="false" hidden="true" name="IQ_COMMISS_FEES" vbProcedure="false">"c180"</definedName>
    <definedName function="false" hidden="true" name="IQ_COMMITMENTS_BUY_SEC_OTHER_OFF_BS_FFIEC" vbProcedure="false">"c13128"</definedName>
    <definedName function="false" hidden="true" name="IQ_COMMITMENTS_COMMERCIAL_RE_UNUSED_FFIEC" vbProcedure="false">"c13243"</definedName>
    <definedName function="false" hidden="true" name="IQ_COMMITMENTS_MATURITY_EXCEEDING_1YR_FDIC" vbProcedure="false">"c6531"</definedName>
    <definedName function="false" hidden="true" name="IQ_COMMITMENTS_NOT_SECURED_RE_FDIC" vbProcedure="false">"c6528"</definedName>
    <definedName function="false" hidden="true" name="IQ_COMMITMENTS_SECURED_RE_FDIC" vbProcedure="false">"c6527"</definedName>
    <definedName function="false" hidden="true" name="IQ_COMMITMENTS_SELL_SEC_OTHER_OFF_BS_FFIEC" vbProcedure="false">"c13129"</definedName>
    <definedName function="false" hidden="true" name="IQ_COMMODITY_EXPOSURES_FDIC" vbProcedure="false">"c6665"</definedName>
    <definedName function="false" hidden="true" name="IQ_COMMODITY_EXPOSURE_FFIEC" vbProcedure="false">"c13061"</definedName>
    <definedName function="false" hidden="true" name="IQ_COMMON" vbProcedure="false">"c182"</definedName>
    <definedName function="false" hidden="true" name="IQ_COMMON_APIC" vbProcedure="false">"c183"</definedName>
    <definedName function="false" hidden="true" name="IQ_COMMON_APIC_BNK" vbProcedure="false">"c184"</definedName>
    <definedName function="false" hidden="true" name="IQ_COMMON_APIC_BR" vbProcedure="false">"c185"</definedName>
    <definedName function="false" hidden="true" name="IQ_COMMON_APIC_FIN" vbProcedure="false">"c186"</definedName>
    <definedName function="false" hidden="true" name="IQ_COMMON_APIC_INS" vbProcedure="false">"c187"</definedName>
    <definedName function="false" hidden="true" name="IQ_COMMON_APIC_RE" vbProcedure="false">"c6202"</definedName>
    <definedName function="false" hidden="true" name="IQ_COMMON_APIC_REIT" vbProcedure="false">"c188"</definedName>
    <definedName function="false" hidden="true" name="IQ_COMMON_APIC_UTI" vbProcedure="false">"c189"</definedName>
    <definedName function="false" hidden="true" name="IQ_COMMON_DIV" vbProcedure="false">"c3006"</definedName>
    <definedName function="false" hidden="true" name="IQ_COMMON_DIV_CF" vbProcedure="false">"c190"</definedName>
    <definedName function="false" hidden="true" name="IQ_COMMON_EQUITY_10YR_ANN_CAGR" vbProcedure="false">"c6060"</definedName>
    <definedName function="false" hidden="true" name="IQ_COMMON_EQUITY_10YR_ANN_GROWTH" vbProcedure="false">"c191"</definedName>
    <definedName function="false" hidden="true" name="IQ_COMMON_EQUITY_1YR_ANN_GROWTH" vbProcedure="false">"c192"</definedName>
    <definedName function="false" hidden="true" name="IQ_COMMON_EQUITY_2YR_ANN_CAGR" vbProcedure="false">"c6061"</definedName>
    <definedName function="false" hidden="true" name="IQ_COMMON_EQUITY_2YR_ANN_GROWTH" vbProcedure="false">"c193"</definedName>
    <definedName function="false" hidden="true" name="IQ_COMMON_EQUITY_3YR_ANN_CAGR" vbProcedure="false">"c6062"</definedName>
    <definedName function="false" hidden="true" name="IQ_COMMON_EQUITY_3YR_ANN_GROWTH" vbProcedure="false">"c194"</definedName>
    <definedName function="false" hidden="true" name="IQ_COMMON_EQUITY_5YR_ANN_CAGR" vbProcedure="false">"c6063"</definedName>
    <definedName function="false" hidden="true" name="IQ_COMMON_EQUITY_5YR_ANN_GROWTH" vbProcedure="false">"c195"</definedName>
    <definedName function="false" hidden="true" name="IQ_COMMON_EQUITY_7YR_ANN_CAGR" vbProcedure="false">"c6064"</definedName>
    <definedName function="false" hidden="true" name="IQ_COMMON_EQUITY_7YR_ANN_GROWTH" vbProcedure="false">"c196"</definedName>
    <definedName function="false" hidden="true" name="IQ_COMMON_FDIC" vbProcedure="false">"c6350"</definedName>
    <definedName function="false" hidden="true" name="IQ_COMMON_ISSUED" vbProcedure="false">"c197"</definedName>
    <definedName function="false" hidden="true" name="IQ_COMMON_ISSUED_BNK" vbProcedure="false">"c198"</definedName>
    <definedName function="false" hidden="true" name="IQ_COMMON_ISSUED_BR" vbProcedure="false">"c199"</definedName>
    <definedName function="false" hidden="true" name="IQ_COMMON_ISSUED_FIN" vbProcedure="false">"c200"</definedName>
    <definedName function="false" hidden="true" name="IQ_COMMON_ISSUED_INS" vbProcedure="false">"c201"</definedName>
    <definedName function="false" hidden="true" name="IQ_COMMON_ISSUED_RE" vbProcedure="false">"c6203"</definedName>
    <definedName function="false" hidden="true" name="IQ_COMMON_ISSUED_REIT" vbProcedure="false">"c202"</definedName>
    <definedName function="false" hidden="true" name="IQ_COMMON_ISSUED_UTI" vbProcedure="false">"c203"</definedName>
    <definedName function="false" hidden="true" name="IQ_COMMON_PER_ADR" vbProcedure="false">"c204"</definedName>
    <definedName function="false" hidden="true" name="IQ_COMMON_PREF_DIV_CF" vbProcedure="false">"c205"</definedName>
    <definedName function="false" hidden="true" name="IQ_COMMON_REP" vbProcedure="false">"c206"</definedName>
    <definedName function="false" hidden="true" name="IQ_COMMON_REP_BNK" vbProcedure="false">"c207"</definedName>
    <definedName function="false" hidden="true" name="IQ_COMMON_REP_BR" vbProcedure="false">"c208"</definedName>
    <definedName function="false" hidden="true" name="IQ_COMMON_REP_FIN" vbProcedure="false">"c209"</definedName>
    <definedName function="false" hidden="true" name="IQ_COMMON_REP_INS" vbProcedure="false">"c210"</definedName>
    <definedName function="false" hidden="true" name="IQ_COMMON_REP_RE" vbProcedure="false">"c6204"</definedName>
    <definedName function="false" hidden="true" name="IQ_COMMON_REP_REIT" vbProcedure="false">"c211"</definedName>
    <definedName function="false" hidden="true" name="IQ_COMMON_REP_UTI" vbProcedure="false">"c212"</definedName>
    <definedName function="false" hidden="true" name="IQ_COMMON_STOCK" vbProcedure="false">"c1358"</definedName>
    <definedName function="false" hidden="true" name="IQ_COMMON_STOCK_FFIEC" vbProcedure="false">"c12876"</definedName>
    <definedName function="false" hidden="true" name="IQ_COMM_BANKS_OTHER_DEP_INST_US_TRANS_ACCTS_FFIEC" vbProcedure="false">"c15317"</definedName>
    <definedName function="false" hidden="true" name="IQ_COMM_BANKS_OTHER_INST_US_NON_TRANS_ACCTS_FFIEC" vbProcedure="false">"c15325"</definedName>
    <definedName function="false" hidden="true" name="IQ_COMM_INDUSTRIAL_LL_REC_FFIEC" vbProcedure="false">"c18880"</definedName>
    <definedName function="false" hidden="true" name="IQ_COMM_INDUSTRIAL_LOANS_FFIEC" vbProcedure="false">"c12821"</definedName>
    <definedName function="false" hidden="true" name="IQ_COMM_INDUSTRIAL_NON_US_LL_REC_FFIEC" vbProcedure="false">"c12888"</definedName>
    <definedName function="false" hidden="true" name="IQ_COMM_INDUSTRIAL_US_LL_REC_FFIEC" vbProcedure="false">"c12887"</definedName>
    <definedName function="false" hidden="true" name="IQ_COMM_IND_LOANS_TOT_LOANS_FFIEC" vbProcedure="false">"c13874"</definedName>
    <definedName function="false" hidden="true" name="IQ_COMM_RE_FARM_LOANS_TOT_LOANS_FFIEC" vbProcedure="false">"c13872"</definedName>
    <definedName function="false" hidden="true" name="IQ_COMM_RE_NONFARM_NONRES_TOT_LOANS_FFIEC" vbProcedure="false">"c13871"</definedName>
    <definedName function="false" hidden="true" name="IQ_COMPANY_ADDRESS" vbProcedure="false">"c214"</definedName>
    <definedName function="false" hidden="true" name="IQ_COMPANY_ID" vbProcedure="false">"c3513"</definedName>
    <definedName function="false" hidden="true" name="IQ_COMPANY_ID_QUICK_MATCH" vbProcedure="false">"c16227"</definedName>
    <definedName function="false" hidden="true" name="IQ_COMPANY_NAME" vbProcedure="false">"c215"</definedName>
    <definedName function="false" hidden="true" name="IQ_COMPANY_NAME_LONG" vbProcedure="false">"c1585"</definedName>
    <definedName function="false" hidden="true" name="IQ_COMPANY_NAME_QUICK_MATCH" vbProcedure="false">"c16228"</definedName>
    <definedName function="false" hidden="true" name="IQ_COMPANY_NOTE" vbProcedure="false">"c6792"</definedName>
    <definedName function="false" hidden="true" name="IQ_COMPANY_PHONE" vbProcedure="false">"c216"</definedName>
    <definedName function="false" hidden="true" name="IQ_COMPANY_STATUS" vbProcedure="false">"c2097"</definedName>
    <definedName function="false" hidden="true" name="IQ_COMPANY_STREET1" vbProcedure="false">"c217"</definedName>
    <definedName function="false" hidden="true" name="IQ_COMPANY_STREET2" vbProcedure="false">"c218"</definedName>
    <definedName function="false" hidden="true" name="IQ_COMPANY_TICKER" vbProcedure="false">"c219"</definedName>
    <definedName function="false" hidden="true" name="IQ_COMPANY_TICKER_NO_EXCH" vbProcedure="false">"c15490"</definedName>
    <definedName function="false" hidden="true" name="IQ_COMPANY_TYPE" vbProcedure="false">"c2096"</definedName>
    <definedName function="false" hidden="true" name="IQ_COMPANY_WEBSITE" vbProcedure="false">"c220"</definedName>
    <definedName function="false" hidden="true" name="IQ_COMPANY_ZIP" vbProcedure="false">"c221"</definedName>
    <definedName function="false" hidden="true" name="IQ_COMPETITOR_ALL" vbProcedure="false">"c13754"</definedName>
    <definedName function="false" hidden="true" name="IQ_COMPETITOR_NAMED_BY_COMPANY" vbProcedure="false">"c13751"</definedName>
    <definedName function="false" hidden="true" name="IQ_COMPETITOR_NAMED_BY_COMPETITOR" vbProcedure="false">"c13752"</definedName>
    <definedName function="false" hidden="true" name="IQ_COMPETITOR_NAMED_BY_THIRDPARTY" vbProcedure="false">"c13753"</definedName>
    <definedName function="false" hidden="true" name="IQ_COMPOSITE_CYCLICAL_IND" vbProcedure="false">"c6830"</definedName>
    <definedName function="false" hidden="true" name="IQ_COMPOSITE_CYCLICAL_IND_APR" vbProcedure="false">"c7490"</definedName>
    <definedName function="false" hidden="true" name="IQ_COMPOSITE_CYCLICAL_IND_APR_FC" vbProcedure="false">"c8370"</definedName>
    <definedName function="false" hidden="true" name="IQ_COMPOSITE_CYCLICAL_IND_FC" vbProcedure="false">"c7710"</definedName>
    <definedName function="false" hidden="true" name="IQ_COMPOSITE_CYCLICAL_IND_POP" vbProcedure="false">"c7050"</definedName>
    <definedName function="false" hidden="true" name="IQ_COMPOSITE_CYCLICAL_IND_POP_FC" vbProcedure="false">"c7930"</definedName>
    <definedName function="false" hidden="true" name="IQ_COMPOSITE_CYCLICAL_IND_YOY" vbProcedure="false">"c7270"</definedName>
    <definedName function="false" hidden="true" name="IQ_COMPOSITE_CYCLICAL_IND_YOY_FC" vbProcedure="false">"c8150"</definedName>
    <definedName function="false" hidden="true" name="IQ_COMP_BENEFITS" vbProcedure="false">"c213"</definedName>
    <definedName function="false" hidden="true" name="IQ_COM_TARGET_PRICE" vbProcedure="false">"c13606"</definedName>
    <definedName function="false" hidden="true" name="IQ_COM_TARGET_PRICE_CIQ" vbProcedure="false">"c13599"</definedName>
    <definedName function="false" hidden="true" name="IQ_COM_TARGET_PRICE_DET_EST" vbProcedure="false">"c13610"</definedName>
    <definedName function="false" hidden="true" name="IQ_COM_TARGET_PRICE_DET_EST_CIQ" vbProcedure="false">"c13603"</definedName>
    <definedName function="false" hidden="true" name="IQ_COM_TARGET_PRICE_HIGH" vbProcedure="false">"c13607"</definedName>
    <definedName function="false" hidden="true" name="IQ_COM_TARGET_PRICE_HIGH_CIQ" vbProcedure="false">"c13600"</definedName>
    <definedName function="false" hidden="true" name="IQ_COM_TARGET_PRICE_LOW" vbProcedure="false">"c13608"</definedName>
    <definedName function="false" hidden="true" name="IQ_COM_TARGET_PRICE_LOW_CIQ" vbProcedure="false">"c13601"</definedName>
    <definedName function="false" hidden="true" name="IQ_COM_TARGET_PRICE_MEDIAN" vbProcedure="false">"c13609"</definedName>
    <definedName function="false" hidden="true" name="IQ_COM_TARGET_PRICE_MEDIAN_CIQ" vbProcedure="false">"c13602"</definedName>
    <definedName function="false" hidden="true" name="IQ_COM_TARGET_PRICE_NUM" vbProcedure="false">"c13604"</definedName>
    <definedName function="false" hidden="true" name="IQ_COM_TARGET_PRICE_NUM_CIQ" vbProcedure="false">"c13597"</definedName>
    <definedName function="false" hidden="true" name="IQ_COM_TARGET_PRICE_STDDEV" vbProcedure="false">"c13605"</definedName>
    <definedName function="false" hidden="true" name="IQ_COM_TARGET_PRICE_STDDEV_CIQ" vbProcedure="false">"c13598"</definedName>
    <definedName function="false" hidden="true" name="IQ_CONSOLIDATED_ASSETS_QUARTERLY_AVG_FFIEC" vbProcedure="false">"c13087"</definedName>
    <definedName function="false" hidden="true" name="IQ_CONSOLIDATED_NI_FOREIGN_FFIEC" vbProcedure="false">"c15396"</definedName>
    <definedName function="false" hidden="true" name="IQ_CONSOL_BEDS" vbProcedure="false">"c8782"</definedName>
    <definedName function="false" hidden="true" name="IQ_CONSOL_PROP_OPERATIONAL" vbProcedure="false">"c8758"</definedName>
    <definedName function="false" hidden="true" name="IQ_CONSOL_PROP_OTHER_OWNED" vbProcedure="false">"c8760"</definedName>
    <definedName function="false" hidden="true" name="IQ_CONSOL_PROP_TOTAL" vbProcedure="false">"c8761"</definedName>
    <definedName function="false" hidden="true" name="IQ_CONSOL_PROP_UNDEVELOPED" vbProcedure="false">"c8759"</definedName>
    <definedName function="false" hidden="true" name="IQ_CONSOL_ROOMS" vbProcedure="false">"c8786"</definedName>
    <definedName function="false" hidden="true" name="IQ_CONSOL_SQ_FT_OPERATIONAL" vbProcedure="false">"c8774"</definedName>
    <definedName function="false" hidden="true" name="IQ_CONSOL_SQ_FT_OTHER_OWNED" vbProcedure="false">"c8776"</definedName>
    <definedName function="false" hidden="true" name="IQ_CONSOL_SQ_FT_TOTAL" vbProcedure="false">"c8777"</definedName>
    <definedName function="false" hidden="true" name="IQ_CONSOL_SQ_FT_UNDEVELOPED" vbProcedure="false">"c8775"</definedName>
    <definedName function="false" hidden="true" name="IQ_CONSOL_UNITS_OPERATIONAL" vbProcedure="false">"c8766"</definedName>
    <definedName function="false" hidden="true" name="IQ_CONSOL_UNITS_OTHER_OWNED" vbProcedure="false">"c8768"</definedName>
    <definedName function="false" hidden="true" name="IQ_CONSOL_UNITS_TOTAL" vbProcedure="false">"c8769"</definedName>
    <definedName function="false" hidden="true" name="IQ_CONSOL_UNITS_UNDEVELOPED" vbProcedure="false">"c8767"</definedName>
    <definedName function="false" hidden="true" name="IQ_CONSTITUENTS" vbProcedure="false">"c19169"</definedName>
    <definedName function="false" hidden="true" name="IQ_CONSTITUENTS_NAME" vbProcedure="false">"c19192"</definedName>
    <definedName function="false" hidden="true" name="IQ_CONSTRUCTION_DEV_LOANS_FDIC" vbProcedure="false">"c6313"</definedName>
    <definedName function="false" hidden="true" name="IQ_CONSTRUCTION_LAND_DEVELOPMENT_CHARGE_OFFS_FDIC" vbProcedure="false">"c6594"</definedName>
    <definedName function="false" hidden="true" name="IQ_CONSTRUCTION_LAND_DEVELOPMENT_NET_CHARGE_OFFS_FDIC" vbProcedure="false">"c6632"</definedName>
    <definedName function="false" hidden="true" name="IQ_CONSTRUCTION_LAND_DEVELOPMENT_RECOVERIES_FDIC" vbProcedure="false">"c6613"</definedName>
    <definedName function="false" hidden="true" name="IQ_CONSTRUCTION_LAND_DEV_DOM_FFIEC" vbProcedure="false">"c15267"</definedName>
    <definedName function="false" hidden="true" name="IQ_CONSTRUCTION_LL_REC_DOM_FFIEC" vbProcedure="false">"c12900"</definedName>
    <definedName function="false" hidden="true" name="IQ_CONSTRUCTION_LOANS" vbProcedure="false">"c222"</definedName>
    <definedName function="false" hidden="true" name="IQ_CONSTRUCTION_LOANS_DOM_DUE_30_89_FFIEC" vbProcedure="false">"c13256"</definedName>
    <definedName function="false" hidden="true" name="IQ_CONSTRUCTION_LOANS_DOM_DUE_90_FFIEC" vbProcedure="false">"c13284"</definedName>
    <definedName function="false" hidden="true" name="IQ_CONSTRUCTION_LOANS_DOM_NON_ACCRUAL_FFIEC" vbProcedure="false">"c13310"</definedName>
    <definedName function="false" hidden="true" name="IQ_CONSTRUCTION_LOANS_GROSS_LOANS_FFIEC" vbProcedure="false">"c13401"</definedName>
    <definedName function="false" hidden="true" name="IQ_CONSTRUCTION_LOANS_TOTAL_LOANS" vbProcedure="false">"c15711"</definedName>
    <definedName function="false" hidden="true" name="IQ_CONSTRUCTION_RISK_BASED_FFIEC" vbProcedure="false">"c13422"</definedName>
    <definedName function="false" hidden="true" name="IQ_CONST_LAND_DEVELOP_OTHER_DOM_CHARGE_OFFS_FFIEC" vbProcedure="false">"c13628"</definedName>
    <definedName function="false" hidden="true" name="IQ_CONST_LAND_DEVELOP_OTHER_DOM_RECOV_FFIEC" vbProcedure="false">"c13632"</definedName>
    <definedName function="false" hidden="true" name="IQ_CONST_LAND_DEV_LOANS_TOT_LOANS_FFIEC" vbProcedure="false">"c13865"</definedName>
    <definedName function="false" hidden="true" name="IQ_CONSULTING_FFIEC" vbProcedure="false">"c13055"</definedName>
    <definedName function="false" hidden="true" name="IQ_CONSUMER_COMFORT" vbProcedure="false">"c6831"</definedName>
    <definedName function="false" hidden="true" name="IQ_CONSUMER_COMFORT_APR" vbProcedure="false">"c7491"</definedName>
    <definedName function="false" hidden="true" name="IQ_CONSUMER_COMFORT_APR_FC" vbProcedure="false">"c8371"</definedName>
    <definedName function="false" hidden="true" name="IQ_CONSUMER_COMFORT_FC" vbProcedure="false">"c7711"</definedName>
    <definedName function="false" hidden="true" name="IQ_CONSUMER_COMFORT_POP" vbProcedure="false">"c7051"</definedName>
    <definedName function="false" hidden="true" name="IQ_CONSUMER_COMFORT_POP_FC" vbProcedure="false">"c7931"</definedName>
    <definedName function="false" hidden="true" name="IQ_CONSUMER_CONFIDENCE" vbProcedure="false">"c6832"</definedName>
    <definedName function="false" hidden="true" name="IQ_CONSUMER_CONFIDENCE_APR" vbProcedure="false">"c7492"</definedName>
    <definedName function="false" hidden="true" name="IQ_CONSUMER_CONFIDENCE_APR_FC" vbProcedure="false">"c8372"</definedName>
    <definedName function="false" hidden="true" name="IQ_CONSUMER_CONFIDENCE_FC" vbProcedure="false">"c7712"</definedName>
    <definedName function="false" hidden="true" name="IQ_CONSUMER_CONFIDENCE_POP" vbProcedure="false">"c7052"</definedName>
    <definedName function="false" hidden="true" name="IQ_CONSUMER_CONFIDENCE_POP_FC" vbProcedure="false">"c7932"</definedName>
    <definedName function="false" hidden="true" name="IQ_CONSUMER_CONFIDENCE_YOY" vbProcedure="false">"c7272"</definedName>
    <definedName function="false" hidden="true" name="IQ_CONSUMER_CONFIDENCE_YOY_FC" vbProcedure="false">"c8152"</definedName>
    <definedName function="false" hidden="true" name="IQ_CONSUMER_LEASES_LL_REC_FFIEC" vbProcedure="false">"c12895"</definedName>
    <definedName function="false" hidden="true" name="IQ_CONSUMER_LENDING" vbProcedure="false">"c6833"</definedName>
    <definedName function="false" hidden="true" name="IQ_CONSUMER_LENDING_APR" vbProcedure="false">"c7493"</definedName>
    <definedName function="false" hidden="true" name="IQ_CONSUMER_LENDING_APR_FC" vbProcedure="false">"c8373"</definedName>
    <definedName function="false" hidden="true" name="IQ_CONSUMER_LENDING_FC" vbProcedure="false">"c7713"</definedName>
    <definedName function="false" hidden="true" name="IQ_CONSUMER_LENDING_GROSS" vbProcedure="false">"c6878"</definedName>
    <definedName function="false" hidden="true" name="IQ_CONSUMER_LENDING_GROSS_APR" vbProcedure="false">"c7538"</definedName>
    <definedName function="false" hidden="true" name="IQ_CONSUMER_LENDING_GROSS_APR_FC" vbProcedure="false">"c8418"</definedName>
    <definedName function="false" hidden="true" name="IQ_CONSUMER_LENDING_GROSS_FC" vbProcedure="false">"c7758"</definedName>
    <definedName function="false" hidden="true" name="IQ_CONSUMER_LENDING_GROSS_POP" vbProcedure="false">"c7098"</definedName>
    <definedName function="false" hidden="true" name="IQ_CONSUMER_LENDING_GROSS_POP_FC" vbProcedure="false">"c7978"</definedName>
    <definedName function="false" hidden="true" name="IQ_CONSUMER_LENDING_GROSS_YOY" vbProcedure="false">"c7318"</definedName>
    <definedName function="false" hidden="true" name="IQ_CONSUMER_LENDING_GROSS_YOY_FC" vbProcedure="false">"c8198"</definedName>
    <definedName function="false" hidden="true" name="IQ_CONSUMER_LENDING_NET" vbProcedure="false">"c6922"</definedName>
    <definedName function="false" hidden="true" name="IQ_CONSUMER_LENDING_NET_APR" vbProcedure="false">"c7582"</definedName>
    <definedName function="false" hidden="true" name="IQ_CONSUMER_LENDING_NET_APR_FC" vbProcedure="false">"c8462"</definedName>
    <definedName function="false" hidden="true" name="IQ_CONSUMER_LENDING_NET_FC" vbProcedure="false">"c7802"</definedName>
    <definedName function="false" hidden="true" name="IQ_CONSUMER_LENDING_NET_POP" vbProcedure="false">"c7142"</definedName>
    <definedName function="false" hidden="true" name="IQ_CONSUMER_LENDING_NET_POP_FC" vbProcedure="false">"c8022"</definedName>
    <definedName function="false" hidden="true" name="IQ_CONSUMER_LENDING_NET_YOY" vbProcedure="false">"c7362"</definedName>
    <definedName function="false" hidden="true" name="IQ_CONSUMER_LENDING_NET_YOY_FC" vbProcedure="false">"c8242"</definedName>
    <definedName function="false" hidden="true" name="IQ_CONSUMER_LENDING_POP" vbProcedure="false">"c7053"</definedName>
    <definedName function="false" hidden="true" name="IQ_CONSUMER_LENDING_POP_FC" vbProcedure="false">"c7933"</definedName>
    <definedName function="false" hidden="true" name="IQ_CONSUMER_LENDING_TOTAL" vbProcedure="false">"c7018"</definedName>
    <definedName function="false" hidden="true" name="IQ_CONSUMER_LENDING_TOTAL_APR" vbProcedure="false">"c7678"</definedName>
    <definedName function="false" hidden="true" name="IQ_CONSUMER_LENDING_TOTAL_APR_FC" vbProcedure="false">"c8558"</definedName>
    <definedName function="false" hidden="true" name="IQ_CONSUMER_LENDING_TOTAL_FC" vbProcedure="false">"c7898"</definedName>
    <definedName function="false" hidden="true" name="IQ_CONSUMER_LENDING_TOTAL_POP" vbProcedure="false">"c7238"</definedName>
    <definedName function="false" hidden="true" name="IQ_CONSUMER_LENDING_TOTAL_POP_FC" vbProcedure="false">"c8118"</definedName>
    <definedName function="false" hidden="true" name="IQ_CONSUMER_LENDING_TOTAL_YOY" vbProcedure="false">"c7458"</definedName>
    <definedName function="false" hidden="true" name="IQ_CONSUMER_LENDING_TOTAL_YOY_FC" vbProcedure="false">"c8338"</definedName>
    <definedName function="false" hidden="true" name="IQ_CONSUMER_LENDING_YOY" vbProcedure="false">"c7273"</definedName>
    <definedName function="false" hidden="true" name="IQ_CONSUMER_LENDING_YOY_FC" vbProcedure="false">"c8153"</definedName>
    <definedName function="false" hidden="true" name="IQ_CONSUMER_LOANS" vbProcedure="false">"c223"</definedName>
    <definedName function="false" hidden="true" name="IQ_CONSUMER_LOANS_LL_REC_DOM_FFIEC" vbProcedure="false">"c12911"</definedName>
    <definedName function="false" hidden="true" name="IQ_CONSUMER_LOANS_TOTAL_LOANS" vbProcedure="false">"c15712"</definedName>
    <definedName function="false" hidden="true" name="IQ_CONSUMER_LOANS_TOT_LOANS_FFIEC" vbProcedure="false">"c13875"</definedName>
    <definedName function="false" hidden="true" name="IQ_CONSUMER_SPENDING" vbProcedure="false">"c6834"</definedName>
    <definedName function="false" hidden="true" name="IQ_CONSUMER_SPENDING_APR" vbProcedure="false">"c7494"</definedName>
    <definedName function="false" hidden="true" name="IQ_CONSUMER_SPENDING_APR_FC" vbProcedure="false">"c8374"</definedName>
    <definedName function="false" hidden="true" name="IQ_CONSUMER_SPENDING_DURABLE" vbProcedure="false">"c6835"</definedName>
    <definedName function="false" hidden="true" name="IQ_CONSUMER_SPENDING_DURABLE_APR" vbProcedure="false">"c7495"</definedName>
    <definedName function="false" hidden="true" name="IQ_CONSUMER_SPENDING_DURABLE_APR_FC" vbProcedure="false">"c8375"</definedName>
    <definedName function="false" hidden="true" name="IQ_CONSUMER_SPENDING_DURABLE_FC" vbProcedure="false">"c7715"</definedName>
    <definedName function="false" hidden="true" name="IQ_CONSUMER_SPENDING_DURABLE_POP" vbProcedure="false">"c7055"</definedName>
    <definedName function="false" hidden="true" name="IQ_CONSUMER_SPENDING_DURABLE_POP_FC" vbProcedure="false">"c7935"</definedName>
    <definedName function="false" hidden="true" name="IQ_CONSUMER_SPENDING_DURABLE_REAL" vbProcedure="false">"c6964"</definedName>
    <definedName function="false" hidden="true" name="IQ_CONSUMER_SPENDING_DURABLE_REAL_APR" vbProcedure="false">"c7624"</definedName>
    <definedName function="false" hidden="true" name="IQ_CONSUMER_SPENDING_DURABLE_REAL_APR_FC" vbProcedure="false">"c8504"</definedName>
    <definedName function="false" hidden="true" name="IQ_CONSUMER_SPENDING_DURABLE_REAL_FC" vbProcedure="false">"c7844"</definedName>
    <definedName function="false" hidden="true" name="IQ_CONSUMER_SPENDING_DURABLE_REAL_POP" vbProcedure="false">"c7184"</definedName>
    <definedName function="false" hidden="true" name="IQ_CONSUMER_SPENDING_DURABLE_REAL_POP_FC" vbProcedure="false">"c8064"</definedName>
    <definedName function="false" hidden="true" name="IQ_CONSUMER_SPENDING_DURABLE_REAL_SAAR" vbProcedure="false">"c6965"</definedName>
    <definedName function="false" hidden="true" name="IQ_CONSUMER_SPENDING_DURABLE_REAL_SAAR_APR" vbProcedure="false">"c7625"</definedName>
    <definedName function="false" hidden="true" name="IQ_CONSUMER_SPENDING_DURABLE_REAL_SAAR_APR_FC" vbProcedure="false">"c8505"</definedName>
    <definedName function="false" hidden="true" name="IQ_CONSUMER_SPENDING_DURABLE_REAL_SAAR_FC" vbProcedure="false">"c7845"</definedName>
    <definedName function="false" hidden="true" name="IQ_CONSUMER_SPENDING_DURABLE_REAL_SAAR_POP" vbProcedure="false">"c7185"</definedName>
    <definedName function="false" hidden="true" name="IQ_CONSUMER_SPENDING_DURABLE_REAL_SAAR_POP_FC" vbProcedure="false">"c8065"</definedName>
    <definedName function="false" hidden="true" name="IQ_CONSUMER_SPENDING_DURABLE_REAL_SAAR_YOY" vbProcedure="false">"c7405"</definedName>
    <definedName function="false" hidden="true" name="IQ_CONSUMER_SPENDING_DURABLE_REAL_SAAR_YOY_FC" vbProcedure="false">"c8285"</definedName>
    <definedName function="false" hidden="true" name="IQ_CONSUMER_SPENDING_DURABLE_REAL_YOY" vbProcedure="false">"c7404"</definedName>
    <definedName function="false" hidden="true" name="IQ_CONSUMER_SPENDING_DURABLE_REAL_YOY_FC" vbProcedure="false">"c8284"</definedName>
    <definedName function="false" hidden="true" name="IQ_CONSUMER_SPENDING_DURABLE_YOY" vbProcedure="false">"c7275"</definedName>
    <definedName function="false" hidden="true" name="IQ_CONSUMER_SPENDING_DURABLE_YOY_FC" vbProcedure="false">"c8155"</definedName>
    <definedName function="false" hidden="true" name="IQ_CONSUMER_SPENDING_FC" vbProcedure="false">"c7714"</definedName>
    <definedName function="false" hidden="true" name="IQ_CONSUMER_SPENDING_NONDURABLE" vbProcedure="false">"c6836"</definedName>
    <definedName function="false" hidden="true" name="IQ_CONSUMER_SPENDING_NONDURABLE_APR" vbProcedure="false">"c7496"</definedName>
    <definedName function="false" hidden="true" name="IQ_CONSUMER_SPENDING_NONDURABLE_APR_FC" vbProcedure="false">"c8376"</definedName>
    <definedName function="false" hidden="true" name="IQ_CONSUMER_SPENDING_NONDURABLE_FC" vbProcedure="false">"c7716"</definedName>
    <definedName function="false" hidden="true" name="IQ_CONSUMER_SPENDING_NONDURABLE_POP" vbProcedure="false">"c7056"</definedName>
    <definedName function="false" hidden="true" name="IQ_CONSUMER_SPENDING_NONDURABLE_POP_FC" vbProcedure="false">"c7936"</definedName>
    <definedName function="false" hidden="true" name="IQ_CONSUMER_SPENDING_NONDURABLE_REAL" vbProcedure="false">"c6966"</definedName>
    <definedName function="false" hidden="true" name="IQ_CONSUMER_SPENDING_NONDURABLE_REAL_APR" vbProcedure="false">"c7626"</definedName>
    <definedName function="false" hidden="true" name="IQ_CONSUMER_SPENDING_NONDURABLE_REAL_APR_FC" vbProcedure="false">"c8506"</definedName>
    <definedName function="false" hidden="true" name="IQ_CONSUMER_SPENDING_NONDURABLE_REAL_FC" vbProcedure="false">"c7846"</definedName>
    <definedName function="false" hidden="true" name="IQ_CONSUMER_SPENDING_NONDURABLE_REAL_POP" vbProcedure="false">"c7186"</definedName>
    <definedName function="false" hidden="true" name="IQ_CONSUMER_SPENDING_NONDURABLE_REAL_POP_FC" vbProcedure="false">"c8066"</definedName>
    <definedName function="false" hidden="true" name="IQ_CONSUMER_SPENDING_NONDURABLE_REAL_SAAR" vbProcedure="false">"c6967"</definedName>
    <definedName function="false" hidden="true" name="IQ_CONSUMER_SPENDING_NONDURABLE_REAL_SAAR_APR" vbProcedure="false">"c7627"</definedName>
    <definedName function="false" hidden="true" name="IQ_CONSUMER_SPENDING_NONDURABLE_REAL_SAAR_APR_FC" vbProcedure="false">"c8507"</definedName>
    <definedName function="false" hidden="true" name="IQ_CONSUMER_SPENDING_NONDURABLE_REAL_SAAR_FC" vbProcedure="false">"c7847"</definedName>
    <definedName function="false" hidden="true" name="IQ_CONSUMER_SPENDING_NONDURABLE_REAL_SAAR_POP" vbProcedure="false">"c7187"</definedName>
    <definedName function="false" hidden="true" name="IQ_CONSUMER_SPENDING_NONDURABLE_REAL_SAAR_POP_FC" vbProcedure="false">"c8067"</definedName>
    <definedName function="false" hidden="true" name="IQ_CONSUMER_SPENDING_NONDURABLE_REAL_SAAR_YOY" vbProcedure="false">"c7407"</definedName>
    <definedName function="false" hidden="true" name="IQ_CONSUMER_SPENDING_NONDURABLE_REAL_SAAR_YOY_FC" vbProcedure="false">"c8287"</definedName>
    <definedName function="false" hidden="true" name="IQ_CONSUMER_SPENDING_NONDURABLE_REAL_YOY" vbProcedure="false">"c7406"</definedName>
    <definedName function="false" hidden="true" name="IQ_CONSUMER_SPENDING_NONDURABLE_REAL_YOY_FC" vbProcedure="false">"c8286"</definedName>
    <definedName function="false" hidden="true" name="IQ_CONSUMER_SPENDING_NONDURABLE_YOY" vbProcedure="false">"c7276"</definedName>
    <definedName function="false" hidden="true" name="IQ_CONSUMER_SPENDING_NONDURABLE_YOY_FC" vbProcedure="false">"c8156"</definedName>
    <definedName function="false" hidden="true" name="IQ_CONSUMER_SPENDING_POP" vbProcedure="false">"c7054"</definedName>
    <definedName function="false" hidden="true" name="IQ_CONSUMER_SPENDING_POP_FC" vbProcedure="false">"c7934"</definedName>
    <definedName function="false" hidden="true" name="IQ_CONSUMER_SPENDING_REAL" vbProcedure="false">"c6963"</definedName>
    <definedName function="false" hidden="true" name="IQ_CONSUMER_SPENDING_REAL_APR" vbProcedure="false">"c7623"</definedName>
    <definedName function="false" hidden="true" name="IQ_CONSUMER_SPENDING_REAL_APR_FC" vbProcedure="false">"c8503"</definedName>
    <definedName function="false" hidden="true" name="IQ_CONSUMER_SPENDING_REAL_FC" vbProcedure="false">"c7843"</definedName>
    <definedName function="false" hidden="true" name="IQ_CONSUMER_SPENDING_REAL_POP" vbProcedure="false">"c7183"</definedName>
    <definedName function="false" hidden="true" name="IQ_CONSUMER_SPENDING_REAL_POP_FC" vbProcedure="false">"c8063"</definedName>
    <definedName function="false" hidden="true" name="IQ_CONSUMER_SPENDING_REAL_SAAR" vbProcedure="false">"c6968"</definedName>
    <definedName function="false" hidden="true" name="IQ_CONSUMER_SPENDING_REAL_SAAR_APR" vbProcedure="false">"c7628"</definedName>
    <definedName function="false" hidden="true" name="IQ_CONSUMER_SPENDING_REAL_SAAR_APR_FC" vbProcedure="false">"c8508"</definedName>
    <definedName function="false" hidden="true" name="IQ_CONSUMER_SPENDING_REAL_SAAR_FC" vbProcedure="false">"c7848"</definedName>
    <definedName function="false" hidden="true" name="IQ_CONSUMER_SPENDING_REAL_SAAR_POP" vbProcedure="false">"c7188"</definedName>
    <definedName function="false" hidden="true" name="IQ_CONSUMER_SPENDING_REAL_SAAR_POP_FC" vbProcedure="false">"c8068"</definedName>
    <definedName function="false" hidden="true" name="IQ_CONSUMER_SPENDING_REAL_SAAR_YOY" vbProcedure="false">"c7408"</definedName>
    <definedName function="false" hidden="true" name="IQ_CONSUMER_SPENDING_REAL_SAAR_YOY_FC" vbProcedure="false">"c8288"</definedName>
    <definedName function="false" hidden="true" name="IQ_CONSUMER_SPENDING_REAL_USD_APR_FC" vbProcedure="false">"c11921"</definedName>
    <definedName function="false" hidden="true" name="IQ_CONSUMER_SPENDING_REAL_USD_FC" vbProcedure="false">"c11918"</definedName>
    <definedName function="false" hidden="true" name="IQ_CONSUMER_SPENDING_REAL_USD_POP_FC" vbProcedure="false">"c11919"</definedName>
    <definedName function="false" hidden="true" name="IQ_CONSUMER_SPENDING_REAL_USD_YOY_FC" vbProcedure="false">"c11920"</definedName>
    <definedName function="false" hidden="true" name="IQ_CONSUMER_SPENDING_REAL_YOY" vbProcedure="false">"c7403"</definedName>
    <definedName function="false" hidden="true" name="IQ_CONSUMER_SPENDING_REAL_YOY_FC" vbProcedure="false">"c8283"</definedName>
    <definedName function="false" hidden="true" name="IQ_CONSUMER_SPENDING_SERVICES" vbProcedure="false">"c6837"</definedName>
    <definedName function="false" hidden="true" name="IQ_CONSUMER_SPENDING_SERVICES_APR" vbProcedure="false">"c7497"</definedName>
    <definedName function="false" hidden="true" name="IQ_CONSUMER_SPENDING_SERVICES_APR_FC" vbProcedure="false">"c8377"</definedName>
    <definedName function="false" hidden="true" name="IQ_CONSUMER_SPENDING_SERVICES_FC" vbProcedure="false">"c7717"</definedName>
    <definedName function="false" hidden="true" name="IQ_CONSUMER_SPENDING_SERVICES_POP" vbProcedure="false">"c7057"</definedName>
    <definedName function="false" hidden="true" name="IQ_CONSUMER_SPENDING_SERVICES_POP_FC" vbProcedure="false">"c7937"</definedName>
    <definedName function="false" hidden="true" name="IQ_CONSUMER_SPENDING_SERVICES_REAL" vbProcedure="false">"c6969"</definedName>
    <definedName function="false" hidden="true" name="IQ_CONSUMER_SPENDING_SERVICES_REAL_APR" vbProcedure="false">"c7629"</definedName>
    <definedName function="false" hidden="true" name="IQ_CONSUMER_SPENDING_SERVICES_REAL_APR_FC" vbProcedure="false">"c8509"</definedName>
    <definedName function="false" hidden="true" name="IQ_CONSUMER_SPENDING_SERVICES_REAL_FC" vbProcedure="false">"c7849"</definedName>
    <definedName function="false" hidden="true" name="IQ_CONSUMER_SPENDING_SERVICES_REAL_POP" vbProcedure="false">"c7189"</definedName>
    <definedName function="false" hidden="true" name="IQ_CONSUMER_SPENDING_SERVICES_REAL_POP_FC" vbProcedure="false">"c8069"</definedName>
    <definedName function="false" hidden="true" name="IQ_CONSUMER_SPENDING_SERVICES_REAL_SAAR" vbProcedure="false">"c6970"</definedName>
    <definedName function="false" hidden="true" name="IQ_CONSUMER_SPENDING_SERVICES_REAL_SAAR_APR" vbProcedure="false">"c7630"</definedName>
    <definedName function="false" hidden="true" name="IQ_CONSUMER_SPENDING_SERVICES_REAL_SAAR_APR_FC" vbProcedure="false">"c8510"</definedName>
    <definedName function="false" hidden="true" name="IQ_CONSUMER_SPENDING_SERVICES_REAL_SAAR_FC" vbProcedure="false">"c7850"</definedName>
    <definedName function="false" hidden="true" name="IQ_CONSUMER_SPENDING_SERVICES_REAL_SAAR_POP" vbProcedure="false">"c7190"</definedName>
    <definedName function="false" hidden="true" name="IQ_CONSUMER_SPENDING_SERVICES_REAL_SAAR_POP_FC" vbProcedure="false">"c8070"</definedName>
    <definedName function="false" hidden="true" name="IQ_CONSUMER_SPENDING_SERVICES_REAL_SAAR_YOY" vbProcedure="false">"c7410"</definedName>
    <definedName function="false" hidden="true" name="IQ_CONSUMER_SPENDING_SERVICES_REAL_SAAR_YOY_FC" vbProcedure="false">"c8290"</definedName>
    <definedName function="false" hidden="true" name="IQ_CONSUMER_SPENDING_SERVICES_REAL_YOY" vbProcedure="false">"c7409"</definedName>
    <definedName function="false" hidden="true" name="IQ_CONSUMER_SPENDING_SERVICES_REAL_YOY_FC" vbProcedure="false">"c8289"</definedName>
    <definedName function="false" hidden="true" name="IQ_CONSUMER_SPENDING_SERVICES_YOY" vbProcedure="false">"c7277"</definedName>
    <definedName function="false" hidden="true" name="IQ_CONSUMER_SPENDING_SERVICES_YOY_FC" vbProcedure="false">"c8157"</definedName>
    <definedName function="false" hidden="true" name="IQ_CONSUMER_SPENDING_YOY" vbProcedure="false">"c7274"</definedName>
    <definedName function="false" hidden="true" name="IQ_CONSUMER_SPENDING_YOY_FC" vbProcedure="false">"c8154"</definedName>
    <definedName function="false" hidden="true" name="IQ_CONTINGENT_LIABILITIES" vbProcedure="false">"c18873"</definedName>
    <definedName function="false" hidden="true" name="IQ_CONTRACTS_OTHER_COMMODITIES_EQUITIES._FDIC" vbProcedure="false">"c6522"</definedName>
    <definedName function="false" hidden="true" name="IQ_CONTRACTS_OTHER_COMMODITIES_EQUITIES_FDIC" vbProcedure="false">"c6522"</definedName>
    <definedName function="false" hidden="true" name="IQ_CONTRACT_OBLIGATION_AFTER_FIVE" vbProcedure="false">"c15691"</definedName>
    <definedName function="false" hidden="true" name="IQ_CONTRACT_OBLIGATION_CY" vbProcedure="false">"c15685"</definedName>
    <definedName function="false" hidden="true" name="IQ_CONTRACT_OBLIGATION_CY1" vbProcedure="false">"c15686"</definedName>
    <definedName function="false" hidden="true" name="IQ_CONTRACT_OBLIGATION_CY2" vbProcedure="false">"c15687"</definedName>
    <definedName function="false" hidden="true" name="IQ_CONTRACT_OBLIGATION_CY3" vbProcedure="false">"c15688"</definedName>
    <definedName function="false" hidden="true" name="IQ_CONTRACT_OBLIGATION_CY4" vbProcedure="false">"c15689"</definedName>
    <definedName function="false" hidden="true" name="IQ_CONTRACT_OBLIGATION_NEXT_FIVE" vbProcedure="false">"c15690"</definedName>
    <definedName function="false" hidden="true" name="IQ_CONTRACT_OBLIGATION_TOTAL" vbProcedure="false">"c15692"</definedName>
    <definedName function="false" hidden="true" name="IQ_CONTRIBUTOR_CIQID" vbProcedure="false">"c13742"</definedName>
    <definedName function="false" hidden="true" name="IQ_CONTRIBUTOR_NAME" vbProcedure="false">"c13735"</definedName>
    <definedName function="false" hidden="true" name="IQ_CONTRIBUTOR_START_DATE" vbProcedure="false">"c13741"</definedName>
    <definedName function="false" hidden="true" name="IQ_CONTRIB_ID_DET_EST" vbProcedure="false">"c12045"</definedName>
    <definedName function="false" hidden="true" name="IQ_CONTRIB_ID_DET_EST_CIQ" vbProcedure="false">"c12105"</definedName>
    <definedName function="false" hidden="true" name="IQ_CONTRIB_ID_DET_EST_THOM" vbProcedure="false">"c12073"</definedName>
    <definedName function="false" hidden="true" name="IQ_CONTRIB_ID_NON_PER_DET_EST" vbProcedure="false">"c13824"</definedName>
    <definedName function="false" hidden="true" name="IQ_CONTRIB_ID_NON_PER_DET_EST_CIQ" vbProcedure="false">"c13825"</definedName>
    <definedName function="false" hidden="true" name="IQ_CONTRIB_NAME_DET_EST" vbProcedure="false">"c12046"</definedName>
    <definedName function="false" hidden="true" name="IQ_CONTRIB_NAME_DET_EST_CIQ" vbProcedure="false">"c12106"</definedName>
    <definedName function="false" hidden="true" name="IQ_CONTRIB_NAME_DET_EST_THOM" vbProcedure="false">"c12074"</definedName>
    <definedName function="false" hidden="true" name="IQ_CONTRIB_NAME_NON_PER_DET_EST" vbProcedure="false">"c12760"</definedName>
    <definedName function="false" hidden="true" name="IQ_CONTRIB_NAME_NON_PER_DET_EST_CIQ" vbProcedure="false">"c12761"</definedName>
    <definedName function="false" hidden="true" name="IQ_CONTRIB_NAME_NON_PER_DET_EST_THOM" vbProcedure="false">"c12764"</definedName>
    <definedName function="false" hidden="true" name="IQ_CONTRIB_REC_DET_EST" vbProcedure="false">"c12051"</definedName>
    <definedName function="false" hidden="true" name="IQ_CONTRIB_REC_DET_EST_CIQ" vbProcedure="false">"c12111"</definedName>
    <definedName function="false" hidden="true" name="IQ_CONTRIB_REC_DET_EST_DATE" vbProcedure="false">"c12204"</definedName>
    <definedName function="false" hidden="true" name="IQ_CONTRIB_REC_DET_EST_DATE_CIQ" vbProcedure="false">"c12257"</definedName>
    <definedName function="false" hidden="true" name="IQ_CONTRIB_REC_DET_EST_DATE_THOM" vbProcedure="false">"c12230"</definedName>
    <definedName function="false" hidden="true" name="IQ_CONTRIB_REC_DET_EST_ORIGIN" vbProcedure="false">"c12577"</definedName>
    <definedName function="false" hidden="true" name="IQ_CONTRIB_REC_DET_EST_ORIGIN_CIQ" vbProcedure="false">"c12626"</definedName>
    <definedName function="false" hidden="true" name="IQ_CONTRIB_REC_DET_EST_ORIGIN_THOM" vbProcedure="false">"c12600"</definedName>
    <definedName function="false" hidden="true" name="IQ_CONTRIB_REC_DET_EST_THOM" vbProcedure="false">"c12080"</definedName>
    <definedName function="false" hidden="true" name="IQ_CONVERSION_COMMON_FFIEC" vbProcedure="false">"c12964"</definedName>
    <definedName function="false" hidden="true" name="IQ_CONVERSION_PREF_FFIEC" vbProcedure="false">"c12962"</definedName>
    <definedName function="false" hidden="true" name="IQ_CONVERT" vbProcedure="false">"c2536"</definedName>
    <definedName function="false" hidden="true" name="IQ_CONVERT_PCT" vbProcedure="false">"c2537"</definedName>
    <definedName function="false" hidden="true" name="IQ_CONVEXITY" vbProcedure="false">"c2182"</definedName>
    <definedName function="false" hidden="true" name="IQ_CONVEYED_TO_OTHERS_FDIC" vbProcedure="false">"c6534"</definedName>
    <definedName function="false" hidden="true" name="IQ_CONV_DATE" vbProcedure="false">"c2191"</definedName>
    <definedName function="false" hidden="true" name="IQ_CONV_EXP_DATE" vbProcedure="false">"c3043"</definedName>
    <definedName function="false" hidden="true" name="IQ_CONV_PREMIUM" vbProcedure="false">"c2195"</definedName>
    <definedName function="false" hidden="true" name="IQ_CONV_PRICE" vbProcedure="false">"c2193"</definedName>
    <definedName function="false" hidden="true" name="IQ_CONV_RATE" vbProcedure="false">"c2192"</definedName>
    <definedName function="false" hidden="true" name="IQ_CONV_RATIO" vbProcedure="false">"c2192"</definedName>
    <definedName function="false" hidden="true" name="IQ_CONV_SECURITY" vbProcedure="false">"c2189"</definedName>
    <definedName function="false" hidden="true" name="IQ_CONV_SECURITY_ISSUER" vbProcedure="false">"c2190"</definedName>
    <definedName function="false" hidden="true" name="IQ_CONV_SECURITY_PRICE" vbProcedure="false">"c2194"</definedName>
    <definedName function="false" hidden="true" name="IQ_COO_ID" vbProcedure="false">"c15222"</definedName>
    <definedName function="false" hidden="true" name="IQ_COO_NAME" vbProcedure="false">"c15221"</definedName>
    <definedName function="false" hidden="true" name="IQ_CORE_CAPITAL_RATIO_FDIC" vbProcedure="false">"c6745"</definedName>
    <definedName function="false" hidden="true" name="IQ_CORE_DEPOSITS_ASSETS_TOT_FFIEC" vbProcedure="false">"c13442"</definedName>
    <definedName function="false" hidden="true" name="IQ_CORE_DEPOSITS_FFIEC" vbProcedure="false">"c13862"</definedName>
    <definedName function="false" hidden="true" name="IQ_CORE_DEPOSITS_TOT_DEPOSITS_FFIEC" vbProcedure="false">"c13911"</definedName>
    <definedName function="false" hidden="true" name="IQ_CORE_TIER_ONE_CAPITAL" vbProcedure="false">"c15244"</definedName>
    <definedName function="false" hidden="true" name="IQ_CORE_TIER_ONE_CAPITAL_RATIO" vbProcedure="false">"c15240"</definedName>
    <definedName function="false" hidden="true" name="IQ_CORPORATE_OVER_TOTAL" vbProcedure="false">"c13767"</definedName>
    <definedName function="false" hidden="true" name="IQ_CORP_GOODS_PRICE_INDEX_APR_FC_UNUSED" vbProcedure="false">"c8381"</definedName>
    <definedName function="false" hidden="true" name="IQ_CORP_GOODS_PRICE_INDEX_APR_FC_UNUSED_UNUSED_UNUSED" vbProcedure="false">"c8381"</definedName>
    <definedName function="false" hidden="true" name="IQ_CORP_GOODS_PRICE_INDEX_APR_UNUSED" vbProcedure="false">"c7501"</definedName>
    <definedName function="false" hidden="true" name="IQ_CORP_GOODS_PRICE_INDEX_APR_UNUSED_UNUSED_UNUSED" vbProcedure="false">"c7501"</definedName>
    <definedName function="false" hidden="true" name="IQ_CORP_GOODS_PRICE_INDEX_FC_UNUSED" vbProcedure="false">"c7721"</definedName>
    <definedName function="false" hidden="true" name="IQ_CORP_GOODS_PRICE_INDEX_FC_UNUSED_UNUSED_UNUSED" vbProcedure="false">"c7721"</definedName>
    <definedName function="false" hidden="true" name="IQ_CORP_GOODS_PRICE_INDEX_POP_FC_UNUSED" vbProcedure="false">"c7941"</definedName>
    <definedName function="false" hidden="true" name="IQ_CORP_GOODS_PRICE_INDEX_POP_FC_UNUSED_UNUSED_UNUSED" vbProcedure="false">"c7941"</definedName>
    <definedName function="false" hidden="true" name="IQ_CORP_GOODS_PRICE_INDEX_POP_UNUSED" vbProcedure="false">"c7061"</definedName>
    <definedName function="false" hidden="true" name="IQ_CORP_GOODS_PRICE_INDEX_POP_UNUSED_UNUSED_UNUSED" vbProcedure="false">"c7061"</definedName>
    <definedName function="false" hidden="true" name="IQ_CORP_GOODS_PRICE_INDEX_UNUSED" vbProcedure="false">"c6841"</definedName>
    <definedName function="false" hidden="true" name="IQ_CORP_GOODS_PRICE_INDEX_UNUSED_UNUSED_UNUSED" vbProcedure="false">"c6841"</definedName>
    <definedName function="false" hidden="true" name="IQ_CORP_GOODS_PRICE_INDEX_YOY_FC_UNUSED" vbProcedure="false">"c8161"</definedName>
    <definedName function="false" hidden="true" name="IQ_CORP_GOODS_PRICE_INDEX_YOY_FC_UNUSED_UNUSED_UNUSED" vbProcedure="false">"c8161"</definedName>
    <definedName function="false" hidden="true" name="IQ_CORP_GOODS_PRICE_INDEX_YOY_UNUSED" vbProcedure="false">"c7281"</definedName>
    <definedName function="false" hidden="true" name="IQ_CORP_GOODS_PRICE_INDEX_YOY_UNUSED_UNUSED_UNUSED" vbProcedure="false">"c7281"</definedName>
    <definedName function="false" hidden="true" name="IQ_CORP_PROFITS" vbProcedure="false">"c6843"</definedName>
    <definedName function="false" hidden="true" name="IQ_CORP_PROFITS_AFTER_TAX_SAAR" vbProcedure="false">"c6842"</definedName>
    <definedName function="false" hidden="true" name="IQ_CORP_PROFITS_AFTER_TAX_SAAR_APR" vbProcedure="false">"c7502"</definedName>
    <definedName function="false" hidden="true" name="IQ_CORP_PROFITS_AFTER_TAX_SAAR_APR_FC" vbProcedure="false">"c8382"</definedName>
    <definedName function="false" hidden="true" name="IQ_CORP_PROFITS_AFTER_TAX_SAAR_FC" vbProcedure="false">"c7722"</definedName>
    <definedName function="false" hidden="true" name="IQ_CORP_PROFITS_AFTER_TAX_SAAR_POP" vbProcedure="false">"c7062"</definedName>
    <definedName function="false" hidden="true" name="IQ_CORP_PROFITS_AFTER_TAX_SAAR_POP_FC" vbProcedure="false">"c7942"</definedName>
    <definedName function="false" hidden="true" name="IQ_CORP_PROFITS_AFTER_TAX_SAAR_YOY" vbProcedure="false">"c7282"</definedName>
    <definedName function="false" hidden="true" name="IQ_CORP_PROFITS_AFTER_TAX_SAAR_YOY_FC" vbProcedure="false">"c8162"</definedName>
    <definedName function="false" hidden="true" name="IQ_CORP_PROFITS_APR" vbProcedure="false">"c7503"</definedName>
    <definedName function="false" hidden="true" name="IQ_CORP_PROFITS_APR_FC" vbProcedure="false">"c8383"</definedName>
    <definedName function="false" hidden="true" name="IQ_CORP_PROFITS_FC" vbProcedure="false">"c7723"</definedName>
    <definedName function="false" hidden="true" name="IQ_CORP_PROFITS_POP" vbProcedure="false">"c7063"</definedName>
    <definedName function="false" hidden="true" name="IQ_CORP_PROFITS_POP_FC" vbProcedure="false">"c7943"</definedName>
    <definedName function="false" hidden="true" name="IQ_CORP_PROFITS_SAAR" vbProcedure="false">"c6844"</definedName>
    <definedName function="false" hidden="true" name="IQ_CORP_PROFITS_SAAR_APR" vbProcedure="false">"c7504"</definedName>
    <definedName function="false" hidden="true" name="IQ_CORP_PROFITS_SAAR_APR_FC" vbProcedure="false">"c8384"</definedName>
    <definedName function="false" hidden="true" name="IQ_CORP_PROFITS_SAAR_FC" vbProcedure="false">"c7724"</definedName>
    <definedName function="false" hidden="true" name="IQ_CORP_PROFITS_SAAR_POP" vbProcedure="false">"c7064"</definedName>
    <definedName function="false" hidden="true" name="IQ_CORP_PROFITS_SAAR_POP_FC" vbProcedure="false">"c7944"</definedName>
    <definedName function="false" hidden="true" name="IQ_CORP_PROFITS_SAAR_YOY" vbProcedure="false">"c7284"</definedName>
    <definedName function="false" hidden="true" name="IQ_CORP_PROFITS_SAAR_YOY_FC" vbProcedure="false">"c8164"</definedName>
    <definedName function="false" hidden="true" name="IQ_CORP_PROFITS_YOY" vbProcedure="false">"c7283"</definedName>
    <definedName function="false" hidden="true" name="IQ_CORP_PROFITS_YOY_FC" vbProcedure="false">"c8163"</definedName>
    <definedName function="false" hidden="true" name="IQ_COST_BORROWED_FUNDS_FFIEC" vbProcedure="false">"c13492"</definedName>
    <definedName function="false" hidden="true" name="IQ_COST_BORROWING" vbProcedure="false">"c2936"</definedName>
    <definedName function="false" hidden="true" name="IQ_COST_BORROWINGS" vbProcedure="false">"c225"</definedName>
    <definedName function="false" hidden="true" name="IQ_COST_CAPITAL_NEW_BUSINESS" vbProcedure="false">"c9968"</definedName>
    <definedName function="false" hidden="true" name="IQ_COST_FOREIGN_DEPOSITS_FFIEC" vbProcedure="false">"c13490"</definedName>
    <definedName function="false" hidden="true" name="IQ_COST_FUNDS" vbProcedure="false">"c15726"</definedName>
    <definedName function="false" hidden="true" name="IQ_COST_FUNDS_PURCHASED_FFIEC" vbProcedure="false">"c13491"</definedName>
    <definedName function="false" hidden="true" name="IQ_COST_INT_DEPOSITS_FFIEC" vbProcedure="false">"c13489"</definedName>
    <definedName function="false" hidden="true" name="IQ_COST_OF_FUNDING_ASSETS_FDIC" vbProcedure="false">"c6725"</definedName>
    <definedName function="false" hidden="true" name="IQ_COST_REV" vbProcedure="false">"c226"</definedName>
    <definedName function="false" hidden="true" name="IQ_COST_REVENUE" vbProcedure="false">"c1359"</definedName>
    <definedName function="false" hidden="true" name="IQ_COST_SALES_COAL" vbProcedure="false">"c15933"</definedName>
    <definedName function="false" hidden="true" name="IQ_COST_SALES_PER_UNIT_SOLD_COAL" vbProcedure="false">"c15944"</definedName>
    <definedName function="false" hidden="true" name="IQ_COST_SALES_TO_SALES_COAL" vbProcedure="false">"c15951"</definedName>
    <definedName function="false" hidden="true" name="IQ_COST_SAVINGS" vbProcedure="false">"c227"</definedName>
    <definedName function="false" hidden="true" name="IQ_COST_SERVICE" vbProcedure="false">"c228"</definedName>
    <definedName function="false" hidden="true" name="IQ_COST_SOLVENCY_CAPITAL_COVERED" vbProcedure="false">"c9965"</definedName>
    <definedName function="false" hidden="true" name="IQ_COST_SOLVENCY_CAPITAL_GROUP" vbProcedure="false">"c9951"</definedName>
    <definedName function="false" hidden="true" name="IQ_COST_TOTAL_BORROWINGS" vbProcedure="false">"c229"</definedName>
    <definedName function="false" hidden="true" name="IQ_COUNTRY_NAME" vbProcedure="false">"c230"</definedName>
    <definedName function="false" hidden="true" name="IQ_COUNTRY_NAME_ECON" vbProcedure="false">"c11752"</definedName>
    <definedName function="false" hidden="true" name="IQ_COUPON_FORMULA" vbProcedure="false">"c8965"</definedName>
    <definedName function="false" hidden="true" name="IQ_COVERAGE_RATIO" vbProcedure="false">"c15243"</definedName>
    <definedName function="false" hidden="true" name="IQ_COVERED_POPS" vbProcedure="false">"c2124"</definedName>
    <definedName function="false" hidden="true" name="IQ_COVERED_WIRELESS_POPS" vbProcedure="false">"c2124"</definedName>
    <definedName function="false" hidden="true" name="IQ_CO_INVESTORS" vbProcedure="false">"c18910"</definedName>
    <definedName function="false" hidden="true" name="IQ_CO_INVESTORS_ID" vbProcedure="false">"c18911"</definedName>
    <definedName function="false" hidden="true" name="IQ_CO_INVESTORS_INVESTMENT" vbProcedure="false">"c19113"</definedName>
    <definedName function="false" hidden="true" name="IQ_CO_INVESTORS_NUM_INVESTMENTS" vbProcedure="false">"c19170"</definedName>
    <definedName function="false" hidden="true" name="IQ_CP" vbProcedure="false">"c2495"</definedName>
    <definedName function="false" hidden="true" name="IQ_CPI" vbProcedure="false">"c6845"</definedName>
    <definedName function="false" hidden="true" name="IQ_CPI_APR" vbProcedure="false">"c7505"</definedName>
    <definedName function="false" hidden="true" name="IQ_CPI_APR_FC" vbProcedure="false">"c8385"</definedName>
    <definedName function="false" hidden="true" name="IQ_CPI_CORE" vbProcedure="false">"c6838"</definedName>
    <definedName function="false" hidden="true" name="IQ_CPI_CORE_APR" vbProcedure="false">"c7498"</definedName>
    <definedName function="false" hidden="true" name="IQ_CPI_CORE_POP" vbProcedure="false">"c7058"</definedName>
    <definedName function="false" hidden="true" name="IQ_CPI_CORE_YOY" vbProcedure="false">"c7278"</definedName>
    <definedName function="false" hidden="true" name="IQ_CPI_FC" vbProcedure="false">"c7725"</definedName>
    <definedName function="false" hidden="true" name="IQ_CPI_POP" vbProcedure="false">"c7065"</definedName>
    <definedName function="false" hidden="true" name="IQ_CPI_POP_FC" vbProcedure="false">"c7945"</definedName>
    <definedName function="false" hidden="true" name="IQ_CPI_YOY" vbProcedure="false">"c7285"</definedName>
    <definedName function="false" hidden="true" name="IQ_CPI_YOY_FC" vbProcedure="false">"c8165"</definedName>
    <definedName function="false" hidden="true" name="IQ_CP_PCT" vbProcedure="false">"c2496"</definedName>
    <definedName function="false" hidden="true" name="IQ_CQ" vbProcedure="false">5000</definedName>
    <definedName function="false" hidden="true" name="IQ_CREDIT_CARDS_CONSUMER_LOANS_FFIEC" vbProcedure="false">"c12822"</definedName>
    <definedName function="false" hidden="true" name="IQ_CREDIT_CARDS_LL_REC_FFIEC" vbProcedure="false">"c12889"</definedName>
    <definedName function="false" hidden="true" name="IQ_CREDIT_CARDS_LOANS_TRADING_DOM_FFIEC" vbProcedure="false">"c12933"</definedName>
    <definedName function="false" hidden="true" name="IQ_CREDIT_CARD_CHARGE_OFFS_FDIC" vbProcedure="false">"c6652"</definedName>
    <definedName function="false" hidden="true" name="IQ_CREDIT_CARD_FEE_BNK" vbProcedure="false">"c231"</definedName>
    <definedName function="false" hidden="true" name="IQ_CREDIT_CARD_FEE_FIN" vbProcedure="false">"c1583"</definedName>
    <definedName function="false" hidden="true" name="IQ_CREDIT_CARD_GROSS_LOANS_FFIEC" vbProcedure="false">"c13412"</definedName>
    <definedName function="false" hidden="true" name="IQ_CREDIT_CARD_INTERCHANGE_FEES_FFIEC" vbProcedure="false">"c13046"</definedName>
    <definedName function="false" hidden="true" name="IQ_CREDIT_CARD_LINES_FDIC" vbProcedure="false">"c6525"</definedName>
    <definedName function="false" hidden="true" name="IQ_CREDIT_CARD_LINES_UNUSED_FFIEC" vbProcedure="false">"c13242"</definedName>
    <definedName function="false" hidden="true" name="IQ_CREDIT_CARD_LOANS_CHARGE_OFFS_FFIEC" vbProcedure="false">"c13180"</definedName>
    <definedName function="false" hidden="true" name="IQ_CREDIT_CARD_LOANS_DOM_QUARTERLY_AVG_FFIEC" vbProcedure="false">"c15480"</definedName>
    <definedName function="false" hidden="true" name="IQ_CREDIT_CARD_LOANS_DUE_30_89_FFIEC" vbProcedure="false">"c13272"</definedName>
    <definedName function="false" hidden="true" name="IQ_CREDIT_CARD_LOANS_DUE_90_FFIEC" vbProcedure="false">"c13298"</definedName>
    <definedName function="false" hidden="true" name="IQ_CREDIT_CARD_LOANS_FDIC" vbProcedure="false">"c6319"</definedName>
    <definedName function="false" hidden="true" name="IQ_CREDIT_CARD_LOANS_NON_ACCRUAL_FFIEC" vbProcedure="false">"c13324"</definedName>
    <definedName function="false" hidden="true" name="IQ_CREDIT_CARD_LOANS_RECOV_FFIEC" vbProcedure="false">"c13202"</definedName>
    <definedName function="false" hidden="true" name="IQ_CREDIT_CARD_NET_CHARGE_OFFS_FDIC" vbProcedure="false">"c6654"</definedName>
    <definedName function="false" hidden="true" name="IQ_CREDIT_CARD_RECOVERIES_FDIC" vbProcedure="false">"c6653"</definedName>
    <definedName function="false" hidden="true" name="IQ_CREDIT_CARD_RISK_BASED_FFIEC" vbProcedure="false">"c13433"</definedName>
    <definedName function="false" hidden="true" name="IQ_CREDIT_EXPOSURE" vbProcedure="false">"c10038"</definedName>
    <definedName function="false" hidden="true" name="IQ_CREDIT_EXPOSURE_FFIEC" vbProcedure="false">"c13062"</definedName>
    <definedName function="false" hidden="true" name="IQ_CREDIT_LOSSES_DERIVATIVES_FFIEC" vbProcedure="false">"c13068"</definedName>
    <definedName function="false" hidden="true" name="IQ_CREDIT_LOSS_CF" vbProcedure="false">"c232"</definedName>
    <definedName function="false" hidden="true" name="IQ_CREDIT_LOSS_PROVISION_NET_CHARGE_OFFS_FDIC" vbProcedure="false">"c6734"</definedName>
    <definedName function="false" hidden="true" name="IQ_CREDIT_OPTIONS_DERIVATIVES_BENEFICIARY_FFIEC" vbProcedure="false">"c13121"</definedName>
    <definedName function="false" hidden="true" name="IQ_CREDIT_OPTIONS_DERIVATIVES_GUARANTOR_FFIEC" vbProcedure="false">"c13114"</definedName>
    <definedName function="false" hidden="true" name="IQ_CUMULATIVE_PREFERREDS_T2_FFIEC" vbProcedure="false">"c13145"</definedName>
    <definedName function="false" hidden="true" name="IQ_CUMULATIVE_SPLIT_FACTOR" vbProcedure="false">"c2094"</definedName>
    <definedName function="false" hidden="true" name="IQ_CURRENCY_COIN_DOMESTIC_FDIC" vbProcedure="false">"c6388"</definedName>
    <definedName function="false" hidden="true" name="IQ_CURRENCY_COIN_DOM_FFIEC" vbProcedure="false">"c15287"</definedName>
    <definedName function="false" hidden="true" name="IQ_CURRENCY_FACTOR_BS" vbProcedure="false">"c233"</definedName>
    <definedName function="false" hidden="true" name="IQ_CURRENCY_FACTOR_IS" vbProcedure="false">"c234"</definedName>
    <definedName function="false" hidden="true" name="IQ_CURRENCY_GAIN" vbProcedure="false">"c235"</definedName>
    <definedName function="false" hidden="true" name="IQ_CURRENCY_GAIN_BR" vbProcedure="false">"c236"</definedName>
    <definedName function="false" hidden="true" name="IQ_CURRENCY_GAIN_FIN" vbProcedure="false">"c237"</definedName>
    <definedName function="false" hidden="true" name="IQ_CURRENCY_GAIN_INS" vbProcedure="false">"c238"</definedName>
    <definedName function="false" hidden="true" name="IQ_CURRENCY_GAIN_RE" vbProcedure="false">"c6205"</definedName>
    <definedName function="false" hidden="true" name="IQ_CURRENCY_GAIN_REIT" vbProcedure="false">"c239"</definedName>
    <definedName function="false" hidden="true" name="IQ_CURRENCY_GAIN_UTI" vbProcedure="false">"c240"</definedName>
    <definedName function="false" hidden="true" name="IQ_CURRENT_BENCHMARK" vbProcedure="false">"c6780"</definedName>
    <definedName function="false" hidden="true" name="IQ_CURRENT_BENCHMARK_CIQID" vbProcedure="false">"c6781"</definedName>
    <definedName function="false" hidden="true" name="IQ_CURRENT_BENCHMARK_MATURITY" vbProcedure="false">"c6782"</definedName>
    <definedName function="false" hidden="true" name="IQ_CURRENT_PORT" vbProcedure="false">"c241"</definedName>
    <definedName function="false" hidden="true" name="IQ_CURRENT_PORT_BNK" vbProcedure="false">"c242"</definedName>
    <definedName function="false" hidden="true" name="IQ_CURRENT_PORT_DEBT" vbProcedure="false">"c243"</definedName>
    <definedName function="false" hidden="true" name="IQ_CURRENT_PORT_DEBT_BNK" vbProcedure="false">"c244"</definedName>
    <definedName function="false" hidden="true" name="IQ_CURRENT_PORT_DEBT_BR" vbProcedure="false">"c1567"</definedName>
    <definedName function="false" hidden="true" name="IQ_CURRENT_PORT_DEBT_FIN" vbProcedure="false">"c1568"</definedName>
    <definedName function="false" hidden="true" name="IQ_CURRENT_PORT_DEBT_INS" vbProcedure="false">"c1569"</definedName>
    <definedName function="false" hidden="true" name="IQ_CURRENT_PORT_DEBT_RE" vbProcedure="false">"c6283"</definedName>
    <definedName function="false" hidden="true" name="IQ_CURRENT_PORT_DEBT_REIT" vbProcedure="false">"c1570"</definedName>
    <definedName function="false" hidden="true" name="IQ_CURRENT_PORT_DEBT_UTI" vbProcedure="false">"c1571"</definedName>
    <definedName function="false" hidden="true" name="IQ_CURRENT_PORT_FHLB_DEBT" vbProcedure="false">"c5657"</definedName>
    <definedName function="false" hidden="true" name="IQ_CURRENT_PORT_LEASES" vbProcedure="false">"c245"</definedName>
    <definedName function="false" hidden="true" name="IQ_CURRENT_PORT_PCT" vbProcedure="false">"c2541"</definedName>
    <definedName function="false" hidden="true" name="IQ_CURRENT_RATIO" vbProcedure="false">"c246"</definedName>
    <definedName function="false" hidden="true" name="IQ_CURR_ACCT_BALANCE_APR_FC_UNUSED" vbProcedure="false">"c8387"</definedName>
    <definedName function="false" hidden="true" name="IQ_CURR_ACCT_BALANCE_APR_FC_UNUSED_UNUSED_UNUSED" vbProcedure="false">"c8387"</definedName>
    <definedName function="false" hidden="true" name="IQ_CURR_ACCT_BALANCE_APR_UNUSED" vbProcedure="false">"c7507"</definedName>
    <definedName function="false" hidden="true" name="IQ_CURR_ACCT_BALANCE_APR_UNUSED_UNUSED_UNUSED" vbProcedure="false">"c7507"</definedName>
    <definedName function="false" hidden="true" name="IQ_CURR_ACCT_BALANCE_FC_UNUSED" vbProcedure="false">"c7727"</definedName>
    <definedName function="false" hidden="true" name="IQ_CURR_ACCT_BALANCE_FC_UNUSED_UNUSED_UNUSED" vbProcedure="false">"c7727"</definedName>
    <definedName function="false" hidden="true" name="IQ_CURR_ACCT_BALANCE_PCT" vbProcedure="false">"c6846"</definedName>
    <definedName function="false" hidden="true" name="IQ_CURR_ACCT_BALANCE_PCT_FC" vbProcedure="false">"c7726"</definedName>
    <definedName function="false" hidden="true" name="IQ_CURR_ACCT_BALANCE_PCT_POP" vbProcedure="false">"c7066"</definedName>
    <definedName function="false" hidden="true" name="IQ_CURR_ACCT_BALANCE_PCT_POP_FC" vbProcedure="false">"c7946"</definedName>
    <definedName function="false" hidden="true" name="IQ_CURR_ACCT_BALANCE_PCT_YOY" vbProcedure="false">"c7286"</definedName>
    <definedName function="false" hidden="true" name="IQ_CURR_ACCT_BALANCE_PCT_YOY_FC" vbProcedure="false">"c8166"</definedName>
    <definedName function="false" hidden="true" name="IQ_CURR_ACCT_BALANCE_POP_FC_UNUSED" vbProcedure="false">"c7947"</definedName>
    <definedName function="false" hidden="true" name="IQ_CURR_ACCT_BALANCE_POP_FC_UNUSED_UNUSED_UNUSED" vbProcedure="false">"c7947"</definedName>
    <definedName function="false" hidden="true" name="IQ_CURR_ACCT_BALANCE_POP_UNUSED" vbProcedure="false">"c7067"</definedName>
    <definedName function="false" hidden="true" name="IQ_CURR_ACCT_BALANCE_POP_UNUSED_UNUSED_UNUSED" vbProcedure="false">"c7067"</definedName>
    <definedName function="false" hidden="true" name="IQ_CURR_ACCT_BALANCE_SAAR" vbProcedure="false">"c6848"</definedName>
    <definedName function="false" hidden="true" name="IQ_CURR_ACCT_BALANCE_SAAR_APR" vbProcedure="false">"c7508"</definedName>
    <definedName function="false" hidden="true" name="IQ_CURR_ACCT_BALANCE_SAAR_APR_FC" vbProcedure="false">"c8388"</definedName>
    <definedName function="false" hidden="true" name="IQ_CURR_ACCT_BALANCE_SAAR_FC" vbProcedure="false">"c7728"</definedName>
    <definedName function="false" hidden="true" name="IQ_CURR_ACCT_BALANCE_SAAR_POP" vbProcedure="false">"c7068"</definedName>
    <definedName function="false" hidden="true" name="IQ_CURR_ACCT_BALANCE_SAAR_POP_FC" vbProcedure="false">"c7948"</definedName>
    <definedName function="false" hidden="true" name="IQ_CURR_ACCT_BALANCE_SAAR_USD_APR_FC" vbProcedure="false">"c11797"</definedName>
    <definedName function="false" hidden="true" name="IQ_CURR_ACCT_BALANCE_SAAR_USD_FC" vbProcedure="false">"c11794"</definedName>
    <definedName function="false" hidden="true" name="IQ_CURR_ACCT_BALANCE_SAAR_USD_POP_FC" vbProcedure="false">"c11795"</definedName>
    <definedName function="false" hidden="true" name="IQ_CURR_ACCT_BALANCE_SAAR_USD_YOY_FC" vbProcedure="false">"c11796"</definedName>
    <definedName function="false" hidden="true" name="IQ_CURR_ACCT_BALANCE_SAAR_YOY" vbProcedure="false">"c7288"</definedName>
    <definedName function="false" hidden="true" name="IQ_CURR_ACCT_BALANCE_SAAR_YOY_FC" vbProcedure="false">"c8168"</definedName>
    <definedName function="false" hidden="true" name="IQ_CURR_ACCT_BALANCE_UNUSED" vbProcedure="false">"c6847"</definedName>
    <definedName function="false" hidden="true" name="IQ_CURR_ACCT_BALANCE_UNUSED_UNUSED_UNUSED" vbProcedure="false">"c6847"</definedName>
    <definedName function="false" hidden="true" name="IQ_CURR_ACCT_BALANCE_USD" vbProcedure="false">"c11786"</definedName>
    <definedName function="false" hidden="true" name="IQ_CURR_ACCT_BALANCE_USD_APR" vbProcedure="false">"c11789"</definedName>
    <definedName function="false" hidden="true" name="IQ_CURR_ACCT_BALANCE_USD_APR_FC" vbProcedure="false">"c11793"</definedName>
    <definedName function="false" hidden="true" name="IQ_CURR_ACCT_BALANCE_USD_FC" vbProcedure="false">"c11790"</definedName>
    <definedName function="false" hidden="true" name="IQ_CURR_ACCT_BALANCE_USD_POP" vbProcedure="false">"c11787"</definedName>
    <definedName function="false" hidden="true" name="IQ_CURR_ACCT_BALANCE_USD_POP_FC" vbProcedure="false">"c11791"</definedName>
    <definedName function="false" hidden="true" name="IQ_CURR_ACCT_BALANCE_USD_YOY" vbProcedure="false">"c11788"</definedName>
    <definedName function="false" hidden="true" name="IQ_CURR_ACCT_BALANCE_USD_YOY_FC" vbProcedure="false">"c11792"</definedName>
    <definedName function="false" hidden="true" name="IQ_CURR_ACCT_BALANCE_YOY_FC_UNUSED" vbProcedure="false">"c8167"</definedName>
    <definedName function="false" hidden="true" name="IQ_CURR_ACCT_BALANCE_YOY_FC_UNUSED_UNUSED_UNUSED" vbProcedure="false">"c8167"</definedName>
    <definedName function="false" hidden="true" name="IQ_CURR_ACCT_BALANCE_YOY_UNUSED" vbProcedure="false">"c7287"</definedName>
    <definedName function="false" hidden="true" name="IQ_CURR_ACCT_BALANCE_YOY_UNUSED_UNUSED_UNUSED" vbProcedure="false">"c7287"</definedName>
    <definedName function="false" hidden="true" name="IQ_CURR_ACCT_INC_RECEIPTS" vbProcedure="false">"c6849"</definedName>
    <definedName function="false" hidden="true" name="IQ_CURR_ACCT_INC_RECEIPTS_APR" vbProcedure="false">"c7509"</definedName>
    <definedName function="false" hidden="true" name="IQ_CURR_ACCT_INC_RECEIPTS_APR_FC" vbProcedure="false">"c8389"</definedName>
    <definedName function="false" hidden="true" name="IQ_CURR_ACCT_INC_RECEIPTS_FC" vbProcedure="false">"c7729"</definedName>
    <definedName function="false" hidden="true" name="IQ_CURR_ACCT_INC_RECEIPTS_POP" vbProcedure="false">"c7069"</definedName>
    <definedName function="false" hidden="true" name="IQ_CURR_ACCT_INC_RECEIPTS_POP_FC" vbProcedure="false">"c7949"</definedName>
    <definedName function="false" hidden="true" name="IQ_CURR_ACCT_INC_RECEIPTS_YOY" vbProcedure="false">"c7289"</definedName>
    <definedName function="false" hidden="true" name="IQ_CURR_ACCT_INC_RECEIPTS_YOY_FC" vbProcedure="false">"c8169"</definedName>
    <definedName function="false" hidden="true" name="IQ_CURR_DOMESTIC_TAXES" vbProcedure="false">"c2074"</definedName>
    <definedName function="false" hidden="true" name="IQ_CURR_FOREIGN_TAXES" vbProcedure="false">"c2075"</definedName>
    <definedName function="false" hidden="true" name="IQ_CURR_TAXES" vbProcedure="false">"c19141"</definedName>
    <definedName function="false" hidden="true" name="IQ_CUSIP" vbProcedure="false">"c2245"</definedName>
    <definedName function="false" hidden="true" name="IQ_CUSTOMER_LIAB_ACCEPTANCES_OUT_FFIEC" vbProcedure="false">"c12835"</definedName>
    <definedName function="false" hidden="true" name="IQ_CUST_PREMISE_EQUIP_CABLE_INVEST" vbProcedure="false">"c15801"</definedName>
    <definedName function="false" hidden="true" name="IQ_CY" vbProcedure="false">10000</definedName>
    <definedName function="false" hidden="true" name="IQ_DA" vbProcedure="false">"c247"</definedName>
    <definedName function="false" hidden="true" name="IQ_DAILY" vbProcedure="false">500000</definedName>
    <definedName function="false" hidden="true" name="IQ_DART" vbProcedure="false">"c20427"</definedName>
    <definedName function="false" hidden="true" name="IQ_DATA_PROCESSING_EXP_FFIEC" vbProcedure="false">"c13047"</definedName>
    <definedName function="false" hidden="true" name="IQ_DATA_SET" vbProcedure="false">"c19244"</definedName>
    <definedName function="false" hidden="true" name="IQ_DATED_DATE" vbProcedure="false">"c2185"</definedName>
    <definedName function="false" hidden="true" name="IQ_DAYS_COVER_SHORT" vbProcedure="false">"c1578"</definedName>
    <definedName function="false" hidden="true" name="IQ_DAYS_DELAY" vbProcedure="false">"c8963"</definedName>
    <definedName function="false" hidden="true" name="IQ_DAYS_INVENTORY_OUT" vbProcedure="false">"c273"</definedName>
    <definedName function="false" hidden="true" name="IQ_DAYS_PAYABLE_OUT" vbProcedure="false">"c274"</definedName>
    <definedName function="false" hidden="true" name="IQ_DAYS_PAY_OUTST" vbProcedure="false">"c1362"</definedName>
    <definedName function="false" hidden="true" name="IQ_DAYS_SALES_OUT" vbProcedure="false">"c275"</definedName>
    <definedName function="false" hidden="true" name="IQ_DAYS_SALES_OUTST" vbProcedure="false">"c1363"</definedName>
    <definedName function="false" hidden="true" name="IQ_DAY_COUNT" vbProcedure="false">"c2161"</definedName>
    <definedName function="false" hidden="true" name="IQ_DA_BR" vbProcedure="false">"c248"</definedName>
    <definedName function="false" hidden="true" name="IQ_DA_CF" vbProcedure="false">"c249"</definedName>
    <definedName function="false" hidden="true" name="IQ_DA_CF_BNK" vbProcedure="false">"c250"</definedName>
    <definedName function="false" hidden="true" name="IQ_DA_CF_BR" vbProcedure="false">"c251"</definedName>
    <definedName function="false" hidden="true" name="IQ_DA_CF_FIN" vbProcedure="false">"c252"</definedName>
    <definedName function="false" hidden="true" name="IQ_DA_CF_INS" vbProcedure="false">"c253"</definedName>
    <definedName function="false" hidden="true" name="IQ_DA_CF_RE" vbProcedure="false">"c6206"</definedName>
    <definedName function="false" hidden="true" name="IQ_DA_CF_REIT" vbProcedure="false">"c254"</definedName>
    <definedName function="false" hidden="true" name="IQ_DA_CF_UTI" vbProcedure="false">"c255"</definedName>
    <definedName function="false" hidden="true" name="IQ_DA_EBITDA" vbProcedure="false">"c5528"</definedName>
    <definedName function="false" hidden="true" name="IQ_DA_FIN" vbProcedure="false">"c256"</definedName>
    <definedName function="false" hidden="true" name="IQ_DA_INS" vbProcedure="false">"c257"</definedName>
    <definedName function="false" hidden="true" name="IQ_DA_RE" vbProcedure="false">"c6207"</definedName>
    <definedName function="false" hidden="true" name="IQ_DA_REIT" vbProcedure="false">"c258"</definedName>
    <definedName function="false" hidden="true" name="IQ_DA_SUPPL" vbProcedure="false">"c259"</definedName>
    <definedName function="false" hidden="true" name="IQ_DA_SUPPL_BR" vbProcedure="false">"c260"</definedName>
    <definedName function="false" hidden="true" name="IQ_DA_SUPPL_CF" vbProcedure="false">"c261"</definedName>
    <definedName function="false" hidden="true" name="IQ_DA_SUPPL_CF_BNK" vbProcedure="false">"c262"</definedName>
    <definedName function="false" hidden="true" name="IQ_DA_SUPPL_CF_BR" vbProcedure="false">"c263"</definedName>
    <definedName function="false" hidden="true" name="IQ_DA_SUPPL_CF_FIN" vbProcedure="false">"c264"</definedName>
    <definedName function="false" hidden="true" name="IQ_DA_SUPPL_CF_INS" vbProcedure="false">"c265"</definedName>
    <definedName function="false" hidden="true" name="IQ_DA_SUPPL_CF_RE" vbProcedure="false">"c6208"</definedName>
    <definedName function="false" hidden="true" name="IQ_DA_SUPPL_CF_REIT" vbProcedure="false">"c266"</definedName>
    <definedName function="false" hidden="true" name="IQ_DA_SUPPL_CF_UTI" vbProcedure="false">"c267"</definedName>
    <definedName function="false" hidden="true" name="IQ_DA_SUPPL_FIN" vbProcedure="false">"c268"</definedName>
    <definedName function="false" hidden="true" name="IQ_DA_SUPPL_INS" vbProcedure="false">"c269"</definedName>
    <definedName function="false" hidden="true" name="IQ_DA_SUPPL_RE" vbProcedure="false">"c6209"</definedName>
    <definedName function="false" hidden="true" name="IQ_DA_SUPPL_REIT" vbProcedure="false">"c270"</definedName>
    <definedName function="false" hidden="true" name="IQ_DA_SUPPL_UTI" vbProcedure="false">"c271"</definedName>
    <definedName function="false" hidden="true" name="IQ_DA_UTI" vbProcedure="false">"c272"</definedName>
    <definedName function="false" hidden="true" name="IQ_DEBT_1_5_INVEST_SECURITIES_FFIEC" vbProcedure="false">"c13465"</definedName>
    <definedName function="false" hidden="true" name="IQ_DEBT_ADJ" vbProcedure="false">"c2515"</definedName>
    <definedName function="false" hidden="true" name="IQ_DEBT_ADJ_PCT" vbProcedure="false">"c2516"</definedName>
    <definedName function="false" hidden="true" name="IQ_DEBT_EQUITY_EST" vbProcedure="false">"c4257"</definedName>
    <definedName function="false" hidden="true" name="IQ_DEBT_EQUITY_EST_CIQ" vbProcedure="false">"c4783"</definedName>
    <definedName function="false" hidden="true" name="IQ_DEBT_EQUITY_HIGH_EST" vbProcedure="false">"c4258"</definedName>
    <definedName function="false" hidden="true" name="IQ_DEBT_EQUITY_HIGH_EST_CIQ" vbProcedure="false">"c4784"</definedName>
    <definedName function="false" hidden="true" name="IQ_DEBT_EQUITY_LOW_EST" vbProcedure="false">"c4259"</definedName>
    <definedName function="false" hidden="true" name="IQ_DEBT_EQUITY_LOW_EST_CIQ" vbProcedure="false">"c4785"</definedName>
    <definedName function="false" hidden="true" name="IQ_DEBT_EQUITY_MEDIAN_EST" vbProcedure="false">"c4260"</definedName>
    <definedName function="false" hidden="true" name="IQ_DEBT_EQUITY_MEDIAN_EST_CIQ" vbProcedure="false">"c4786"</definedName>
    <definedName function="false" hidden="true" name="IQ_DEBT_EQUITY_NUM_EST" vbProcedure="false">"c4261"</definedName>
    <definedName function="false" hidden="true" name="IQ_DEBT_EQUITY_NUM_EST_CIQ" vbProcedure="false">"c4787"</definedName>
    <definedName function="false" hidden="true" name="IQ_DEBT_EQUITY_STDDEV_EST" vbProcedure="false">"c4262"</definedName>
    <definedName function="false" hidden="true" name="IQ_DEBT_EQUITY_STDDEV_EST_CIQ" vbProcedure="false">"c4788"</definedName>
    <definedName function="false" hidden="true" name="IQ_DEBT_EQUIV_NET_PBO" vbProcedure="false">"c2938"</definedName>
    <definedName function="false" hidden="true" name="IQ_DEBT_EQUIV_OPER_LEASE" vbProcedure="false">"c2935"</definedName>
    <definedName function="false" hidden="true" name="IQ_DEBT_LESS_1YR_INVEST_SECURITIES_FFIEC" vbProcedure="false">"c13464"</definedName>
    <definedName function="false" hidden="true" name="IQ_DEBT_MATURING_MORE_THAN_ONE_YEAR_FFIEC" vbProcedure="false">"c13164"</definedName>
    <definedName function="false" hidden="true" name="IQ_DEBT_MATURING_WITHIN_ONE_YEAR_FFIEC" vbProcedure="false">"c13163"</definedName>
    <definedName function="false" hidden="true" name="IQ_DEBT_SECURITIES_FOREIGN_FFIEC" vbProcedure="false">"c13484"</definedName>
    <definedName function="false" hidden="true" name="IQ_DEBT_SECURITIES_OTHER_ASSETS_DUE_30_89_FFIEC" vbProcedure="false">"c13279"</definedName>
    <definedName function="false" hidden="true" name="IQ_DEBT_SECURITIES_OTHER_ASSETS_DUE_90_FFIEC" vbProcedure="false">"c13305"</definedName>
    <definedName function="false" hidden="true" name="IQ_DEBT_SECURITIES_OTHER_ASSETS_NON_ACCRUAL_FFIEC" vbProcedure="false">"c13331"</definedName>
    <definedName function="false" hidden="true" name="IQ_DEBT_SEC_OVER_5YR_INVEST_SECURITIES_FFIEC" vbProcedure="false">"c13466"</definedName>
    <definedName function="false" hidden="true" name="IQ_DECREASE_INT_EXPENSE_FFIEC" vbProcedure="false">"c13064"</definedName>
    <definedName function="false" hidden="true" name="IQ_DEDUCTIONS_TOTAL_RISK_BASED_CAPITAL_FFIEC" vbProcedure="false">"c13152"</definedName>
    <definedName function="false" hidden="true" name="IQ_DEFERRED_CONTINGENT_RENT" vbProcedure="false">"c16181"</definedName>
    <definedName function="false" hidden="true" name="IQ_DEFERRED_DOMESTIC_TAXES" vbProcedure="false">"c2077"</definedName>
    <definedName function="false" hidden="true" name="IQ_DEFERRED_FOREIGN_TAXES" vbProcedure="false">"c2078"</definedName>
    <definedName function="false" hidden="true" name="IQ_DEFERRED_INC_TAX" vbProcedure="false">"c1447"</definedName>
    <definedName function="false" hidden="true" name="IQ_DEFERRED_TAXES" vbProcedure="false">"c1356"</definedName>
    <definedName function="false" hidden="true" name="IQ_DEFERRED_TAXES_TOTAL" vbProcedure="false">"c19142"</definedName>
    <definedName function="false" hidden="true" name="IQ_DEFERRED_TAX_ASSETS_FFIEC" vbProcedure="false">"c12843"</definedName>
    <definedName function="false" hidden="true" name="IQ_DEFERRED_TAX_ASSETS_T1_FFIEC" vbProcedure="false">"c13141"</definedName>
    <definedName function="false" hidden="true" name="IQ_DEFERRED_TAX_LIAB_FFIEC" vbProcedure="false">"c12870"</definedName>
    <definedName function="false" hidden="true" name="IQ_DEFERRED_TAX_NAV" vbProcedure="false">"c16003"</definedName>
    <definedName function="false" hidden="true" name="IQ_DEFERRED_TAX_NNAV" vbProcedure="false">"c16008"</definedName>
    <definedName function="false" hidden="true" name="IQ_DEF_ACQ_CST" vbProcedure="false">"c1364"</definedName>
    <definedName function="false" hidden="true" name="IQ_DEF_AMORT" vbProcedure="false">"c276"</definedName>
    <definedName function="false" hidden="true" name="IQ_DEF_AMORT_BNK" vbProcedure="false">"c277"</definedName>
    <definedName function="false" hidden="true" name="IQ_DEF_AMORT_BR" vbProcedure="false">"c278"</definedName>
    <definedName function="false" hidden="true" name="IQ_DEF_AMORT_FIN" vbProcedure="false">"c279"</definedName>
    <definedName function="false" hidden="true" name="IQ_DEF_AMORT_INS" vbProcedure="false">"c280"</definedName>
    <definedName function="false" hidden="true" name="IQ_DEF_AMORT_REIT" vbProcedure="false">"c281"</definedName>
    <definedName function="false" hidden="true" name="IQ_DEF_AMORT_UTI" vbProcedure="false">"c282"</definedName>
    <definedName function="false" hidden="true" name="IQ_DEF_BENEFIT_INTEREST_COST" vbProcedure="false">"c283"</definedName>
    <definedName function="false" hidden="true" name="IQ_DEF_BENEFIT_INTEREST_COST_DOMESTIC" vbProcedure="false">"c2652"</definedName>
    <definedName function="false" hidden="true" name="IQ_DEF_BENEFIT_INTEREST_COST_FOREIGN" vbProcedure="false">"c2660"</definedName>
    <definedName function="false" hidden="true" name="IQ_DEF_BENEFIT_OTHER_COST" vbProcedure="false">"c284"</definedName>
    <definedName function="false" hidden="true" name="IQ_DEF_BENEFIT_OTHER_COST_DOMESTIC" vbProcedure="false">"c2654"</definedName>
    <definedName function="false" hidden="true" name="IQ_DEF_BENEFIT_OTHER_COST_FOREIGN" vbProcedure="false">"c2662"</definedName>
    <definedName function="false" hidden="true" name="IQ_DEF_BENEFIT_ROA" vbProcedure="false">"c285"</definedName>
    <definedName function="false" hidden="true" name="IQ_DEF_BENEFIT_ROA_DOMESTIC" vbProcedure="false">"c2653"</definedName>
    <definedName function="false" hidden="true" name="IQ_DEF_BENEFIT_ROA_FOREIGN" vbProcedure="false">"c2661"</definedName>
    <definedName function="false" hidden="true" name="IQ_DEF_BENEFIT_SERVICE_COST" vbProcedure="false">"c286"</definedName>
    <definedName function="false" hidden="true" name="IQ_DEF_BENEFIT_SERVICE_COST_DOMESTIC" vbProcedure="false">"c2651"</definedName>
    <definedName function="false" hidden="true" name="IQ_DEF_BENEFIT_SERVICE_COST_FOREIGN" vbProcedure="false">"c2659"</definedName>
    <definedName function="false" hidden="true" name="IQ_DEF_BENEFIT_TOTAL_COST" vbProcedure="false">"c287"</definedName>
    <definedName function="false" hidden="true" name="IQ_DEF_BENEFIT_TOTAL_COST_DOMESTIC" vbProcedure="false">"c2655"</definedName>
    <definedName function="false" hidden="true" name="IQ_DEF_BENEFIT_TOTAL_COST_FOREIGN" vbProcedure="false">"c2663"</definedName>
    <definedName function="false" hidden="true" name="IQ_DEF_CHARGES_BR" vbProcedure="false">"c288"</definedName>
    <definedName function="false" hidden="true" name="IQ_DEF_CHARGES_CF" vbProcedure="false">"c289"</definedName>
    <definedName function="false" hidden="true" name="IQ_DEF_CHARGES_FIN" vbProcedure="false">"c290"</definedName>
    <definedName function="false" hidden="true" name="IQ_DEF_CHARGES_INS" vbProcedure="false">"c291"</definedName>
    <definedName function="false" hidden="true" name="IQ_DEF_CHARGES_LT" vbProcedure="false">"c292"</definedName>
    <definedName function="false" hidden="true" name="IQ_DEF_CHARGES_LT_BNK" vbProcedure="false">"c293"</definedName>
    <definedName function="false" hidden="true" name="IQ_DEF_CHARGES_LT_BR" vbProcedure="false">"c294"</definedName>
    <definedName function="false" hidden="true" name="IQ_DEF_CHARGES_LT_FIN" vbProcedure="false">"c295"</definedName>
    <definedName function="false" hidden="true" name="IQ_DEF_CHARGES_LT_INS" vbProcedure="false">"c296"</definedName>
    <definedName function="false" hidden="true" name="IQ_DEF_CHARGES_LT_RE" vbProcedure="false">"c6210"</definedName>
    <definedName function="false" hidden="true" name="IQ_DEF_CHARGES_LT_REIT" vbProcedure="false">"c297"</definedName>
    <definedName function="false" hidden="true" name="IQ_DEF_CHARGES_LT_UTI" vbProcedure="false">"c298"</definedName>
    <definedName function="false" hidden="true" name="IQ_DEF_CHARGES_RE" vbProcedure="false">"c6211"</definedName>
    <definedName function="false" hidden="true" name="IQ_DEF_CHARGES_REIT" vbProcedure="false">"c299"</definedName>
    <definedName function="false" hidden="true" name="IQ_DEF_CONTRIBUTION_TOTAL_COST" vbProcedure="false">"c300"</definedName>
    <definedName function="false" hidden="true" name="IQ_DEF_INC_TAX" vbProcedure="false">"c1365"</definedName>
    <definedName function="false" hidden="true" name="IQ_DEF_POLICY_ACQ_COSTS" vbProcedure="false">"c301"</definedName>
    <definedName function="false" hidden="true" name="IQ_DEF_POLICY_ACQ_COSTS_CF" vbProcedure="false">"c302"</definedName>
    <definedName function="false" hidden="true" name="IQ_DEF_POLICY_AMORT" vbProcedure="false">"c303"</definedName>
    <definedName function="false" hidden="true" name="IQ_DEF_SPENDING_REAL_SAAR" vbProcedure="false">"c6971"</definedName>
    <definedName function="false" hidden="true" name="IQ_DEF_SPENDING_REAL_SAAR_APR" vbProcedure="false">"c7631"</definedName>
    <definedName function="false" hidden="true" name="IQ_DEF_SPENDING_REAL_SAAR_APR_FC" vbProcedure="false">"c8511"</definedName>
    <definedName function="false" hidden="true" name="IQ_DEF_SPENDING_REAL_SAAR_FC" vbProcedure="false">"c7851"</definedName>
    <definedName function="false" hidden="true" name="IQ_DEF_SPENDING_REAL_SAAR_POP" vbProcedure="false">"c7191"</definedName>
    <definedName function="false" hidden="true" name="IQ_DEF_SPENDING_REAL_SAAR_POP_FC" vbProcedure="false">"c8071"</definedName>
    <definedName function="false" hidden="true" name="IQ_DEF_SPENDING_REAL_SAAR_YOY" vbProcedure="false">"c7411"</definedName>
    <definedName function="false" hidden="true" name="IQ_DEF_SPENDING_REAL_SAAR_YOY_FC" vbProcedure="false">"c8291"</definedName>
    <definedName function="false" hidden="true" name="IQ_DEF_TAX_ASSETS_CURRENT" vbProcedure="false">"c309"</definedName>
    <definedName function="false" hidden="true" name="IQ_DEF_TAX_ASSETS_LT" vbProcedure="false">"c310"</definedName>
    <definedName function="false" hidden="true" name="IQ_DEF_TAX_ASSETS_LT_BNK" vbProcedure="false">"c311"</definedName>
    <definedName function="false" hidden="true" name="IQ_DEF_TAX_ASSET_LT_BR" vbProcedure="false">"c304"</definedName>
    <definedName function="false" hidden="true" name="IQ_DEF_TAX_ASSET_LT_FIN" vbProcedure="false">"c305"</definedName>
    <definedName function="false" hidden="true" name="IQ_DEF_TAX_ASSET_LT_INS" vbProcedure="false">"c306"</definedName>
    <definedName function="false" hidden="true" name="IQ_DEF_TAX_ASSET_LT_RE" vbProcedure="false">"c6212"</definedName>
    <definedName function="false" hidden="true" name="IQ_DEF_TAX_ASSET_LT_REIT" vbProcedure="false">"c307"</definedName>
    <definedName function="false" hidden="true" name="IQ_DEF_TAX_ASSET_LT_UTI" vbProcedure="false">"c308"</definedName>
    <definedName function="false" hidden="true" name="IQ_DEF_TAX_LIAB_CURRENT" vbProcedure="false">"c312"</definedName>
    <definedName function="false" hidden="true" name="IQ_DEF_TAX_LIAB_LT" vbProcedure="false">"c313"</definedName>
    <definedName function="false" hidden="true" name="IQ_DEF_TAX_LIAB_LT_BNK" vbProcedure="false">"c314"</definedName>
    <definedName function="false" hidden="true" name="IQ_DEF_TAX_LIAB_LT_BR" vbProcedure="false">"c315"</definedName>
    <definedName function="false" hidden="true" name="IQ_DEF_TAX_LIAB_LT_FIN" vbProcedure="false">"c316"</definedName>
    <definedName function="false" hidden="true" name="IQ_DEF_TAX_LIAB_LT_INS" vbProcedure="false">"c317"</definedName>
    <definedName function="false" hidden="true" name="IQ_DEF_TAX_LIAB_LT_RE" vbProcedure="false">"c6213"</definedName>
    <definedName function="false" hidden="true" name="IQ_DEF_TAX_LIAB_LT_REIT" vbProcedure="false">"c318"</definedName>
    <definedName function="false" hidden="true" name="IQ_DEF_TAX_LIAB_LT_UTI" vbProcedure="false">"c319"</definedName>
    <definedName function="false" hidden="true" name="IQ_DELIVERED_HOMES_NEW_ORDERS" vbProcedure="false">"c15821"</definedName>
    <definedName function="false" hidden="true" name="IQ_DELIVERED_HOMES_PRICE_NEW_ORDER_PRICE" vbProcedure="false">"c15822"</definedName>
    <definedName function="false" hidden="true" name="IQ_DEMAND_DEP" vbProcedure="false">"c320"</definedName>
    <definedName function="false" hidden="true" name="IQ_DEMAND_DEPOSITS_COMMERCIAL_BANK_SUBS_FFIEC" vbProcedure="false">"c12945"</definedName>
    <definedName function="false" hidden="true" name="IQ_DEMAND_DEPOSITS_FDIC" vbProcedure="false">"c6489"</definedName>
    <definedName function="false" hidden="true" name="IQ_DEMAND_DEPOSITS_TOT_DEPOSITS_FFIEC" vbProcedure="false">"c13902"</definedName>
    <definedName function="false" hidden="true" name="IQ_DEPOSITORY_INSTITUTIONS_CHARGE_OFFS_FDIC" vbProcedure="false">"c6596"</definedName>
    <definedName function="false" hidden="true" name="IQ_DEPOSITORY_INSTITUTIONS_NET_CHARGE_OFFS_FDIC" vbProcedure="false">"c6634"</definedName>
    <definedName function="false" hidden="true" name="IQ_DEPOSITORY_INSTITUTIONS_RECOVERIES_FDIC" vbProcedure="false">"c6615"</definedName>
    <definedName function="false" hidden="true" name="IQ_DEPOSITORY_INST_ACCEPTANCES_LL_REC_DOM_FFIEC" vbProcedure="false">"c12908"</definedName>
    <definedName function="false" hidden="true" name="IQ_DEPOSITORY_INST_GROSS_LOANS_FFIEC" vbProcedure="false">"c13409"</definedName>
    <definedName function="false" hidden="true" name="IQ_DEPOSITORY_INST_RISK_BASED_FFIEC" vbProcedure="false">"c13430"</definedName>
    <definedName function="false" hidden="true" name="IQ_DEPOSITS_100K_MORE_ASSETS_TOT_FFIEC" vbProcedure="false">"c13444"</definedName>
    <definedName function="false" hidden="true" name="IQ_DEPOSITS_DOM_FFIEC" vbProcedure="false">"c12850"</definedName>
    <definedName function="false" hidden="true" name="IQ_DEPOSITS_FAIR_VALUE_TOT_FFIEC" vbProcedure="false">"c13213"</definedName>
    <definedName function="false" hidden="true" name="IQ_DEPOSITS_FIN" vbProcedure="false">"c321"</definedName>
    <definedName function="false" hidden="true" name="IQ_DEPOSITS_FOREIGN_BANKS_FOREIGN_AGENCIES_FFIEC" vbProcedure="false">"c15344"</definedName>
    <definedName function="false" hidden="true" name="IQ_DEPOSITS_FOREIGN_FFIEC" vbProcedure="false">"c12853"</definedName>
    <definedName function="false" hidden="true" name="IQ_DEPOSITS_HELD_DOMESTIC_FDIC" vbProcedure="false">"c6340"</definedName>
    <definedName function="false" hidden="true" name="IQ_DEPOSITS_HELD_FOREIGN_FDIC" vbProcedure="false">"c6341"</definedName>
    <definedName function="false" hidden="true" name="IQ_DEPOSITS_INTEREST_SECURITIES" vbProcedure="false">"c5509"</definedName>
    <definedName function="false" hidden="true" name="IQ_DEPOSITS_LESS_100K_COMMERCIAL_BANK_SUBS_FFIEC" vbProcedure="false">"c12948"</definedName>
    <definedName function="false" hidden="true" name="IQ_DEPOSITS_LESS_THAN_100K_AFTER_THREE_YEARS_FDIC" vbProcedure="false">"c6464"</definedName>
    <definedName function="false" hidden="true" name="IQ_DEPOSITS_LESS_THAN_100K_THREE_MONTHS_FDIC" vbProcedure="false">"c6461"</definedName>
    <definedName function="false" hidden="true" name="IQ_DEPOSITS_LESS_THAN_100K_THREE_YEARS_FDIC" vbProcedure="false">"c6463"</definedName>
    <definedName function="false" hidden="true" name="IQ_DEPOSITS_LESS_THAN_100K_TWELVE_MONTHS_FDIC" vbProcedure="false">"c6462"</definedName>
    <definedName function="false" hidden="true" name="IQ_DEPOSITS_LEVEL_1_FFIEC" vbProcedure="false">"c13221"</definedName>
    <definedName function="false" hidden="true" name="IQ_DEPOSITS_LEVEL_2_FFIEC" vbProcedure="false">"c13229"</definedName>
    <definedName function="false" hidden="true" name="IQ_DEPOSITS_LEVEL_3_FFIEC" vbProcedure="false">"c13237"</definedName>
    <definedName function="false" hidden="true" name="IQ_DEPOSITS_MORE_100K_COMMERCIAL_BANK_SUBS_FFIEC" vbProcedure="false">"c12949"</definedName>
    <definedName function="false" hidden="true" name="IQ_DEPOSITS_MORE_THAN_100K_AFTER_THREE_YEARS_FDIC" vbProcedure="false">"c6469"</definedName>
    <definedName function="false" hidden="true" name="IQ_DEPOSITS_MORE_THAN_100K_THREE_MONTHS_FDIC" vbProcedure="false">"c6466"</definedName>
    <definedName function="false" hidden="true" name="IQ_DEPOSITS_MORE_THAN_100K_THREE_YEARS_FDIC" vbProcedure="false">"c6468"</definedName>
    <definedName function="false" hidden="true" name="IQ_DEPOSITS_MORE_THAN_100K_TWELVE_MONTHS_FDIC" vbProcedure="false">"c6467"</definedName>
    <definedName function="false" hidden="true" name="IQ_DEPOSIT_ACCOUNTS_LESS_THAN_100K_FDIC" vbProcedure="false">"c6494"</definedName>
    <definedName function="false" hidden="true" name="IQ_DEPOSIT_ACCOUNTS_MORE_THAN_100K_FDIC" vbProcedure="false">"c6492"</definedName>
    <definedName function="false" hidden="true" name="IQ_DEPRE_AMORT" vbProcedure="false">"c1360"</definedName>
    <definedName function="false" hidden="true" name="IQ_DEPRE_AMORT_SUPPL" vbProcedure="false">"c1593"</definedName>
    <definedName function="false" hidden="true" name="IQ_DEPRE_DEPLE" vbProcedure="false">"c1361"</definedName>
    <definedName function="false" hidden="true" name="IQ_DEPRE_SUPP" vbProcedure="false">"c1443"</definedName>
    <definedName function="false" hidden="true" name="IQ_DERIVATIVES_FDIC" vbProcedure="false">"c6523"</definedName>
    <definedName function="false" hidden="true" name="IQ_DERIVATIVES_NEGATIVE_FAIR_VALUE_DOM_FFIEC" vbProcedure="false">"c12943"</definedName>
    <definedName function="false" hidden="true" name="IQ_DERIVATIVES_NEGATIVE_VALUE_FFIEC" vbProcedure="false">"c12861"</definedName>
    <definedName function="false" hidden="true" name="IQ_DERIVATIVES_POSITIVE_FAIR_VALUE_TRADING_DOM_FFIEC" vbProcedure="false">"c12938"</definedName>
    <definedName function="false" hidden="true" name="IQ_DERIVATIVES_POS_FAIR_VALUE_FFIEC" vbProcedure="false">"c12827"</definedName>
    <definedName function="false" hidden="true" name="IQ_DERIVATIVE_ASSETS_FAIR_VALUE_TOT_FFIEC" vbProcedure="false">"c15403"</definedName>
    <definedName function="false" hidden="true" name="IQ_DERIVATIVE_ASSETS_LEVEL_1_FFIEC" vbProcedure="false">"c15425"</definedName>
    <definedName function="false" hidden="true" name="IQ_DERIVATIVE_ASSETS_LEVEL_2_FFIEC" vbProcedure="false">"c15438"</definedName>
    <definedName function="false" hidden="true" name="IQ_DERIVATIVE_ASSETS_LEVEL_3_FFIEC" vbProcedure="false">"c15451"</definedName>
    <definedName function="false" hidden="true" name="IQ_DERIVATIVE_LIABILITIES_FAIR_VALUE_TOT_FFIEC" vbProcedure="false">"c15407"</definedName>
    <definedName function="false" hidden="true" name="IQ_DERIVATIVE_LIABILITIES_LEVEL_1_FFIEC" vbProcedure="false">"c15429"</definedName>
    <definedName function="false" hidden="true" name="IQ_DERIVATIVE_LIABILITIES_LEVEL_2_FFIEC" vbProcedure="false">"c15442"</definedName>
    <definedName function="false" hidden="true" name="IQ_DERIVATIVE_LIABILITIES_LEVEL_3_FFIEC" vbProcedure="false">"c15455"</definedName>
    <definedName function="false" hidden="true" name="IQ_DESCRIPTION_LONG" vbProcedure="false">"c1520"</definedName>
    <definedName function="false" hidden="true" name="IQ_DEVELOPMENT_EXPENSE" vbProcedure="false">"c16040"</definedName>
    <definedName function="false" hidden="true" name="IQ_DEVELOPMENT_REVENUE" vbProcedure="false">"c16024"</definedName>
    <definedName function="false" hidden="true" name="IQ_DEVELOP_LAND" vbProcedure="false">"c323"</definedName>
    <definedName function="false" hidden="true" name="IQ_DIC" vbProcedure="false">"c13834"</definedName>
    <definedName function="false" hidden="true" name="IQ_DIFF_LASTCLOSE_TARGET_PRICE" vbProcedure="false">"c1854"</definedName>
    <definedName function="false" hidden="true" name="IQ_DIFF_LASTCLOSE_TARGET_PRICE_CIQ" vbProcedure="false">"c4767"</definedName>
    <definedName function="false" hidden="true" name="IQ_DIFF_LASTCLOSE_TARGET_PRICE_REUT" vbProcedure="false">"c5436"</definedName>
    <definedName function="false" hidden="true" name="IQ_DIFF_LASTCLOSE_TARGET_PRICE_THOM" vbProcedure="false">"c5278"</definedName>
    <definedName function="false" hidden="true" name="IQ_DIGITAL_SUB_TOTAL_HOMES_PASSED" vbProcedure="false">"c15769"</definedName>
    <definedName function="false" hidden="true" name="IQ_DIGITAL_VIDEO_PENETRATION" vbProcedure="false">"c15768"</definedName>
    <definedName function="false" hidden="true" name="IQ_DIG_SUB_BASIC_SUB" vbProcedure="false">"c16202"</definedName>
    <definedName function="false" hidden="true" name="IQ_DIG_SUB_VIDEO_SUB" vbProcedure="false">"c15788"</definedName>
    <definedName function="false" hidden="true" name="IQ_DILUTED_EPRA_NAV" vbProcedure="false">"c16005"</definedName>
    <definedName function="false" hidden="true" name="IQ_DILUTED_EPRA_NAV_SHARE_RE" vbProcedure="false">"c16014"</definedName>
    <definedName function="false" hidden="true" name="IQ_DILUTED_EPRA_NNAV" vbProcedure="false">"c16010"</definedName>
    <definedName function="false" hidden="true" name="IQ_DILUTED_EPRA_NNAV_SHARE_RE" vbProcedure="false">"c16015"</definedName>
    <definedName function="false" hidden="true" name="IQ_DILUTED_NAV_RE" vbProcedure="false">"c15998"</definedName>
    <definedName function="false" hidden="true" name="IQ_DILUTED_NAV_SHARES" vbProcedure="false">"c16016"</definedName>
    <definedName function="false" hidden="true" name="IQ_DILUTED_NAV_SHARE_RE" vbProcedure="false">"c16013"</definedName>
    <definedName function="false" hidden="true" name="IQ_DILUTION_EFFECT_NAV" vbProcedure="false">"c15997"</definedName>
    <definedName function="false" hidden="true" name="IQ_DILUT_ADJUST" vbProcedure="false">"c1621"</definedName>
    <definedName function="false" hidden="true" name="IQ_DILUT_EPS_EXCL" vbProcedure="false">"c324"</definedName>
    <definedName function="false" hidden="true" name="IQ_DILUT_EPS_INCL" vbProcedure="false">"c325"</definedName>
    <definedName function="false" hidden="true" name="IQ_DILUT_EPS_NORM" vbProcedure="false">"c1903"</definedName>
    <definedName function="false" hidden="true" name="IQ_DILUT_NI" vbProcedure="false">"c2079"</definedName>
    <definedName function="false" hidden="true" name="IQ_DILUT_NORMAL_EPS" vbProcedure="false">"c1594"</definedName>
    <definedName function="false" hidden="true" name="IQ_DILUT_OUTSTANDING_CURRENT_EST" vbProcedure="false">"c4263"</definedName>
    <definedName function="false" hidden="true" name="IQ_DILUT_OUTSTANDING_CURRENT_EST_CIQ" vbProcedure="false">"c4789"</definedName>
    <definedName function="false" hidden="true" name="IQ_DILUT_OUTSTANDING_CURRENT_HIGH_EST" vbProcedure="false">"c4264"</definedName>
    <definedName function="false" hidden="true" name="IQ_DILUT_OUTSTANDING_CURRENT_HIGH_EST_CIQ" vbProcedure="false">"c4790"</definedName>
    <definedName function="false" hidden="true" name="IQ_DILUT_OUTSTANDING_CURRENT_LOW_EST" vbProcedure="false">"c4265"</definedName>
    <definedName function="false" hidden="true" name="IQ_DILUT_OUTSTANDING_CURRENT_LOW_EST_CIQ" vbProcedure="false">"c4791"</definedName>
    <definedName function="false" hidden="true" name="IQ_DILUT_OUTSTANDING_CURRENT_MEDIAN_EST" vbProcedure="false">"c4266"</definedName>
    <definedName function="false" hidden="true" name="IQ_DILUT_OUTSTANDING_CURRENT_MEDIAN_EST_CIQ" vbProcedure="false">"c4792"</definedName>
    <definedName function="false" hidden="true" name="IQ_DILUT_OUTSTANDING_CURRENT_NUM_EST" vbProcedure="false">"c4267"</definedName>
    <definedName function="false" hidden="true" name="IQ_DILUT_OUTSTANDING_CURRENT_NUM_EST_CIQ" vbProcedure="false">"c4793"</definedName>
    <definedName function="false" hidden="true" name="IQ_DILUT_OUTSTANDING_CURRENT_STDDEV_EST" vbProcedure="false">"c4268"</definedName>
    <definedName function="false" hidden="true" name="IQ_DILUT_OUTSTANDING_CURRENT_STDDEV_EST_CIQ" vbProcedure="false">"c4794"</definedName>
    <definedName function="false" hidden="true" name="IQ_DILUT_WEIGHT" vbProcedure="false">"c326"</definedName>
    <definedName function="false" hidden="true" name="IQ_DILUT_WEIGHT_EST" vbProcedure="false">"c4269"</definedName>
    <definedName function="false" hidden="true" name="IQ_DILUT_WEIGHT_EST_CIQ" vbProcedure="false">"c4795"</definedName>
    <definedName function="false" hidden="true" name="IQ_DILUT_WEIGHT_GUIDANCE" vbProcedure="false">"c4270"</definedName>
    <definedName function="false" hidden="true" name="IQ_DILUT_WEIGHT_HIGH_EST" vbProcedure="false">"c4271"</definedName>
    <definedName function="false" hidden="true" name="IQ_DILUT_WEIGHT_HIGH_EST_CIQ" vbProcedure="false">"c4796"</definedName>
    <definedName function="false" hidden="true" name="IQ_DILUT_WEIGHT_LOW_EST" vbProcedure="false">"c4272"</definedName>
    <definedName function="false" hidden="true" name="IQ_DILUT_WEIGHT_LOW_EST_CIQ" vbProcedure="false">"c4797"</definedName>
    <definedName function="false" hidden="true" name="IQ_DILUT_WEIGHT_MEDIAN_EST" vbProcedure="false">"c4273"</definedName>
    <definedName function="false" hidden="true" name="IQ_DILUT_WEIGHT_MEDIAN_EST_CIQ" vbProcedure="false">"c4798"</definedName>
    <definedName function="false" hidden="true" name="IQ_DILUT_WEIGHT_NUM_EST" vbProcedure="false">"c4274"</definedName>
    <definedName function="false" hidden="true" name="IQ_DILUT_WEIGHT_NUM_EST_CIQ" vbProcedure="false">"c4799"</definedName>
    <definedName function="false" hidden="true" name="IQ_DILUT_WEIGHT_STDDEV_EST" vbProcedure="false">"c4275"</definedName>
    <definedName function="false" hidden="true" name="IQ_DILUT_WEIGHT_STDDEV_EST_CIQ" vbProcedure="false">"c4800"</definedName>
    <definedName function="false" hidden="true" name="IQ_DIRECTORS_FEES_FFIEC" vbProcedure="false">"c13049"</definedName>
    <definedName function="false" hidden="true" name="IQ_DIRECT_AH_EARNED" vbProcedure="false">"c2740"</definedName>
    <definedName function="false" hidden="true" name="IQ_DIRECT_EARNED" vbProcedure="false">"c2730"</definedName>
    <definedName function="false" hidden="true" name="IQ_DIRECT_INDIRECT_RE_VENTURES_FFIEC" vbProcedure="false">"c15266"</definedName>
    <definedName function="false" hidden="true" name="IQ_DIRECT_INDIRECT_RE_VENTURES_UNCONSOL_FFIEC" vbProcedure="false">"c15274"</definedName>
    <definedName function="false" hidden="true" name="IQ_DIRECT_LIFE_EARNED" vbProcedure="false">"c2735"</definedName>
    <definedName function="false" hidden="true" name="IQ_DIRECT_LIFE_IN_FORCE" vbProcedure="false">"c2765"</definedName>
    <definedName function="false" hidden="true" name="IQ_DIRECT_LOSSES" vbProcedure="false">"c15869"</definedName>
    <definedName function="false" hidden="true" name="IQ_DIRECT_PC_EARNED" vbProcedure="false">"c2745"</definedName>
    <definedName function="false" hidden="true" name="IQ_DIRECT_WRITTEN" vbProcedure="false">"c2724"</definedName>
    <definedName function="false" hidden="true" name="IQ_DISALLOWED_DEFERRED_TAX_ASSETS_FFIEC" vbProcedure="false">"c13157"</definedName>
    <definedName function="false" hidden="true" name="IQ_DISALLOWED_GOODWILL_INTANGIBLES_T1_FFIEC" vbProcedure="false">"c13137"</definedName>
    <definedName function="false" hidden="true" name="IQ_DISALLOWED_GOODWILL_INTANGIBLE_ASSETS_FFIEC" vbProcedure="false">"c13155"</definedName>
    <definedName function="false" hidden="true" name="IQ_DISALLOWED_SERVICING_ASSETS_FFIEC" vbProcedure="false">"c13156"</definedName>
    <definedName function="false" hidden="true" name="IQ_DISALLOWED_SERVICING_ASSETS_T1_FFIEC" vbProcedure="false">"c13140"</definedName>
    <definedName function="false" hidden="true" name="IQ_DISCONT_OPER" vbProcedure="false">"c1367"</definedName>
    <definedName function="false" hidden="true" name="IQ_DISCOUNT_RATE_PENSION_DOMESTIC" vbProcedure="false">"c327"</definedName>
    <definedName function="false" hidden="true" name="IQ_DISCOUNT_RATE_PENSION_FOREIGN" vbProcedure="false">"c328"</definedName>
    <definedName function="false" hidden="true" name="IQ_DISCRETIONARY_CAPEX" vbProcedure="false">"c16183"</definedName>
    <definedName function="false" hidden="true" name="IQ_DISPOSABLE_PERSONAL_INC" vbProcedure="false">"c6850"</definedName>
    <definedName function="false" hidden="true" name="IQ_DISPOSABLE_PERSONAL_INC_APR" vbProcedure="false">"c7510"</definedName>
    <definedName function="false" hidden="true" name="IQ_DISPOSABLE_PERSONAL_INC_APR_FC" vbProcedure="false">"c8390"</definedName>
    <definedName function="false" hidden="true" name="IQ_DISPOSABLE_PERSONAL_INC_FC" vbProcedure="false">"c7730"</definedName>
    <definedName function="false" hidden="true" name="IQ_DISPOSABLE_PERSONAL_INC_POP" vbProcedure="false">"c7070"</definedName>
    <definedName function="false" hidden="true" name="IQ_DISPOSABLE_PERSONAL_INC_POP_FC" vbProcedure="false">"c7950"</definedName>
    <definedName function="false" hidden="true" name="IQ_DISPOSABLE_PERSONAL_INC_REAL" vbProcedure="false">"c11922"</definedName>
    <definedName function="false" hidden="true" name="IQ_DISPOSABLE_PERSONAL_INC_REAL_APR" vbProcedure="false">"c11925"</definedName>
    <definedName function="false" hidden="true" name="IQ_DISPOSABLE_PERSONAL_INC_REAL_POP" vbProcedure="false">"c11923"</definedName>
    <definedName function="false" hidden="true" name="IQ_DISPOSABLE_PERSONAL_INC_REAL_YOY" vbProcedure="false">"c11924"</definedName>
    <definedName function="false" hidden="true" name="IQ_DISPOSABLE_PERSONAL_INC_SAAR" vbProcedure="false">"c6851"</definedName>
    <definedName function="false" hidden="true" name="IQ_DISPOSABLE_PERSONAL_INC_SAAR_APR" vbProcedure="false">"c7511"</definedName>
    <definedName function="false" hidden="true" name="IQ_DISPOSABLE_PERSONAL_INC_SAAR_APR_FC" vbProcedure="false">"c8391"</definedName>
    <definedName function="false" hidden="true" name="IQ_DISPOSABLE_PERSONAL_INC_SAAR_FC" vbProcedure="false">"c7731"</definedName>
    <definedName function="false" hidden="true" name="IQ_DISPOSABLE_PERSONAL_INC_SAAR_POP" vbProcedure="false">"c7071"</definedName>
    <definedName function="false" hidden="true" name="IQ_DISPOSABLE_PERSONAL_INC_SAAR_POP_FC" vbProcedure="false">"c7951"</definedName>
    <definedName function="false" hidden="true" name="IQ_DISPOSABLE_PERSONAL_INC_SAAR_USD_APR_FC" vbProcedure="false">"c11805"</definedName>
    <definedName function="false" hidden="true" name="IQ_DISPOSABLE_PERSONAL_INC_SAAR_USD_FC" vbProcedure="false">"c11802"</definedName>
    <definedName function="false" hidden="true" name="IQ_DISPOSABLE_PERSONAL_INC_SAAR_USD_POP_FC" vbProcedure="false">"c11803"</definedName>
    <definedName function="false" hidden="true" name="IQ_DISPOSABLE_PERSONAL_INC_SAAR_USD_YOY_FC" vbProcedure="false">"c11804"</definedName>
    <definedName function="false" hidden="true" name="IQ_DISPOSABLE_PERSONAL_INC_SAAR_YOY" vbProcedure="false">"c7291"</definedName>
    <definedName function="false" hidden="true" name="IQ_DISPOSABLE_PERSONAL_INC_SAAR_YOY_FC" vbProcedure="false">"c8171"</definedName>
    <definedName function="false" hidden="true" name="IQ_DISPOSABLE_PERSONAL_INC_USD_APR_FC" vbProcedure="false">"c11801"</definedName>
    <definedName function="false" hidden="true" name="IQ_DISPOSABLE_PERSONAL_INC_USD_FC" vbProcedure="false">"c11798"</definedName>
    <definedName function="false" hidden="true" name="IQ_DISPOSABLE_PERSONAL_INC_USD_POP_FC" vbProcedure="false">"c11799"</definedName>
    <definedName function="false" hidden="true" name="IQ_DISPOSABLE_PERSONAL_INC_USD_YOY_FC" vbProcedure="false">"c11800"</definedName>
    <definedName function="false" hidden="true" name="IQ_DISPOSABLE_PERSONAL_INC_YOY" vbProcedure="false">"c7290"</definedName>
    <definedName function="false" hidden="true" name="IQ_DISPOSABLE_PERSONAL_INC_YOY_FC" vbProcedure="false">"c8170"</definedName>
    <definedName function="false" hidden="true" name="IQ_DISTRIBUTABLE_CASH" vbProcedure="false">"c3002"</definedName>
    <definedName function="false" hidden="true" name="IQ_DISTRIBUTABLE_CASH_ACT_OR_EST" vbProcedure="false">"c4278"</definedName>
    <definedName function="false" hidden="true" name="IQ_DISTRIBUTABLE_CASH_ACT_OR_EST_CIQ" vbProcedure="false">"c4803"</definedName>
    <definedName function="false" hidden="true" name="IQ_DISTRIBUTABLE_CASH_ACT_OR_EST_CIQ_COL" vbProcedure="false">"c11450"</definedName>
    <definedName function="false" hidden="true" name="IQ_DISTRIBUTABLE_CASH_EST" vbProcedure="false">"c4277"</definedName>
    <definedName function="false" hidden="true" name="IQ_DISTRIBUTABLE_CASH_EST_CIQ" vbProcedure="false">"c4802"</definedName>
    <definedName function="false" hidden="true" name="IQ_DISTRIBUTABLE_CASH_GUIDANCE" vbProcedure="false">"c4279"</definedName>
    <definedName function="false" hidden="true" name="IQ_DISTRIBUTABLE_CASH_GUIDANCE_CIQ" vbProcedure="false">"c4804"</definedName>
    <definedName function="false" hidden="true" name="IQ_DISTRIBUTABLE_CASH_GUIDANCE_CIQ_COL" vbProcedure="false">"c11451"</definedName>
    <definedName function="false" hidden="true" name="IQ_DISTRIBUTABLE_CASH_HIGH_EST" vbProcedure="false">"c4280"</definedName>
    <definedName function="false" hidden="true" name="IQ_DISTRIBUTABLE_CASH_HIGH_EST_CIQ" vbProcedure="false">"c4805"</definedName>
    <definedName function="false" hidden="true" name="IQ_DISTRIBUTABLE_CASH_HIGH_GUIDANCE" vbProcedure="false">"c4198"</definedName>
    <definedName function="false" hidden="true" name="IQ_DISTRIBUTABLE_CASH_HIGH_GUIDANCE_CIQ" vbProcedure="false">"c4610"</definedName>
    <definedName function="false" hidden="true" name="IQ_DISTRIBUTABLE_CASH_HIGH_GUIDANCE_CIQ_COL" vbProcedure="false">"c11259"</definedName>
    <definedName function="false" hidden="true" name="IQ_DISTRIBUTABLE_CASH_LOW_EST" vbProcedure="false">"c4281"</definedName>
    <definedName function="false" hidden="true" name="IQ_DISTRIBUTABLE_CASH_LOW_EST_CIQ" vbProcedure="false">"c4806"</definedName>
    <definedName function="false" hidden="true" name="IQ_DISTRIBUTABLE_CASH_LOW_GUIDANCE" vbProcedure="false">"c4238"</definedName>
    <definedName function="false" hidden="true" name="IQ_DISTRIBUTABLE_CASH_LOW_GUIDANCE_CIQ" vbProcedure="false">"c4650"</definedName>
    <definedName function="false" hidden="true" name="IQ_DISTRIBUTABLE_CASH_LOW_GUIDANCE_CIQ_COL" vbProcedure="false">"c11299"</definedName>
    <definedName function="false" hidden="true" name="IQ_DISTRIBUTABLE_CASH_MEDIAN_EST" vbProcedure="false">"c4282"</definedName>
    <definedName function="false" hidden="true" name="IQ_DISTRIBUTABLE_CASH_MEDIAN_EST_CIQ" vbProcedure="false">"c4807"</definedName>
    <definedName function="false" hidden="true" name="IQ_DISTRIBUTABLE_CASH_NUM_EST" vbProcedure="false">"c4283"</definedName>
    <definedName function="false" hidden="true" name="IQ_DISTRIBUTABLE_CASH_NUM_EST_CIQ" vbProcedure="false">"c4808"</definedName>
    <definedName function="false" hidden="true" name="IQ_DISTRIBUTABLE_CASH_PAYOUT" vbProcedure="false">"c3005"</definedName>
    <definedName function="false" hidden="true" name="IQ_DISTRIBUTABLE_CASH_PER_SHARE_DILUTED" vbProcedure="false">"c16191"</definedName>
    <definedName function="false" hidden="true" name="IQ_DISTRIBUTABLE_CASH_SHARE" vbProcedure="false">"c3003"</definedName>
    <definedName function="false" hidden="true" name="IQ_DISTRIBUTABLE_CASH_SHARES_BASIC" vbProcedure="false">"c16189"</definedName>
    <definedName function="false" hidden="true" name="IQ_DISTRIBUTABLE_CASH_SHARES_DILUTED" vbProcedure="false">"c16190"</definedName>
    <definedName function="false" hidden="true" name="IQ_DISTRIBUTABLE_CASH_SHARE_ACT_OR_EST" vbProcedure="false">"c4286"</definedName>
    <definedName function="false" hidden="true" name="IQ_DISTRIBUTABLE_CASH_SHARE_ACT_OR_EST_CIQ" vbProcedure="false">"c4811"</definedName>
    <definedName function="false" hidden="true" name="IQ_DISTRIBUTABLE_CASH_SHARE_ACT_OR_EST_CIQ_COL" vbProcedure="false">"c11458"</definedName>
    <definedName function="false" hidden="true" name="IQ_DISTRIBUTABLE_CASH_SHARE_EST" vbProcedure="false">"c4285"</definedName>
    <definedName function="false" hidden="true" name="IQ_DISTRIBUTABLE_CASH_SHARE_EST_CIQ" vbProcedure="false">"c4810"</definedName>
    <definedName function="false" hidden="true" name="IQ_DISTRIBUTABLE_CASH_SHARE_GUIDANCE" vbProcedure="false">"c4287"</definedName>
    <definedName function="false" hidden="true" name="IQ_DISTRIBUTABLE_CASH_SHARE_GUIDANCE_CIQ" vbProcedure="false">"c4812"</definedName>
    <definedName function="false" hidden="true" name="IQ_DISTRIBUTABLE_CASH_SHARE_GUIDANCE_CIQ_COL" vbProcedure="false">"c11459"</definedName>
    <definedName function="false" hidden="true" name="IQ_DISTRIBUTABLE_CASH_SHARE_HIGH_EST" vbProcedure="false">"c4288"</definedName>
    <definedName function="false" hidden="true" name="IQ_DISTRIBUTABLE_CASH_SHARE_HIGH_EST_CIQ" vbProcedure="false">"c4813"</definedName>
    <definedName function="false" hidden="true" name="IQ_DISTRIBUTABLE_CASH_SHARE_HIGH_GUIDANCE" vbProcedure="false">"c4199"</definedName>
    <definedName function="false" hidden="true" name="IQ_DISTRIBUTABLE_CASH_SHARE_HIGH_GUIDANCE_CIQ" vbProcedure="false">"c4611"</definedName>
    <definedName function="false" hidden="true" name="IQ_DISTRIBUTABLE_CASH_SHARE_HIGH_GUIDANCE_CIQ_COL" vbProcedure="false">"c11260"</definedName>
    <definedName function="false" hidden="true" name="IQ_DISTRIBUTABLE_CASH_SHARE_LOW_EST" vbProcedure="false">"c4289"</definedName>
    <definedName function="false" hidden="true" name="IQ_DISTRIBUTABLE_CASH_SHARE_LOW_EST_CIQ" vbProcedure="false">"c4814"</definedName>
    <definedName function="false" hidden="true" name="IQ_DISTRIBUTABLE_CASH_SHARE_LOW_GUIDANCE" vbProcedure="false">"c4239"</definedName>
    <definedName function="false" hidden="true" name="IQ_DISTRIBUTABLE_CASH_SHARE_LOW_GUIDANCE_CIQ" vbProcedure="false">"c4651"</definedName>
    <definedName function="false" hidden="true" name="IQ_DISTRIBUTABLE_CASH_SHARE_LOW_GUIDANCE_CIQ_COL" vbProcedure="false">"c11300"</definedName>
    <definedName function="false" hidden="true" name="IQ_DISTRIBUTABLE_CASH_SHARE_MEDIAN_EST" vbProcedure="false">"c4290"</definedName>
    <definedName function="false" hidden="true" name="IQ_DISTRIBUTABLE_CASH_SHARE_MEDIAN_EST_CIQ" vbProcedure="false">"c4815"</definedName>
    <definedName function="false" hidden="true" name="IQ_DISTRIBUTABLE_CASH_SHARE_NUM_EST" vbProcedure="false">"c4291"</definedName>
    <definedName function="false" hidden="true" name="IQ_DISTRIBUTABLE_CASH_SHARE_NUM_EST_CIQ" vbProcedure="false">"c4816"</definedName>
    <definedName function="false" hidden="true" name="IQ_DISTRIBUTABLE_CASH_SHARE_STDDEV_EST" vbProcedure="false">"c4292"</definedName>
    <definedName function="false" hidden="true" name="IQ_DISTRIBUTABLE_CASH_SHARE_STDDEV_EST_CIQ" vbProcedure="false">"c4817"</definedName>
    <definedName function="false" hidden="true" name="IQ_DISTRIBUTABLE_CASH_STANDARDIZED" vbProcedure="false">"c20435"</definedName>
    <definedName function="false" hidden="true" name="IQ_DISTRIBUTABLE_CASH_STDDEV_EST" vbProcedure="false">"c4294"</definedName>
    <definedName function="false" hidden="true" name="IQ_DISTRIBUTABLE_CASH_STDDEV_EST_CIQ" vbProcedure="false">"c4819"</definedName>
    <definedName function="false" hidden="true" name="IQ_DISTR_EXCESS_EARN" vbProcedure="false">"c329"</definedName>
    <definedName function="false" hidden="true" name="IQ_DIVEST_CF" vbProcedure="false">"c331"</definedName>
    <definedName function="false" hidden="true" name="IQ_DIVIDENDS_DECLARED_COMMON_FDIC" vbProcedure="false">"c6659"</definedName>
    <definedName function="false" hidden="true" name="IQ_DIVIDENDS_DECLARED_COMMON_FFIEC" vbProcedure="false">"c12969"</definedName>
    <definedName function="false" hidden="true" name="IQ_DIVIDENDS_DECLARED_PREFERRED_FDIC" vbProcedure="false">"c6658"</definedName>
    <definedName function="false" hidden="true" name="IQ_DIVIDENDS_DECLARED_PREFERRED_FFIEC" vbProcedure="false">"c12968"</definedName>
    <definedName function="false" hidden="true" name="IQ_DIVIDENDS_FDIC" vbProcedure="false">"c6660"</definedName>
    <definedName function="false" hidden="true" name="IQ_DIVIDENDS_NET_INCOME_FFIEC" vbProcedure="false">"c13349"</definedName>
    <definedName function="false" hidden="true" name="IQ_DIVIDENDS_PAID_DECLARED_PERIOD_COVERED" vbProcedure="false">"c9960"</definedName>
    <definedName function="false" hidden="true" name="IQ_DIVIDENDS_PAID_DECLARED_PERIOD_GROUP" vbProcedure="false">"c9946"</definedName>
    <definedName function="false" hidden="true" name="IQ_DIVIDEND_EST" vbProcedure="false">"c4296"</definedName>
    <definedName function="false" hidden="true" name="IQ_DIVIDEND_EST_CIQ" vbProcedure="false">"c4821"</definedName>
    <definedName function="false" hidden="true" name="IQ_DIVIDEND_HIGH_EST" vbProcedure="false">"c4297"</definedName>
    <definedName function="false" hidden="true" name="IQ_DIVIDEND_HIGH_EST_CIQ" vbProcedure="false">"c4822"</definedName>
    <definedName function="false" hidden="true" name="IQ_DIVIDEND_LOW_EST" vbProcedure="false">"c4298"</definedName>
    <definedName function="false" hidden="true" name="IQ_DIVIDEND_LOW_EST_CIQ" vbProcedure="false">"c4823"</definedName>
    <definedName function="false" hidden="true" name="IQ_DIVIDEND_MEDIAN_EST" vbProcedure="false">"c4299"</definedName>
    <definedName function="false" hidden="true" name="IQ_DIVIDEND_MEDIAN_EST_CIQ" vbProcedure="false">"c4824"</definedName>
    <definedName function="false" hidden="true" name="IQ_DIVIDEND_NUM_EST" vbProcedure="false">"c4300"</definedName>
    <definedName function="false" hidden="true" name="IQ_DIVIDEND_NUM_EST_CIQ" vbProcedure="false">"c4825"</definedName>
    <definedName function="false" hidden="true" name="IQ_DIVIDEND_STDDEV_EST" vbProcedure="false">"c4301"</definedName>
    <definedName function="false" hidden="true" name="IQ_DIVIDEND_STDDEV_EST_CIQ" vbProcedure="false">"c4826"</definedName>
    <definedName function="false" hidden="true" name="IQ_DIVIDEND_YIELD" vbProcedure="false">"c332"</definedName>
    <definedName function="false" hidden="true" name="IQ_DIVID_SHARE" vbProcedure="false">"c1366"</definedName>
    <definedName function="false" hidden="true" name="IQ_DIV_AMOUNT" vbProcedure="false">"c3041"</definedName>
    <definedName function="false" hidden="true" name="IQ_DIV_AMOUNT_LIST" vbProcedure="false">"c17417"</definedName>
    <definedName function="false" hidden="true" name="IQ_DIV_PAYMENT_DATE" vbProcedure="false">"c2205"</definedName>
    <definedName function="false" hidden="true" name="IQ_DIV_PAYMENT_DATE_LIST" vbProcedure="false">"c17418"</definedName>
    <definedName function="false" hidden="true" name="IQ_DIV_PAYMENT_TYPE" vbProcedure="false">"c12752"</definedName>
    <definedName function="false" hidden="true" name="IQ_DIV_PAYMENT_TYPE_LIST" vbProcedure="false">"c17419"</definedName>
    <definedName function="false" hidden="true" name="IQ_DIV_RECORD_DATE" vbProcedure="false">"c2204"</definedName>
    <definedName function="false" hidden="true" name="IQ_DIV_RECORD_DATE_LIST" vbProcedure="false">"c17420"</definedName>
    <definedName function="false" hidden="true" name="IQ_DIV_SHARE" vbProcedure="false">"c330"</definedName>
    <definedName function="false" hidden="true" name="IQ_DNB_OTHER_EXP_INC_TAX_US" vbProcedure="false">"c6787"</definedName>
    <definedName function="false" hidden="true" name="IQ_DNTM" vbProcedure="false">700000</definedName>
    <definedName function="false" hidden="true" name="IQ_DO" vbProcedure="false">"c333"</definedName>
    <definedName function="false" hidden="true" name="IQ_DOC_CLAUSE" vbProcedure="false">"c6032"</definedName>
    <definedName function="false" hidden="true" name="IQ_DOM_OFFICE_DEPOSITS_TOT_DEPOSITS_FFIEC" vbProcedure="false">"c13910"</definedName>
    <definedName function="false" hidden="true" name="IQ_DO_ASSETS_CURRENT" vbProcedure="false">"c334"</definedName>
    <definedName function="false" hidden="true" name="IQ_DO_ASSETS_LT" vbProcedure="false">"c335"</definedName>
    <definedName function="false" hidden="true" name="IQ_DO_CF" vbProcedure="false">"c336"</definedName>
    <definedName function="false" hidden="true" name="IQ_DPAC" vbProcedure="false">"c2801"</definedName>
    <definedName function="false" hidden="true" name="IQ_DPAC_ACC" vbProcedure="false">"c2799"</definedName>
    <definedName function="false" hidden="true" name="IQ_DPAC_AMORT" vbProcedure="false">"c2795"</definedName>
    <definedName function="false" hidden="true" name="IQ_DPAC_BEG" vbProcedure="false">"c2791"</definedName>
    <definedName function="false" hidden="true" name="IQ_DPAC_COMMISSIONS" vbProcedure="false">"c2792"</definedName>
    <definedName function="false" hidden="true" name="IQ_DPAC_END" vbProcedure="false">"c2801"</definedName>
    <definedName function="false" hidden="true" name="IQ_DPAC_FX" vbProcedure="false">"c2798"</definedName>
    <definedName function="false" hidden="true" name="IQ_DPAC_OTHERS" vbProcedure="false">"c2793"</definedName>
    <definedName function="false" hidden="true" name="IQ_DPAC_OTHER_ADJ" vbProcedure="false">"c2800"</definedName>
    <definedName function="false" hidden="true" name="IQ_DPAC_PERIOD" vbProcedure="false">"c2794"</definedName>
    <definedName function="false" hidden="true" name="IQ_DPAC_REAL_GAIN" vbProcedure="false">"c2797"</definedName>
    <definedName function="false" hidden="true" name="IQ_DPAC_UNREAL_GAIN" vbProcedure="false">"c2796"</definedName>
    <definedName function="false" hidden="true" name="IQ_DPS_10YR_ANN_CAGR" vbProcedure="false">"c6065"</definedName>
    <definedName function="false" hidden="true" name="IQ_DPS_10YR_ANN_GROWTH" vbProcedure="false">"c337"</definedName>
    <definedName function="false" hidden="true" name="IQ_DPS_1YR_ANN_GROWTH" vbProcedure="false">"c338"</definedName>
    <definedName function="false" hidden="true" name="IQ_DPS_2YR_ANN_CAGR" vbProcedure="false">"c6066"</definedName>
    <definedName function="false" hidden="true" name="IQ_DPS_2YR_ANN_GROWTH" vbProcedure="false">"c339"</definedName>
    <definedName function="false" hidden="true" name="IQ_DPS_3YR_ANN_CAGR" vbProcedure="false">"c6067"</definedName>
    <definedName function="false" hidden="true" name="IQ_DPS_3YR_ANN_GROWTH" vbProcedure="false">"c340"</definedName>
    <definedName function="false" hidden="true" name="IQ_DPS_5YR_ANN_CAGR" vbProcedure="false">"c6068"</definedName>
    <definedName function="false" hidden="true" name="IQ_DPS_5YR_ANN_GROWTH" vbProcedure="false">"c341"</definedName>
    <definedName function="false" hidden="true" name="IQ_DPS_7YR_ANN_CAGR" vbProcedure="false">"c6069"</definedName>
    <definedName function="false" hidden="true" name="IQ_DPS_7YR_ANN_GROWTH" vbProcedure="false">"c342"</definedName>
    <definedName function="false" hidden="true" name="IQ_DPS_ACT_OR_EST" vbProcedure="false">"c2218"</definedName>
    <definedName function="false" hidden="true" name="IQ_DPS_ACT_OR_EST_CIQ" vbProcedure="false">"c5062"</definedName>
    <definedName function="false" hidden="true" name="IQ_DPS_ACT_OR_EST_CIQ_COL" vbProcedure="false">"c11709"</definedName>
    <definedName function="false" hidden="true" name="IQ_DPS_ACT_OR_EST_REUT" vbProcedure="false">"c5464"</definedName>
    <definedName function="false" hidden="true" name="IQ_DPS_ACT_OR_EST_THOM" vbProcedure="false">"c5302"</definedName>
    <definedName function="false" hidden="true" name="IQ_DPS_DET_EST" vbProcedure="false">"c12052"</definedName>
    <definedName function="false" hidden="true" name="IQ_DPS_DET_EST_CIQ" vbProcedure="false">"c12112"</definedName>
    <definedName function="false" hidden="true" name="IQ_DPS_DET_EST_CURRENCY" vbProcedure="false">"c12459"</definedName>
    <definedName function="false" hidden="true" name="IQ_DPS_DET_EST_CURRENCY_CIQ" vbProcedure="false">"c12503"</definedName>
    <definedName function="false" hidden="true" name="IQ_DPS_DET_EST_CURRENCY_THOM" vbProcedure="false">"c12480"</definedName>
    <definedName function="false" hidden="true" name="IQ_DPS_DET_EST_DATE" vbProcedure="false">"c12205"</definedName>
    <definedName function="false" hidden="true" name="IQ_DPS_DET_EST_DATE_CIQ" vbProcedure="false">"c12258"</definedName>
    <definedName function="false" hidden="true" name="IQ_DPS_DET_EST_DATE_THOM" vbProcedure="false">"c12231"</definedName>
    <definedName function="false" hidden="true" name="IQ_DPS_DET_EST_INCL" vbProcedure="false">"c12342"</definedName>
    <definedName function="false" hidden="true" name="IQ_DPS_DET_EST_INCL_CIQ" vbProcedure="false">"c12386"</definedName>
    <definedName function="false" hidden="true" name="IQ_DPS_DET_EST_INCL_THOM" vbProcedure="false">"c12363"</definedName>
    <definedName function="false" hidden="true" name="IQ_DPS_DET_EST_NOTE" vbProcedure="false">"c17530"</definedName>
    <definedName function="false" hidden="true" name="IQ_DPS_DET_EST_NOTE_CIQ" vbProcedure="false">"c17483"</definedName>
    <definedName function="false" hidden="true" name="IQ_DPS_DET_EST_ORIGIN" vbProcedure="false">"c12578"</definedName>
    <definedName function="false" hidden="true" name="IQ_DPS_DET_EST_ORIGIN_CIQ" vbProcedure="false">"c12627"</definedName>
    <definedName function="false" hidden="true" name="IQ_DPS_DET_EST_ORIGIN_THOM" vbProcedure="false">"c12601"</definedName>
    <definedName function="false" hidden="true" name="IQ_DPS_DET_EST_THOM" vbProcedure="false">"c12081"</definedName>
    <definedName function="false" hidden="true" name="IQ_DPS_EST" vbProcedure="false">"c1674"</definedName>
    <definedName function="false" hidden="true" name="IQ_DPS_EST_BOTTOM_UP" vbProcedure="false">"c5493"</definedName>
    <definedName function="false" hidden="true" name="IQ_DPS_EST_BOTTOM_UP_CIQ" vbProcedure="false">"c12030"</definedName>
    <definedName function="false" hidden="true" name="IQ_DPS_EST_BOTTOM_UP_REUT" vbProcedure="false">"c5501"</definedName>
    <definedName function="false" hidden="true" name="IQ_DPS_EST_CIQ" vbProcedure="false">"c3682"</definedName>
    <definedName function="false" hidden="true" name="IQ_DPS_EST_DOWN_2MONTH" vbProcedure="false">"c16345"</definedName>
    <definedName function="false" hidden="true" name="IQ_DPS_EST_DOWN_2MONTH_CIQ" vbProcedure="false">"c16657"</definedName>
    <definedName function="false" hidden="true" name="IQ_DPS_EST_DOWN_3MONTH" vbProcedure="false">"c16349"</definedName>
    <definedName function="false" hidden="true" name="IQ_DPS_EST_DOWN_3MONTH_CIQ" vbProcedure="false">"c16661"</definedName>
    <definedName function="false" hidden="true" name="IQ_DPS_EST_DOWN_MONTH" vbProcedure="false">"c16341"</definedName>
    <definedName function="false" hidden="true" name="IQ_DPS_EST_DOWN_MONTH_CIQ" vbProcedure="false">"c16653"</definedName>
    <definedName function="false" hidden="true" name="IQ_DPS_EST_NOTE" vbProcedure="false">"c17509"</definedName>
    <definedName function="false" hidden="true" name="IQ_DPS_EST_NOTE_CIQ" vbProcedure="false">"c17462"</definedName>
    <definedName function="false" hidden="true" name="IQ_DPS_EST_NUM_ANALYSTS_2MONTH" vbProcedure="false">"c16343"</definedName>
    <definedName function="false" hidden="true" name="IQ_DPS_EST_NUM_ANALYSTS_2MONTH_CIQ" vbProcedure="false">"c16655"</definedName>
    <definedName function="false" hidden="true" name="IQ_DPS_EST_NUM_ANALYSTS_3MONTH" vbProcedure="false">"c16347"</definedName>
    <definedName function="false" hidden="true" name="IQ_DPS_EST_NUM_ANALYSTS_3MONTH_CIQ" vbProcedure="false">"c16659"</definedName>
    <definedName function="false" hidden="true" name="IQ_DPS_EST_NUM_ANALYSTS_MONTH" vbProcedure="false">"c16339"</definedName>
    <definedName function="false" hidden="true" name="IQ_DPS_EST_NUM_ANALYSTS_MONTH_CIQ" vbProcedure="false">"c16651"</definedName>
    <definedName function="false" hidden="true" name="IQ_DPS_EST_REUT" vbProcedure="false">"c3851"</definedName>
    <definedName function="false" hidden="true" name="IQ_DPS_EST_THOM" vbProcedure="false">"c4013"</definedName>
    <definedName function="false" hidden="true" name="IQ_DPS_EST_TOTAL_REVISED_2MONTH" vbProcedure="false">"c16346"</definedName>
    <definedName function="false" hidden="true" name="IQ_DPS_EST_TOTAL_REVISED_2MONTH_CIQ" vbProcedure="false">"c16658"</definedName>
    <definedName function="false" hidden="true" name="IQ_DPS_EST_TOTAL_REVISED_3MONTH" vbProcedure="false">"c16350"</definedName>
    <definedName function="false" hidden="true" name="IQ_DPS_EST_TOTAL_REVISED_3MONTH_CIQ" vbProcedure="false">"c16662"</definedName>
    <definedName function="false" hidden="true" name="IQ_DPS_EST_TOTAL_REVISED_MONTH" vbProcedure="false">"c16342"</definedName>
    <definedName function="false" hidden="true" name="IQ_DPS_EST_TOTAL_REVISED_MONTH_CIQ" vbProcedure="false">"c16654"</definedName>
    <definedName function="false" hidden="true" name="IQ_DPS_EST_UP_2MONTH" vbProcedure="false">"c16344"</definedName>
    <definedName function="false" hidden="true" name="IQ_DPS_EST_UP_2MONTH_CIQ" vbProcedure="false">"c16656"</definedName>
    <definedName function="false" hidden="true" name="IQ_DPS_EST_UP_3MONTH" vbProcedure="false">"c16348"</definedName>
    <definedName function="false" hidden="true" name="IQ_DPS_EST_UP_3MONTH_CIQ" vbProcedure="false">"c16660"</definedName>
    <definedName function="false" hidden="true" name="IQ_DPS_EST_UP_MONTH" vbProcedure="false">"c16340"</definedName>
    <definedName function="false" hidden="true" name="IQ_DPS_EST_UP_MONTH_CIQ" vbProcedure="false">"c16652"</definedName>
    <definedName function="false" hidden="true" name="IQ_DPS_GUIDANCE" vbProcedure="false">"c4302"</definedName>
    <definedName function="false" hidden="true" name="IQ_DPS_GUIDANCE_CIQ" vbProcedure="false">"c4827"</definedName>
    <definedName function="false" hidden="true" name="IQ_DPS_GUIDANCE_CIQ_COL" vbProcedure="false">"c11474"</definedName>
    <definedName function="false" hidden="true" name="IQ_DPS_HIGH_EST" vbProcedure="false">"c1676"</definedName>
    <definedName function="false" hidden="true" name="IQ_DPS_HIGH_EST_CIQ" vbProcedure="false">"c3684"</definedName>
    <definedName function="false" hidden="true" name="IQ_DPS_HIGH_EST_REUT" vbProcedure="false">"c3853"</definedName>
    <definedName function="false" hidden="true" name="IQ_DPS_HIGH_EST_THOM" vbProcedure="false">"c4015"</definedName>
    <definedName function="false" hidden="true" name="IQ_DPS_HIGH_GUIDANCE" vbProcedure="false">"c4168"</definedName>
    <definedName function="false" hidden="true" name="IQ_DPS_HIGH_GUIDANCE_CIQ" vbProcedure="false">"c4580"</definedName>
    <definedName function="false" hidden="true" name="IQ_DPS_HIGH_GUIDANCE_CIQ_COL" vbProcedure="false">"c11229"</definedName>
    <definedName function="false" hidden="true" name="IQ_DPS_LOW_EST" vbProcedure="false">"c1677"</definedName>
    <definedName function="false" hidden="true" name="IQ_DPS_LOW_EST_CIQ" vbProcedure="false">"c3685"</definedName>
    <definedName function="false" hidden="true" name="IQ_DPS_LOW_EST_REUT" vbProcedure="false">"c3854"</definedName>
    <definedName function="false" hidden="true" name="IQ_DPS_LOW_EST_THOM" vbProcedure="false">"c4016"</definedName>
    <definedName function="false" hidden="true" name="IQ_DPS_LOW_GUIDANCE" vbProcedure="false">"c4208"</definedName>
    <definedName function="false" hidden="true" name="IQ_DPS_LOW_GUIDANCE_CIQ" vbProcedure="false">"c4620"</definedName>
    <definedName function="false" hidden="true" name="IQ_DPS_LOW_GUIDANCE_CIQ_COL" vbProcedure="false">"c11269"</definedName>
    <definedName function="false" hidden="true" name="IQ_DPS_MEDIAN_EST" vbProcedure="false">"c1675"</definedName>
    <definedName function="false" hidden="true" name="IQ_DPS_MEDIAN_EST_CIQ" vbProcedure="false">"c3683"</definedName>
    <definedName function="false" hidden="true" name="IQ_DPS_MEDIAN_EST_REUT" vbProcedure="false">"c3852"</definedName>
    <definedName function="false" hidden="true" name="IQ_DPS_MEDIAN_EST_THOM" vbProcedure="false">"c4014"</definedName>
    <definedName function="false" hidden="true" name="IQ_DPS_NUM_EST" vbProcedure="false">"c1678"</definedName>
    <definedName function="false" hidden="true" name="IQ_DPS_NUM_EST_CIQ" vbProcedure="false">"c3686"</definedName>
    <definedName function="false" hidden="true" name="IQ_DPS_NUM_EST_REUT" vbProcedure="false">"c3855"</definedName>
    <definedName function="false" hidden="true" name="IQ_DPS_NUM_EST_THOM" vbProcedure="false">"c4017"</definedName>
    <definedName function="false" hidden="true" name="IQ_DPS_STDDEV_EST" vbProcedure="false">"c1679"</definedName>
    <definedName function="false" hidden="true" name="IQ_DPS_STDDEV_EST_CIQ" vbProcedure="false">"c3687"</definedName>
    <definedName function="false" hidden="true" name="IQ_DPS_STDDEV_EST_REUT" vbProcedure="false">"c3856"</definedName>
    <definedName function="false" hidden="true" name="IQ_DPS_STDDEV_EST_THOM" vbProcedure="false">"c4018"</definedName>
    <definedName function="false" hidden="true" name="IQ_DURABLE_INVENTORIES" vbProcedure="false">"c6853"</definedName>
    <definedName function="false" hidden="true" name="IQ_DURABLE_INVENTORIES_APR" vbProcedure="false">"c7513"</definedName>
    <definedName function="false" hidden="true" name="IQ_DURABLE_INVENTORIES_APR_FC" vbProcedure="false">"c8393"</definedName>
    <definedName function="false" hidden="true" name="IQ_DURABLE_INVENTORIES_FC" vbProcedure="false">"c7733"</definedName>
    <definedName function="false" hidden="true" name="IQ_DURABLE_INVENTORIES_POP" vbProcedure="false">"c7073"</definedName>
    <definedName function="false" hidden="true" name="IQ_DURABLE_INVENTORIES_POP_FC" vbProcedure="false">"c7953"</definedName>
    <definedName function="false" hidden="true" name="IQ_DURABLE_INVENTORIES_YOY" vbProcedure="false">"c7293"</definedName>
    <definedName function="false" hidden="true" name="IQ_DURABLE_INVENTORIES_YOY_FC" vbProcedure="false">"c8173"</definedName>
    <definedName function="false" hidden="true" name="IQ_DURABLE_ORDERS" vbProcedure="false">"c6854"</definedName>
    <definedName function="false" hidden="true" name="IQ_DURABLE_ORDERS_APR" vbProcedure="false">"c7514"</definedName>
    <definedName function="false" hidden="true" name="IQ_DURABLE_ORDERS_APR_FC" vbProcedure="false">"c8394"</definedName>
    <definedName function="false" hidden="true" name="IQ_DURABLE_ORDERS_FC" vbProcedure="false">"c7734"</definedName>
    <definedName function="false" hidden="true" name="IQ_DURABLE_ORDERS_POP" vbProcedure="false">"c7074"</definedName>
    <definedName function="false" hidden="true" name="IQ_DURABLE_ORDERS_POP_FC" vbProcedure="false">"c7954"</definedName>
    <definedName function="false" hidden="true" name="IQ_DURABLE_ORDERS_YOY" vbProcedure="false">"c7294"</definedName>
    <definedName function="false" hidden="true" name="IQ_DURABLE_ORDERS_YOY_FC" vbProcedure="false">"c8174"</definedName>
    <definedName function="false" hidden="true" name="IQ_DURABLE_SHIPMENTS" vbProcedure="false">"c6855"</definedName>
    <definedName function="false" hidden="true" name="IQ_DURABLE_SHIPMENTS_APR" vbProcedure="false">"c7515"</definedName>
    <definedName function="false" hidden="true" name="IQ_DURABLE_SHIPMENTS_APR_FC" vbProcedure="false">"c8395"</definedName>
    <definedName function="false" hidden="true" name="IQ_DURABLE_SHIPMENTS_FC" vbProcedure="false">"c7735"</definedName>
    <definedName function="false" hidden="true" name="IQ_DURABLE_SHIPMENTS_POP" vbProcedure="false">"c7075"</definedName>
    <definedName function="false" hidden="true" name="IQ_DURABLE_SHIPMENTS_POP_FC" vbProcedure="false">"c7955"</definedName>
    <definedName function="false" hidden="true" name="IQ_DURABLE_SHIPMENTS_YOY" vbProcedure="false">"c7295"</definedName>
    <definedName function="false" hidden="true" name="IQ_DURABLE_SHIPMENTS_YOY_FC" vbProcedure="false">"c8175"</definedName>
    <definedName function="false" hidden="true" name="IQ_DURATION" vbProcedure="false">"c2181"</definedName>
    <definedName function="false" hidden="true" name="IQ_EARNINGS_ANNOUNCE_DATE" vbProcedure="false">"c1649"</definedName>
    <definedName function="false" hidden="true" name="IQ_EARNINGS_ANNOUNCE_DATE_CIQ" vbProcedure="false">"c4656"</definedName>
    <definedName function="false" hidden="true" name="IQ_EARNINGS_ANNOUNCE_DATE_REUT" vbProcedure="false">"c5314"</definedName>
    <definedName function="false" hidden="true" name="IQ_EARNINGS_ANNOUNCE_DATE_THOM" vbProcedure="false">"c5093"</definedName>
    <definedName function="false" hidden="true" name="IQ_EARNINGS_CONT_OPS_HOMEBUILDING_SALES" vbProcedure="false">"c15817"</definedName>
    <definedName function="false" hidden="true" name="IQ_EARNINGS_COVERAGE_LOSSES_FFIEC" vbProcedure="false">"c13351"</definedName>
    <definedName function="false" hidden="true" name="IQ_EARNINGS_COVERAGE_NET_CHARGE_OFFS_FDIC" vbProcedure="false">"c6735"</definedName>
    <definedName function="false" hidden="true" name="IQ_EARNINGS_CO_FFIEC" vbProcedure="false">"c13032"</definedName>
    <definedName function="false" hidden="true" name="IQ_EARNINGS_LIFE_INSURANCE_FFIEC" vbProcedure="false">"c13041"</definedName>
    <definedName function="false" hidden="true" name="IQ_EARNINGS_PERIOD_COVERED" vbProcedure="false">"c9958"</definedName>
    <definedName function="false" hidden="true" name="IQ_EARNINGS_PERIOD_GROUP" vbProcedure="false">"c9944"</definedName>
    <definedName function="false" hidden="true" name="IQ_EARNING_ASSETS_AVG_ASSETS_FFIEC" vbProcedure="false">"c13354"</definedName>
    <definedName function="false" hidden="true" name="IQ_EARNING_ASSETS_FDIC" vbProcedure="false">"c6360"</definedName>
    <definedName function="false" hidden="true" name="IQ_EARNING_ASSETS_QUARTERLY_AVG_FFIEC" vbProcedure="false">"c13086"</definedName>
    <definedName function="false" hidden="true" name="IQ_EARNING_ASSETS_REPRICE_ASSETS_TOT_FFIEC" vbProcedure="false">"c13451"</definedName>
    <definedName function="false" hidden="true" name="IQ_EARNING_ASSETS_YIELD_FDIC" vbProcedure="false">"c6724"</definedName>
    <definedName function="false" hidden="true" name="IQ_EARNING_ASSET_INT_BEAR_LIABILITIES" vbProcedure="false">"c15703"</definedName>
    <definedName function="false" hidden="true" name="IQ_EARNING_ASSET_YIELD" vbProcedure="false">"c343"</definedName>
    <definedName function="false" hidden="true" name="IQ_EARNING_CO" vbProcedure="false">"c344"</definedName>
    <definedName function="false" hidden="true" name="IQ_EARNING_CO_10YR_ANN_CAGR" vbProcedure="false">"c6070"</definedName>
    <definedName function="false" hidden="true" name="IQ_EARNING_CO_10YR_ANN_GROWTH" vbProcedure="false">"c345"</definedName>
    <definedName function="false" hidden="true" name="IQ_EARNING_CO_1YR_ANN_GROWTH" vbProcedure="false">"c346"</definedName>
    <definedName function="false" hidden="true" name="IQ_EARNING_CO_2YR_ANN_CAGR" vbProcedure="false">"c6071"</definedName>
    <definedName function="false" hidden="true" name="IQ_EARNING_CO_2YR_ANN_GROWTH" vbProcedure="false">"c347"</definedName>
    <definedName function="false" hidden="true" name="IQ_EARNING_CO_3YR_ANN_CAGR" vbProcedure="false">"c6072"</definedName>
    <definedName function="false" hidden="true" name="IQ_EARNING_CO_3YR_ANN_GROWTH" vbProcedure="false">"c348"</definedName>
    <definedName function="false" hidden="true" name="IQ_EARNING_CO_5YR_ANN_CAGR" vbProcedure="false">"c6073"</definedName>
    <definedName function="false" hidden="true" name="IQ_EARNING_CO_5YR_ANN_GROWTH" vbProcedure="false">"c349"</definedName>
    <definedName function="false" hidden="true" name="IQ_EARNING_CO_7YR_ANN_CAGR" vbProcedure="false">"c6074"</definedName>
    <definedName function="false" hidden="true" name="IQ_EARNING_CO_7YR_ANN_GROWTH" vbProcedure="false">"c350"</definedName>
    <definedName function="false" hidden="true" name="IQ_EARNING_CO_MARGIN" vbProcedure="false">"c351"</definedName>
    <definedName function="false" hidden="true" name="IQ_EBIT" vbProcedure="false">"c352"</definedName>
    <definedName function="false" hidden="true" name="IQ_EBITA" vbProcedure="false">"c1910"</definedName>
    <definedName function="false" hidden="true" name="IQ_EBITA_10YR_ANN_CAGR" vbProcedure="false">"c6184"</definedName>
    <definedName function="false" hidden="true" name="IQ_EBITA_10YR_ANN_GROWTH" vbProcedure="false">"c1954"</definedName>
    <definedName function="false" hidden="true" name="IQ_EBITA_1YR_ANN_GROWTH" vbProcedure="false">"c1949"</definedName>
    <definedName function="false" hidden="true" name="IQ_EBITA_2YR_ANN_CAGR" vbProcedure="false">"c6180"</definedName>
    <definedName function="false" hidden="true" name="IQ_EBITA_2YR_ANN_GROWTH" vbProcedure="false">"c1950"</definedName>
    <definedName function="false" hidden="true" name="IQ_EBITA_3YR_ANN_CAGR" vbProcedure="false">"c6181"</definedName>
    <definedName function="false" hidden="true" name="IQ_EBITA_3YR_ANN_GROWTH" vbProcedure="false">"c1951"</definedName>
    <definedName function="false" hidden="true" name="IQ_EBITA_5YR_ANN_CAGR" vbProcedure="false">"c6182"</definedName>
    <definedName function="false" hidden="true" name="IQ_EBITA_5YR_ANN_GROWTH" vbProcedure="false">"c1952"</definedName>
    <definedName function="false" hidden="true" name="IQ_EBITA_7YR_ANN_CAGR" vbProcedure="false">"c6183"</definedName>
    <definedName function="false" hidden="true" name="IQ_EBITA_7YR_ANN_GROWTH" vbProcedure="false">"c1953"</definedName>
    <definedName function="false" hidden="true" name="IQ_EBITA_EQ_INC" vbProcedure="false">"c3497"</definedName>
    <definedName function="false" hidden="true" name="IQ_EBITA_EQ_INC_EXCL_SBC" vbProcedure="false">"c3501"</definedName>
    <definedName function="false" hidden="true" name="IQ_EBITA_EXCL_SBC" vbProcedure="false">"c3080"</definedName>
    <definedName function="false" hidden="true" name="IQ_EBITA_MARGIN" vbProcedure="false">"c1963"</definedName>
    <definedName function="false" hidden="true" name="IQ_EBITDA" vbProcedure="false">"c361"</definedName>
    <definedName function="false" hidden="true" name="IQ_EBITDAR" vbProcedure="false">"c2989"</definedName>
    <definedName function="false" hidden="true" name="IQ_EBITDAR_EQ_INC" vbProcedure="false">"c3499"</definedName>
    <definedName function="false" hidden="true" name="IQ_EBITDAR_EQ_INC_EXCL_SBC" vbProcedure="false">"c3503"</definedName>
    <definedName function="false" hidden="true" name="IQ_EBITDAR_EXCL_SBC" vbProcedure="false">"c3083"</definedName>
    <definedName function="false" hidden="true" name="IQ_EBITDA_10K" vbProcedure="false">"IQ_EBITDA_10K"</definedName>
    <definedName function="false" hidden="true" name="IQ_EBITDA_10Q" vbProcedure="false">"IQ_EBITDA_10Q"</definedName>
    <definedName function="false" hidden="true" name="IQ_EBITDA_10Q1" vbProcedure="false">"IQ_EBITDA_10Q1"</definedName>
    <definedName function="false" hidden="true" name="IQ_EBITDA_10YR_ANN_CAGR" vbProcedure="false">"c6080"</definedName>
    <definedName function="false" hidden="true" name="IQ_EBITDA_10YR_ANN_GROWTH" vbProcedure="false">"c362"</definedName>
    <definedName function="false" hidden="true" name="IQ_EBITDA_1YR_ANN_GROWTH" vbProcedure="false">"c363"</definedName>
    <definedName function="false" hidden="true" name="IQ_EBITDA_2YR_ANN_CAGR" vbProcedure="false">"c6081"</definedName>
    <definedName function="false" hidden="true" name="IQ_EBITDA_2YR_ANN_GROWTH" vbProcedure="false">"c364"</definedName>
    <definedName function="false" hidden="true" name="IQ_EBITDA_3YR_ANN_CAGR" vbProcedure="false">"c6082"</definedName>
    <definedName function="false" hidden="true" name="IQ_EBITDA_3YR_ANN_GROWTH" vbProcedure="false">"c365"</definedName>
    <definedName function="false" hidden="true" name="IQ_EBITDA_5YR_ANN_CAGR" vbProcedure="false">"c6083"</definedName>
    <definedName function="false" hidden="true" name="IQ_EBITDA_5YR_ANN_GROWTH" vbProcedure="false">"c366"</definedName>
    <definedName function="false" hidden="true" name="IQ_EBITDA_7YR_ANN_CAGR" vbProcedure="false">"c6084"</definedName>
    <definedName function="false" hidden="true" name="IQ_EBITDA_7YR_ANN_GROWTH" vbProcedure="false">"c367"</definedName>
    <definedName function="false" hidden="true" name="IQ_EBITDA_ACT_OR_EST" vbProcedure="false">"c2215"</definedName>
    <definedName function="false" hidden="true" name="IQ_EBITDA_ACT_OR_EST_CIQ" vbProcedure="false">"c5060"</definedName>
    <definedName function="false" hidden="true" name="IQ_EBITDA_ACT_OR_EST_CIQ_COL" vbProcedure="false">"c11707"</definedName>
    <definedName function="false" hidden="true" name="IQ_EBITDA_ACT_OR_EST_REUT" vbProcedure="false">"c5462"</definedName>
    <definedName function="false" hidden="true" name="IQ_EBITDA_ACT_OR_EST_THOM" vbProcedure="false">"c5300"</definedName>
    <definedName function="false" hidden="true" name="IQ_EBITDA_CAPEX" vbProcedure="false">"c19143"</definedName>
    <definedName function="false" hidden="true" name="IQ_EBITDA_CAPEX_INT" vbProcedure="false">"c368"</definedName>
    <definedName function="false" hidden="true" name="IQ_EBITDA_CAPEX_OVER_TOTAL_IE" vbProcedure="false">"c1370"</definedName>
    <definedName function="false" hidden="true" name="IQ_EBITDA_DET_EST" vbProcedure="false">"c12054"</definedName>
    <definedName function="false" hidden="true" name="IQ_EBITDA_DET_EST_CIQ" vbProcedure="false">"c12114"</definedName>
    <definedName function="false" hidden="true" name="IQ_EBITDA_DET_EST_CURRENCY" vbProcedure="false">"c12461"</definedName>
    <definedName function="false" hidden="true" name="IQ_EBITDA_DET_EST_CURRENCY_CIQ" vbProcedure="false">"c12505"</definedName>
    <definedName function="false" hidden="true" name="IQ_EBITDA_DET_EST_CURRENCY_THOM" vbProcedure="false">"c12482"</definedName>
    <definedName function="false" hidden="true" name="IQ_EBITDA_DET_EST_DATE" vbProcedure="false">"c12207"</definedName>
    <definedName function="false" hidden="true" name="IQ_EBITDA_DET_EST_DATE_CIQ" vbProcedure="false">"c12260"</definedName>
    <definedName function="false" hidden="true" name="IQ_EBITDA_DET_EST_DATE_THOM" vbProcedure="false">"c12233"</definedName>
    <definedName function="false" hidden="true" name="IQ_EBITDA_DET_EST_INCL" vbProcedure="false">"c12344"</definedName>
    <definedName function="false" hidden="true" name="IQ_EBITDA_DET_EST_INCL_CIQ" vbProcedure="false">"c12388"</definedName>
    <definedName function="false" hidden="true" name="IQ_EBITDA_DET_EST_INCL_THOM" vbProcedure="false">"c12365"</definedName>
    <definedName function="false" hidden="true" name="IQ_EBITDA_DET_EST_NOTE" vbProcedure="false">"c17526"</definedName>
    <definedName function="false" hidden="true" name="IQ_EBITDA_DET_EST_NOTE_CIQ" vbProcedure="false">"c17479"</definedName>
    <definedName function="false" hidden="true" name="IQ_EBITDA_DET_EST_ORIGIN" vbProcedure="false">"c12580"</definedName>
    <definedName function="false" hidden="true" name="IQ_EBITDA_DET_EST_ORIGIN_CIQ" vbProcedure="false">"c12629"</definedName>
    <definedName function="false" hidden="true" name="IQ_EBITDA_DET_EST_ORIGIN_THOM" vbProcedure="false">"c12603"</definedName>
    <definedName function="false" hidden="true" name="IQ_EBITDA_DET_EST_REUT_CURRENCY_CURRENCY_REUT" vbProcedure="false">"c12529"</definedName>
    <definedName function="false" hidden="true" name="IQ_EBITDA_DET_EST_THOM" vbProcedure="false">"c12083"</definedName>
    <definedName function="false" hidden="true" name="IQ_EBITDA_EQ_INC" vbProcedure="false">"c3496"</definedName>
    <definedName function="false" hidden="true" name="IQ_EBITDA_EQ_INC_EXCL_SBC" vbProcedure="false">"c3500"</definedName>
    <definedName function="false" hidden="true" name="IQ_EBITDA_EST" vbProcedure="false">"c369"</definedName>
    <definedName function="false" hidden="true" name="IQ_EBITDA_EST_CIQ" vbProcedure="false">"c3622"</definedName>
    <definedName function="false" hidden="true" name="IQ_EBITDA_EST_DOWN_2MONTH" vbProcedure="false">"c16297"</definedName>
    <definedName function="false" hidden="true" name="IQ_EBITDA_EST_DOWN_2MONTH_CIQ" vbProcedure="false">"c16621"</definedName>
    <definedName function="false" hidden="true" name="IQ_EBITDA_EST_DOWN_3MONTH" vbProcedure="false">"c16301"</definedName>
    <definedName function="false" hidden="true" name="IQ_EBITDA_EST_DOWN_3MONTH_CIQ" vbProcedure="false">"c16625"</definedName>
    <definedName function="false" hidden="true" name="IQ_EBITDA_EST_DOWN_MONTH" vbProcedure="false">"c16293"</definedName>
    <definedName function="false" hidden="true" name="IQ_EBITDA_EST_DOWN_MONTH_CIQ" vbProcedure="false">"c16617"</definedName>
    <definedName function="false" hidden="true" name="IQ_EBITDA_EST_NOTE" vbProcedure="false">"c17503"</definedName>
    <definedName function="false" hidden="true" name="IQ_EBITDA_EST_NOTE_CIQ" vbProcedure="false">"c17456"</definedName>
    <definedName function="false" hidden="true" name="IQ_EBITDA_EST_NUM_ANALYSTS_2MONTH" vbProcedure="false">"c16295"</definedName>
    <definedName function="false" hidden="true" name="IQ_EBITDA_EST_NUM_ANALYSTS_2MONTH_CIQ" vbProcedure="false">"c16619"</definedName>
    <definedName function="false" hidden="true" name="IQ_EBITDA_EST_NUM_ANALYSTS_3MONTH" vbProcedure="false">"c16299"</definedName>
    <definedName function="false" hidden="true" name="IQ_EBITDA_EST_NUM_ANALYSTS_3MONTH_CIQ" vbProcedure="false">"c16623"</definedName>
    <definedName function="false" hidden="true" name="IQ_EBITDA_EST_NUM_ANALYSTS_MONTH" vbProcedure="false">"c16291"</definedName>
    <definedName function="false" hidden="true" name="IQ_EBITDA_EST_NUM_ANALYSTS_MONTH_CIQ" vbProcedure="false">"c16615"</definedName>
    <definedName function="false" hidden="true" name="IQ_EBITDA_EST_REUT" vbProcedure="false">"c3640"</definedName>
    <definedName function="false" hidden="true" name="IQ_EBITDA_EST_THOM" vbProcedure="false">"c3658"</definedName>
    <definedName function="false" hidden="true" name="IQ_EBITDA_EST_TOTAL_REVISED_2MONTH" vbProcedure="false">"c16298"</definedName>
    <definedName function="false" hidden="true" name="IQ_EBITDA_EST_TOTAL_REVISED_2MONTH_CIQ" vbProcedure="false">"c16622"</definedName>
    <definedName function="false" hidden="true" name="IQ_EBITDA_EST_TOTAL_REVISED_3MONTH" vbProcedure="false">"c16302"</definedName>
    <definedName function="false" hidden="true" name="IQ_EBITDA_EST_TOTAL_REVISED_3MONTH_CIQ" vbProcedure="false">"c16626"</definedName>
    <definedName function="false" hidden="true" name="IQ_EBITDA_EST_TOTAL_REVISED_MONTH" vbProcedure="false">"c16294"</definedName>
    <definedName function="false" hidden="true" name="IQ_EBITDA_EST_TOTAL_REVISED_MONTH_CIQ" vbProcedure="false">"c16618"</definedName>
    <definedName function="false" hidden="true" name="IQ_EBITDA_EST_UP_2MONTH" vbProcedure="false">"c16296"</definedName>
    <definedName function="false" hidden="true" name="IQ_EBITDA_EST_UP_2MONTH_CIQ" vbProcedure="false">"c16620"</definedName>
    <definedName function="false" hidden="true" name="IQ_EBITDA_EST_UP_3MONTH" vbProcedure="false">"c16300"</definedName>
    <definedName function="false" hidden="true" name="IQ_EBITDA_EST_UP_3MONTH_CIQ" vbProcedure="false">"c16624"</definedName>
    <definedName function="false" hidden="true" name="IQ_EBITDA_EST_UP_MONTH" vbProcedure="false">"c16292"</definedName>
    <definedName function="false" hidden="true" name="IQ_EBITDA_EST_UP_MONTH_CIQ" vbProcedure="false">"c16616"</definedName>
    <definedName function="false" hidden="true" name="IQ_EBITDA_EXCL_SBC" vbProcedure="false">"c3081"</definedName>
    <definedName function="false" hidden="true" name="IQ_EBITDA_GROWTH_1" vbProcedure="false">"IQ_EBITDA_GROWTH_1"</definedName>
    <definedName function="false" hidden="true" name="IQ_EBITDA_GROWTH_2" vbProcedure="false">"IQ_EBITDA_GROWTH_2"</definedName>
    <definedName function="false" hidden="true" name="IQ_EBITDA_GUIDANCE" vbProcedure="false">"c4334"</definedName>
    <definedName function="false" hidden="true" name="IQ_EBITDA_GUIDANCE_CIQ" vbProcedure="false">"c4859"</definedName>
    <definedName function="false" hidden="true" name="IQ_EBITDA_GUIDANCE_CIQ_COL" vbProcedure="false">"c11506"</definedName>
    <definedName function="false" hidden="true" name="IQ_EBITDA_HIGH_EST" vbProcedure="false">"c370"</definedName>
    <definedName function="false" hidden="true" name="IQ_EBITDA_HIGH_EST_CIQ" vbProcedure="false">"c3624"</definedName>
    <definedName function="false" hidden="true" name="IQ_EBITDA_HIGH_EST_REUT" vbProcedure="false">"c3642"</definedName>
    <definedName function="false" hidden="true" name="IQ_EBITDA_HIGH_EST_THOM" vbProcedure="false">"c3660"</definedName>
    <definedName function="false" hidden="true" name="IQ_EBITDA_HIGH_GUIDANCE" vbProcedure="false">"c4170"</definedName>
    <definedName function="false" hidden="true" name="IQ_EBITDA_HIGH_GUIDANCE_CIQ" vbProcedure="false">"c4582"</definedName>
    <definedName function="false" hidden="true" name="IQ_EBITDA_HIGH_GUIDANCE_CIQ_COL" vbProcedure="false">"c11231"</definedName>
    <definedName function="false" hidden="true" name="IQ_EBITDA_HOMEBUILDING_SALES" vbProcedure="false">"c15814"</definedName>
    <definedName function="false" hidden="true" name="IQ_EBITDA_INT" vbProcedure="false">"c373"</definedName>
    <definedName function="false" hidden="true" name="IQ_EBITDA_LOW_EST" vbProcedure="false">"c371"</definedName>
    <definedName function="false" hidden="true" name="IQ_EBITDA_LOW_EST_CIQ" vbProcedure="false">"c3625"</definedName>
    <definedName function="false" hidden="true" name="IQ_EBITDA_LOW_EST_REUT" vbProcedure="false">"c3643"</definedName>
    <definedName function="false" hidden="true" name="IQ_EBITDA_LOW_EST_THOM" vbProcedure="false">"c3661"</definedName>
    <definedName function="false" hidden="true" name="IQ_EBITDA_LOW_GUIDANCE" vbProcedure="false">"c4210"</definedName>
    <definedName function="false" hidden="true" name="IQ_EBITDA_LOW_GUIDANCE_CIQ" vbProcedure="false">"c4622"</definedName>
    <definedName function="false" hidden="true" name="IQ_EBITDA_LOW_GUIDANCE_CIQ_COL" vbProcedure="false">"c11271"</definedName>
    <definedName function="false" hidden="true" name="IQ_EBITDA_MARGIN" vbProcedure="false">"c372"</definedName>
    <definedName function="false" hidden="true" name="IQ_EBITDA_MEDIAN_EST" vbProcedure="false">"c1663"</definedName>
    <definedName function="false" hidden="true" name="IQ_EBITDA_MEDIAN_EST_CIQ" vbProcedure="false">"c3623"</definedName>
    <definedName function="false" hidden="true" name="IQ_EBITDA_MEDIAN_EST_REUT" vbProcedure="false">"c3641"</definedName>
    <definedName function="false" hidden="true" name="IQ_EBITDA_MEDIAN_EST_THOM" vbProcedure="false">"c3659"</definedName>
    <definedName function="false" hidden="true" name="IQ_EBITDA_NUM_EST" vbProcedure="false">"c374"</definedName>
    <definedName function="false" hidden="true" name="IQ_EBITDA_NUM_EST_CIQ" vbProcedure="false">"c3626"</definedName>
    <definedName function="false" hidden="true" name="IQ_EBITDA_NUM_EST_REUT" vbProcedure="false">"c3644"</definedName>
    <definedName function="false" hidden="true" name="IQ_EBITDA_NUM_EST_THOM" vbProcedure="false">"c3662"</definedName>
    <definedName function="false" hidden="true" name="IQ_EBITDA_OVER_TOTAL_IE" vbProcedure="false">"c1371"</definedName>
    <definedName function="false" hidden="true" name="IQ_EBITDA_SBC_ACT_OR_EST" vbProcedure="false">"c4337"</definedName>
    <definedName function="false" hidden="true" name="IQ_EBITDA_SBC_ACT_OR_EST_CIQ" vbProcedure="false">"c4862"</definedName>
    <definedName function="false" hidden="true" name="IQ_EBITDA_SBC_ACT_OR_EST_CIQ_COL" vbProcedure="false">"c11509"</definedName>
    <definedName function="false" hidden="true" name="IQ_EBITDA_SBC_EST" vbProcedure="false">"c4336"</definedName>
    <definedName function="false" hidden="true" name="IQ_EBITDA_SBC_EST_CIQ" vbProcedure="false">"c4861"</definedName>
    <definedName function="false" hidden="true" name="IQ_EBITDA_SBC_GUIDANCE" vbProcedure="false">"c4338"</definedName>
    <definedName function="false" hidden="true" name="IQ_EBITDA_SBC_GUIDANCE_CIQ" vbProcedure="false">"c4863"</definedName>
    <definedName function="false" hidden="true" name="IQ_EBITDA_SBC_GUIDANCE_CIQ_COL" vbProcedure="false">"c11510"</definedName>
    <definedName function="false" hidden="true" name="IQ_EBITDA_SBC_HIGH_EST" vbProcedure="false">"c4339"</definedName>
    <definedName function="false" hidden="true" name="IQ_EBITDA_SBC_HIGH_EST_CIQ" vbProcedure="false">"c4864"</definedName>
    <definedName function="false" hidden="true" name="IQ_EBITDA_SBC_HIGH_GUIDANCE" vbProcedure="false">"c4194"</definedName>
    <definedName function="false" hidden="true" name="IQ_EBITDA_SBC_HIGH_GUIDANCE_CIQ" vbProcedure="false">"c4606"</definedName>
    <definedName function="false" hidden="true" name="IQ_EBITDA_SBC_HIGH_GUIDANCE_CIQ_COL" vbProcedure="false">"c11255"</definedName>
    <definedName function="false" hidden="true" name="IQ_EBITDA_SBC_LOW_EST" vbProcedure="false">"c4340"</definedName>
    <definedName function="false" hidden="true" name="IQ_EBITDA_SBC_LOW_EST_CIQ" vbProcedure="false">"c4865"</definedName>
    <definedName function="false" hidden="true" name="IQ_EBITDA_SBC_LOW_GUIDANCE" vbProcedure="false">"c4234"</definedName>
    <definedName function="false" hidden="true" name="IQ_EBITDA_SBC_LOW_GUIDANCE_CIQ" vbProcedure="false">"c4646"</definedName>
    <definedName function="false" hidden="true" name="IQ_EBITDA_SBC_LOW_GUIDANCE_CIQ_COL" vbProcedure="false">"c11295"</definedName>
    <definedName function="false" hidden="true" name="IQ_EBITDA_SBC_MEDIAN_EST" vbProcedure="false">"c4341"</definedName>
    <definedName function="false" hidden="true" name="IQ_EBITDA_SBC_MEDIAN_EST_CIQ" vbProcedure="false">"c4866"</definedName>
    <definedName function="false" hidden="true" name="IQ_EBITDA_SBC_NUM_EST" vbProcedure="false">"c4342"</definedName>
    <definedName function="false" hidden="true" name="IQ_EBITDA_SBC_NUM_EST_CIQ" vbProcedure="false">"c4867"</definedName>
    <definedName function="false" hidden="true" name="IQ_EBITDA_SBC_STDDEV_EST" vbProcedure="false">"c4343"</definedName>
    <definedName function="false" hidden="true" name="IQ_EBITDA_SBC_STDDEV_EST_CIQ" vbProcedure="false">"c4868"</definedName>
    <definedName function="false" hidden="true" name="IQ_EBITDA_STDDEV_EST" vbProcedure="false">"c375"</definedName>
    <definedName function="false" hidden="true" name="IQ_EBITDA_STDDEV_EST_CIQ" vbProcedure="false">"c3627"</definedName>
    <definedName function="false" hidden="true" name="IQ_EBITDA_STDDEV_EST_REUT" vbProcedure="false">"c3645"</definedName>
    <definedName function="false" hidden="true" name="IQ_EBITDA_STDDEV_EST_THOM" vbProcedure="false">"c3663"</definedName>
    <definedName function="false" hidden="true" name="IQ_EBIT_10K" vbProcedure="false">"IQ_EBIT_10K"</definedName>
    <definedName function="false" hidden="true" name="IQ_EBIT_10Q" vbProcedure="false">"IQ_EBIT_10Q"</definedName>
    <definedName function="false" hidden="true" name="IQ_EBIT_10Q1" vbProcedure="false">"IQ_EBIT_10Q1"</definedName>
    <definedName function="false" hidden="true" name="IQ_EBIT_10YR_ANN_CAGR" vbProcedure="false">"c6075"</definedName>
    <definedName function="false" hidden="true" name="IQ_EBIT_10YR_ANN_GROWTH" vbProcedure="false">"c353"</definedName>
    <definedName function="false" hidden="true" name="IQ_EBIT_1YR_ANN_GROWTH" vbProcedure="false">"c354"</definedName>
    <definedName function="false" hidden="true" name="IQ_EBIT_2YR_ANN_CAGR" vbProcedure="false">"c6076"</definedName>
    <definedName function="false" hidden="true" name="IQ_EBIT_2YR_ANN_GROWTH" vbProcedure="false">"c355"</definedName>
    <definedName function="false" hidden="true" name="IQ_EBIT_3YR_ANN_CAGR" vbProcedure="false">"c6077"</definedName>
    <definedName function="false" hidden="true" name="IQ_EBIT_3YR_ANN_GROWTH" vbProcedure="false">"c356"</definedName>
    <definedName function="false" hidden="true" name="IQ_EBIT_5YR_ANN_CAGR" vbProcedure="false">"c6078"</definedName>
    <definedName function="false" hidden="true" name="IQ_EBIT_5YR_ANN_GROWTH" vbProcedure="false">"c357"</definedName>
    <definedName function="false" hidden="true" name="IQ_EBIT_7YR_ANN_CAGR" vbProcedure="false">"c6079"</definedName>
    <definedName function="false" hidden="true" name="IQ_EBIT_7YR_ANN_GROWTH" vbProcedure="false">"c358"</definedName>
    <definedName function="false" hidden="true" name="IQ_EBIT_ACT_OR_EST" vbProcedure="false">"c2219"</definedName>
    <definedName function="false" hidden="true" name="IQ_EBIT_ACT_OR_EST_CIQ" vbProcedure="false">"c5063"</definedName>
    <definedName function="false" hidden="true" name="IQ_EBIT_ACT_OR_EST_CIQ_COL" vbProcedure="false">"c11710"</definedName>
    <definedName function="false" hidden="true" name="IQ_EBIT_ACT_OR_EST_REUT" vbProcedure="false">"c5465"</definedName>
    <definedName function="false" hidden="true" name="IQ_EBIT_ACT_OR_EST_THOM" vbProcedure="false">"c5303"</definedName>
    <definedName function="false" hidden="true" name="IQ_EBIT_DET_EST" vbProcedure="false">"c12053"</definedName>
    <definedName function="false" hidden="true" name="IQ_EBIT_DET_EST_CIQ" vbProcedure="false">"c12113"</definedName>
    <definedName function="false" hidden="true" name="IQ_EBIT_DET_EST_CURRENCY" vbProcedure="false">"c12460"</definedName>
    <definedName function="false" hidden="true" name="IQ_EBIT_DET_EST_CURRENCY_CIQ" vbProcedure="false">"c12504"</definedName>
    <definedName function="false" hidden="true" name="IQ_EBIT_DET_EST_CURRENCY_THOM" vbProcedure="false">"c12481"</definedName>
    <definedName function="false" hidden="true" name="IQ_EBIT_DET_EST_DATE" vbProcedure="false">"c12206"</definedName>
    <definedName function="false" hidden="true" name="IQ_EBIT_DET_EST_DATE_CIQ" vbProcedure="false">"c12259"</definedName>
    <definedName function="false" hidden="true" name="IQ_EBIT_DET_EST_DATE_THOM" vbProcedure="false">"c12232"</definedName>
    <definedName function="false" hidden="true" name="IQ_EBIT_DET_EST_INCL" vbProcedure="false">"c12343"</definedName>
    <definedName function="false" hidden="true" name="IQ_EBIT_DET_EST_INCL_CIQ" vbProcedure="false">"c12387"</definedName>
    <definedName function="false" hidden="true" name="IQ_EBIT_DET_EST_INCL_THOM" vbProcedure="false">"c12364"</definedName>
    <definedName function="false" hidden="true" name="IQ_EBIT_DET_EST_NOTE" vbProcedure="false">"c17531"</definedName>
    <definedName function="false" hidden="true" name="IQ_EBIT_DET_EST_NOTE_CIQ" vbProcedure="false">"c17484"</definedName>
    <definedName function="false" hidden="true" name="IQ_EBIT_DET_EST_ORIGIN" vbProcedure="false">"c12579"</definedName>
    <definedName function="false" hidden="true" name="IQ_EBIT_DET_EST_ORIGIN_CIQ" vbProcedure="false">"c12628"</definedName>
    <definedName function="false" hidden="true" name="IQ_EBIT_DET_EST_ORIGIN_THOM" vbProcedure="false">"c12602"</definedName>
    <definedName function="false" hidden="true" name="IQ_EBIT_DET_EST_THOM" vbProcedure="false">"c12082"</definedName>
    <definedName function="false" hidden="true" name="IQ_EBIT_EQ_INC" vbProcedure="false">"c3498"</definedName>
    <definedName function="false" hidden="true" name="IQ_EBIT_EQ_INC_EXCL_SBC" vbProcedure="false">"c3502"</definedName>
    <definedName function="false" hidden="true" name="IQ_EBIT_EST" vbProcedure="false">"c1681"</definedName>
    <definedName function="false" hidden="true" name="IQ_EBIT_EST_CIQ" vbProcedure="false">"c4674"</definedName>
    <definedName function="false" hidden="true" name="IQ_EBIT_EST_DOWN_2MONTH" vbProcedure="false">"c16357"</definedName>
    <definedName function="false" hidden="true" name="IQ_EBIT_EST_DOWN_2MONTH_CIQ" vbProcedure="false">"c16669"</definedName>
    <definedName function="false" hidden="true" name="IQ_EBIT_EST_DOWN_3MONTH" vbProcedure="false">"c16361"</definedName>
    <definedName function="false" hidden="true" name="IQ_EBIT_EST_DOWN_3MONTH_CIQ" vbProcedure="false">"c16673"</definedName>
    <definedName function="false" hidden="true" name="IQ_EBIT_EST_DOWN_MONTH" vbProcedure="false">"c16353"</definedName>
    <definedName function="false" hidden="true" name="IQ_EBIT_EST_DOWN_MONTH_CIQ" vbProcedure="false">"c16665"</definedName>
    <definedName function="false" hidden="true" name="IQ_EBIT_EST_NOTE" vbProcedure="false">"c17510"</definedName>
    <definedName function="false" hidden="true" name="IQ_EBIT_EST_NOTE_CIQ" vbProcedure="false">"c17463"</definedName>
    <definedName function="false" hidden="true" name="IQ_EBIT_EST_NUM_ANALYSTS_2MONTH" vbProcedure="false">"c16355"</definedName>
    <definedName function="false" hidden="true" name="IQ_EBIT_EST_NUM_ANALYSTS_2MONTH_CIQ" vbProcedure="false">"c16667"</definedName>
    <definedName function="false" hidden="true" name="IQ_EBIT_EST_NUM_ANALYSTS_3MONTH" vbProcedure="false">"c16359"</definedName>
    <definedName function="false" hidden="true" name="IQ_EBIT_EST_NUM_ANALYSTS_3MONTH_CIQ" vbProcedure="false">"c16671"</definedName>
    <definedName function="false" hidden="true" name="IQ_EBIT_EST_NUM_ANALYSTS_MONTH" vbProcedure="false">"c16351"</definedName>
    <definedName function="false" hidden="true" name="IQ_EBIT_EST_NUM_ANALYSTS_MONTH_CIQ" vbProcedure="false">"c16663"</definedName>
    <definedName function="false" hidden="true" name="IQ_EBIT_EST_REUT" vbProcedure="false">"c5333"</definedName>
    <definedName function="false" hidden="true" name="IQ_EBIT_EST_THOM" vbProcedure="false">"c5105"</definedName>
    <definedName function="false" hidden="true" name="IQ_EBIT_EST_TOTAL_REVISED_2MONTH" vbProcedure="false">"c16358"</definedName>
    <definedName function="false" hidden="true" name="IQ_EBIT_EST_TOTAL_REVISED_2MONTH_CIQ" vbProcedure="false">"c16670"</definedName>
    <definedName function="false" hidden="true" name="IQ_EBIT_EST_TOTAL_REVISED_3MONTH" vbProcedure="false">"c16362"</definedName>
    <definedName function="false" hidden="true" name="IQ_EBIT_EST_TOTAL_REVISED_3MONTH_CIQ" vbProcedure="false">"c16674"</definedName>
    <definedName function="false" hidden="true" name="IQ_EBIT_EST_TOTAL_REVISED_MONTH" vbProcedure="false">"c16354"</definedName>
    <definedName function="false" hidden="true" name="IQ_EBIT_EST_TOTAL_REVISED_MONTH_CIQ" vbProcedure="false">"c16666"</definedName>
    <definedName function="false" hidden="true" name="IQ_EBIT_EST_UP_2MONTH" vbProcedure="false">"c16356"</definedName>
    <definedName function="false" hidden="true" name="IQ_EBIT_EST_UP_2MONTH_CIQ" vbProcedure="false">"c16668"</definedName>
    <definedName function="false" hidden="true" name="IQ_EBIT_EST_UP_3MONTH" vbProcedure="false">"c16360"</definedName>
    <definedName function="false" hidden="true" name="IQ_EBIT_EST_UP_3MONTH_CIQ" vbProcedure="false">"c16672"</definedName>
    <definedName function="false" hidden="true" name="IQ_EBIT_EST_UP_MONTH" vbProcedure="false">"c16352"</definedName>
    <definedName function="false" hidden="true" name="IQ_EBIT_EST_UP_MONTH_CIQ" vbProcedure="false">"c16664"</definedName>
    <definedName function="false" hidden="true" name="IQ_EBIT_EXCL_SBC" vbProcedure="false">"c3082"</definedName>
    <definedName function="false" hidden="true" name="IQ_EBIT_GROWTH_1" vbProcedure="false">"IQ_EBIT_GROWTH_1"</definedName>
    <definedName function="false" hidden="true" name="IQ_EBIT_GROWTH_2" vbProcedure="false">"IQ_EBIT_GROWTH_2"</definedName>
    <definedName function="false" hidden="true" name="IQ_EBIT_GUIDANCE" vbProcedure="false">"c4303"</definedName>
    <definedName function="false" hidden="true" name="IQ_EBIT_GUIDANCE_CIQ" vbProcedure="false">"c4828"</definedName>
    <definedName function="false" hidden="true" name="IQ_EBIT_GUIDANCE_CIQ_COL" vbProcedure="false">"c11475"</definedName>
    <definedName function="false" hidden="true" name="IQ_EBIT_GW_ACT_OR_EST" vbProcedure="false">"c4306"</definedName>
    <definedName function="false" hidden="true" name="IQ_EBIT_GW_ACT_OR_EST_CIQ" vbProcedure="false">"c4831"</definedName>
    <definedName function="false" hidden="true" name="IQ_EBIT_GW_ACT_OR_EST_CIQ_COL" vbProcedure="false">"c11478"</definedName>
    <definedName function="false" hidden="true" name="IQ_EBIT_GW_EST" vbProcedure="false">"c4305"</definedName>
    <definedName function="false" hidden="true" name="IQ_EBIT_GW_EST_CIQ" vbProcedure="false">"c4830"</definedName>
    <definedName function="false" hidden="true" name="IQ_EBIT_GW_GUIDANCE" vbProcedure="false">"c4307"</definedName>
    <definedName function="false" hidden="true" name="IQ_EBIT_GW_GUIDANCE_CIQ" vbProcedure="false">"c4832"</definedName>
    <definedName function="false" hidden="true" name="IQ_EBIT_GW_GUIDANCE_CIQ_COL" vbProcedure="false">"c11479"</definedName>
    <definedName function="false" hidden="true" name="IQ_EBIT_GW_HIGH_EST" vbProcedure="false">"c4308"</definedName>
    <definedName function="false" hidden="true" name="IQ_EBIT_GW_HIGH_EST_CIQ" vbProcedure="false">"c4833"</definedName>
    <definedName function="false" hidden="true" name="IQ_EBIT_GW_HIGH_GUIDANCE" vbProcedure="false">"c4171"</definedName>
    <definedName function="false" hidden="true" name="IQ_EBIT_GW_HIGH_GUIDANCE_CIQ" vbProcedure="false">"c4583"</definedName>
    <definedName function="false" hidden="true" name="IQ_EBIT_GW_HIGH_GUIDANCE_CIQ_COL" vbProcedure="false">"c11232"</definedName>
    <definedName function="false" hidden="true" name="IQ_EBIT_GW_LOW_EST" vbProcedure="false">"c4309"</definedName>
    <definedName function="false" hidden="true" name="IQ_EBIT_GW_LOW_EST_CIQ" vbProcedure="false">"c4834"</definedName>
    <definedName function="false" hidden="true" name="IQ_EBIT_GW_LOW_GUIDANCE" vbProcedure="false">"c4211"</definedName>
    <definedName function="false" hidden="true" name="IQ_EBIT_GW_LOW_GUIDANCE_CIQ" vbProcedure="false">"c4623"</definedName>
    <definedName function="false" hidden="true" name="IQ_EBIT_GW_LOW_GUIDANCE_CIQ_COL" vbProcedure="false">"c11272"</definedName>
    <definedName function="false" hidden="true" name="IQ_EBIT_GW_MEDIAN_EST" vbProcedure="false">"c4310"</definedName>
    <definedName function="false" hidden="true" name="IQ_EBIT_GW_MEDIAN_EST_CIQ" vbProcedure="false">"c4835"</definedName>
    <definedName function="false" hidden="true" name="IQ_EBIT_GW_NUM_EST" vbProcedure="false">"c4311"</definedName>
    <definedName function="false" hidden="true" name="IQ_EBIT_GW_NUM_EST_CIQ" vbProcedure="false">"c4836"</definedName>
    <definedName function="false" hidden="true" name="IQ_EBIT_GW_STDDEV_EST" vbProcedure="false">"c4312"</definedName>
    <definedName function="false" hidden="true" name="IQ_EBIT_GW_STDDEV_EST_CIQ" vbProcedure="false">"c4837"</definedName>
    <definedName function="false" hidden="true" name="IQ_EBIT_HIGH_EST" vbProcedure="false">"c1683"</definedName>
    <definedName function="false" hidden="true" name="IQ_EBIT_HIGH_EST_CIQ" vbProcedure="false">"c4676"</definedName>
    <definedName function="false" hidden="true" name="IQ_EBIT_HIGH_EST_REUT" vbProcedure="false">"c5335"</definedName>
    <definedName function="false" hidden="true" name="IQ_EBIT_HIGH_EST_THOM" vbProcedure="false">"c5107"</definedName>
    <definedName function="false" hidden="true" name="IQ_EBIT_HIGH_GUIDANCE" vbProcedure="false">"c4172"</definedName>
    <definedName function="false" hidden="true" name="IQ_EBIT_HIGH_GUIDANCE_CIQ" vbProcedure="false">"c4584"</definedName>
    <definedName function="false" hidden="true" name="IQ_EBIT_HIGH_GUIDANCE_CIQ_COL" vbProcedure="false">"c11233"</definedName>
    <definedName function="false" hidden="true" name="IQ_EBIT_HOMEBUILDING_SALES" vbProcedure="false">"c15815"</definedName>
    <definedName function="false" hidden="true" name="IQ_EBIT_INT" vbProcedure="false">"c360"</definedName>
    <definedName function="false" hidden="true" name="IQ_EBIT_LOW_EST" vbProcedure="false">"c1684"</definedName>
    <definedName function="false" hidden="true" name="IQ_EBIT_LOW_EST_CIQ" vbProcedure="false">"c4677"</definedName>
    <definedName function="false" hidden="true" name="IQ_EBIT_LOW_EST_REUT" vbProcedure="false">"c5336"</definedName>
    <definedName function="false" hidden="true" name="IQ_EBIT_LOW_EST_THOM" vbProcedure="false">"c5108"</definedName>
    <definedName function="false" hidden="true" name="IQ_EBIT_LOW_GUIDANCE" vbProcedure="false">"c4212"</definedName>
    <definedName function="false" hidden="true" name="IQ_EBIT_LOW_GUIDANCE_CIQ" vbProcedure="false">"c4624"</definedName>
    <definedName function="false" hidden="true" name="IQ_EBIT_LOW_GUIDANCE_CIQ_COL" vbProcedure="false">"c11273"</definedName>
    <definedName function="false" hidden="true" name="IQ_EBIT_MARGIN" vbProcedure="false">"c359"</definedName>
    <definedName function="false" hidden="true" name="IQ_EBIT_MEDIAN_EST" vbProcedure="false">"c1682"</definedName>
    <definedName function="false" hidden="true" name="IQ_EBIT_MEDIAN_EST_CIQ" vbProcedure="false">"c4675"</definedName>
    <definedName function="false" hidden="true" name="IQ_EBIT_MEDIAN_EST_REUT" vbProcedure="false">"c5334"</definedName>
    <definedName function="false" hidden="true" name="IQ_EBIT_MEDIAN_EST_THOM" vbProcedure="false">"c5106"</definedName>
    <definedName function="false" hidden="true" name="IQ_EBIT_NUM_EST" vbProcedure="false">"c1685"</definedName>
    <definedName function="false" hidden="true" name="IQ_EBIT_NUM_EST_CIQ" vbProcedure="false">"c4678"</definedName>
    <definedName function="false" hidden="true" name="IQ_EBIT_NUM_EST_REUT" vbProcedure="false">"c5337"</definedName>
    <definedName function="false" hidden="true" name="IQ_EBIT_NUM_EST_THOM" vbProcedure="false">"c5109"</definedName>
    <definedName function="false" hidden="true" name="IQ_EBIT_OVER_IE" vbProcedure="false">"c1369"</definedName>
    <definedName function="false" hidden="true" name="IQ_EBIT_SBC_ACT_OR_EST" vbProcedure="false">"c4316"</definedName>
    <definedName function="false" hidden="true" name="IQ_EBIT_SBC_ACT_OR_EST_CIQ" vbProcedure="false">"c4841"</definedName>
    <definedName function="false" hidden="true" name="IQ_EBIT_SBC_ACT_OR_EST_CIQ_COL" vbProcedure="false">"c11488"</definedName>
    <definedName function="false" hidden="true" name="IQ_EBIT_SBC_EST" vbProcedure="false">"c4315"</definedName>
    <definedName function="false" hidden="true" name="IQ_EBIT_SBC_EST_CIQ" vbProcedure="false">"c4840"</definedName>
    <definedName function="false" hidden="true" name="IQ_EBIT_SBC_GUIDANCE" vbProcedure="false">"c4317"</definedName>
    <definedName function="false" hidden="true" name="IQ_EBIT_SBC_GUIDANCE_CIQ" vbProcedure="false">"c4842"</definedName>
    <definedName function="false" hidden="true" name="IQ_EBIT_SBC_GUIDANCE_CIQ_COL" vbProcedure="false">"c11489"</definedName>
    <definedName function="false" hidden="true" name="IQ_EBIT_SBC_GW_ACT_OR_EST" vbProcedure="false">"c4320"</definedName>
    <definedName function="false" hidden="true" name="IQ_EBIT_SBC_GW_ACT_OR_EST_CIQ" vbProcedure="false">"c4845"</definedName>
    <definedName function="false" hidden="true" name="IQ_EBIT_SBC_GW_ACT_OR_EST_CIQ_COL" vbProcedure="false">"c11492"</definedName>
    <definedName function="false" hidden="true" name="IQ_EBIT_SBC_GW_EST" vbProcedure="false">"c4319"</definedName>
    <definedName function="false" hidden="true" name="IQ_EBIT_SBC_GW_EST_CIQ" vbProcedure="false">"c4844"</definedName>
    <definedName function="false" hidden="true" name="IQ_EBIT_SBC_GW_GUIDANCE" vbProcedure="false">"c4321"</definedName>
    <definedName function="false" hidden="true" name="IQ_EBIT_SBC_GW_GUIDANCE_CIQ" vbProcedure="false">"c4846"</definedName>
    <definedName function="false" hidden="true" name="IQ_EBIT_SBC_GW_GUIDANCE_CIQ_COL" vbProcedure="false">"c11493"</definedName>
    <definedName function="false" hidden="true" name="IQ_EBIT_SBC_GW_HIGH_EST" vbProcedure="false">"c4322"</definedName>
    <definedName function="false" hidden="true" name="IQ_EBIT_SBC_GW_HIGH_EST_CIQ" vbProcedure="false">"c4847"</definedName>
    <definedName function="false" hidden="true" name="IQ_EBIT_SBC_GW_HIGH_GUIDANCE" vbProcedure="false">"c4193"</definedName>
    <definedName function="false" hidden="true" name="IQ_EBIT_SBC_GW_HIGH_GUIDANCE_CIQ" vbProcedure="false">"c4605"</definedName>
    <definedName function="false" hidden="true" name="IQ_EBIT_SBC_GW_HIGH_GUIDANCE_CIQ_COL" vbProcedure="false">"c11254"</definedName>
    <definedName function="false" hidden="true" name="IQ_EBIT_SBC_GW_LOW_EST" vbProcedure="false">"c4323"</definedName>
    <definedName function="false" hidden="true" name="IQ_EBIT_SBC_GW_LOW_EST_CIQ" vbProcedure="false">"c4848"</definedName>
    <definedName function="false" hidden="true" name="IQ_EBIT_SBC_GW_LOW_GUIDANCE" vbProcedure="false">"c4233"</definedName>
    <definedName function="false" hidden="true" name="IQ_EBIT_SBC_GW_LOW_GUIDANCE_CIQ" vbProcedure="false">"c4645"</definedName>
    <definedName function="false" hidden="true" name="IQ_EBIT_SBC_GW_LOW_GUIDANCE_CIQ_COL" vbProcedure="false">"c11294"</definedName>
    <definedName function="false" hidden="true" name="IQ_EBIT_SBC_GW_MEDIAN_EST" vbProcedure="false">"c4324"</definedName>
    <definedName function="false" hidden="true" name="IQ_EBIT_SBC_GW_MEDIAN_EST_CIQ" vbProcedure="false">"c4849"</definedName>
    <definedName function="false" hidden="true" name="IQ_EBIT_SBC_GW_NUM_EST" vbProcedure="false">"c4325"</definedName>
    <definedName function="false" hidden="true" name="IQ_EBIT_SBC_GW_NUM_EST_CIQ" vbProcedure="false">"c4850"</definedName>
    <definedName function="false" hidden="true" name="IQ_EBIT_SBC_GW_STDDEV_EST" vbProcedure="false">"c4326"</definedName>
    <definedName function="false" hidden="true" name="IQ_EBIT_SBC_GW_STDDEV_EST_CIQ" vbProcedure="false">"c4851"</definedName>
    <definedName function="false" hidden="true" name="IQ_EBIT_SBC_HIGH_EST" vbProcedure="false">"c4328"</definedName>
    <definedName function="false" hidden="true" name="IQ_EBIT_SBC_HIGH_EST_CIQ" vbProcedure="false">"c4853"</definedName>
    <definedName function="false" hidden="true" name="IQ_EBIT_SBC_HIGH_GUIDANCE" vbProcedure="false">"c4192"</definedName>
    <definedName function="false" hidden="true" name="IQ_EBIT_SBC_HIGH_GUIDANCE_CIQ" vbProcedure="false">"c4604"</definedName>
    <definedName function="false" hidden="true" name="IQ_EBIT_SBC_HIGH_GUIDANCE_CIQ_COL" vbProcedure="false">"c11253"</definedName>
    <definedName function="false" hidden="true" name="IQ_EBIT_SBC_LOW_EST" vbProcedure="false">"c4329"</definedName>
    <definedName function="false" hidden="true" name="IQ_EBIT_SBC_LOW_EST_CIQ" vbProcedure="false">"c4854"</definedName>
    <definedName function="false" hidden="true" name="IQ_EBIT_SBC_LOW_GUIDANCE" vbProcedure="false">"c4232"</definedName>
    <definedName function="false" hidden="true" name="IQ_EBIT_SBC_LOW_GUIDANCE_CIQ" vbProcedure="false">"c4644"</definedName>
    <definedName function="false" hidden="true" name="IQ_EBIT_SBC_LOW_GUIDANCE_CIQ_COL" vbProcedure="false">"c11293"</definedName>
    <definedName function="false" hidden="true" name="IQ_EBIT_SBC_MEDIAN_EST" vbProcedure="false">"c4330"</definedName>
    <definedName function="false" hidden="true" name="IQ_EBIT_SBC_MEDIAN_EST_CIQ" vbProcedure="false">"c4855"</definedName>
    <definedName function="false" hidden="true" name="IQ_EBIT_SBC_NUM_EST" vbProcedure="false">"c4331"</definedName>
    <definedName function="false" hidden="true" name="IQ_EBIT_SBC_NUM_EST_CIQ" vbProcedure="false">"c4856"</definedName>
    <definedName function="false" hidden="true" name="IQ_EBIT_SBC_STDDEV_EST" vbProcedure="false">"c4332"</definedName>
    <definedName function="false" hidden="true" name="IQ_EBIT_SBC_STDDEV_EST_CIQ" vbProcedure="false">"c4857"</definedName>
    <definedName function="false" hidden="true" name="IQ_EBIT_STDDEV_EST" vbProcedure="false">"c1686"</definedName>
    <definedName function="false" hidden="true" name="IQ_EBIT_STDDEV_EST_CIQ" vbProcedure="false">"c4679"</definedName>
    <definedName function="false" hidden="true" name="IQ_EBIT_STDDEV_EST_REUT" vbProcedure="false">"c5338"</definedName>
    <definedName function="false" hidden="true" name="IQ_EBIT_STDDEV_EST_THOM" vbProcedure="false">"c5110"</definedName>
    <definedName function="false" hidden="true" name="IQ_EBT" vbProcedure="false">"c376"</definedName>
    <definedName function="false" hidden="true" name="IQ_EBT_BNK" vbProcedure="false">"c377"</definedName>
    <definedName function="false" hidden="true" name="IQ_EBT_BR" vbProcedure="false">"c378"</definedName>
    <definedName function="false" hidden="true" name="IQ_EBT_EXCL" vbProcedure="false">"c379"</definedName>
    <definedName function="false" hidden="true" name="IQ_EBT_EXCL_BNK" vbProcedure="false">"c380"</definedName>
    <definedName function="false" hidden="true" name="IQ_EBT_EXCL_BR" vbProcedure="false">"c381"</definedName>
    <definedName function="false" hidden="true" name="IQ_EBT_EXCL_FIN" vbProcedure="false">"c382"</definedName>
    <definedName function="false" hidden="true" name="IQ_EBT_EXCL_INS" vbProcedure="false">"c383"</definedName>
    <definedName function="false" hidden="true" name="IQ_EBT_EXCL_MARGIN" vbProcedure="false">"c1462"</definedName>
    <definedName function="false" hidden="true" name="IQ_EBT_EXCL_RE" vbProcedure="false">"c6214"</definedName>
    <definedName function="false" hidden="true" name="IQ_EBT_EXCL_REIT" vbProcedure="false">"c384"</definedName>
    <definedName function="false" hidden="true" name="IQ_EBT_EXCL_UTI" vbProcedure="false">"c385"</definedName>
    <definedName function="false" hidden="true" name="IQ_EBT_FFIEC" vbProcedure="false">"c13029"</definedName>
    <definedName function="false" hidden="true" name="IQ_EBT_FIN" vbProcedure="false">"c386"</definedName>
    <definedName function="false" hidden="true" name="IQ_EBT_FTE_FFIEC" vbProcedure="false">"c13037"</definedName>
    <definedName function="false" hidden="true" name="IQ_EBT_GAAP_GUIDANCE" vbProcedure="false">"c4345"</definedName>
    <definedName function="false" hidden="true" name="IQ_EBT_GAAP_GUIDANCE_CIQ" vbProcedure="false">"c4870"</definedName>
    <definedName function="false" hidden="true" name="IQ_EBT_GAAP_GUIDANCE_CIQ_COL" vbProcedure="false">"c11517"</definedName>
    <definedName function="false" hidden="true" name="IQ_EBT_GAAP_HIGH_GUIDANCE" vbProcedure="false">"c4174"</definedName>
    <definedName function="false" hidden="true" name="IQ_EBT_GAAP_HIGH_GUIDANCE_CIQ" vbProcedure="false">"c4586"</definedName>
    <definedName function="false" hidden="true" name="IQ_EBT_GAAP_HIGH_GUIDANCE_CIQ_COL" vbProcedure="false">"c11235"</definedName>
    <definedName function="false" hidden="true" name="IQ_EBT_GAAP_LOW_GUIDANCE" vbProcedure="false">"c4214"</definedName>
    <definedName function="false" hidden="true" name="IQ_EBT_GAAP_LOW_GUIDANCE_CIQ" vbProcedure="false">"c4626"</definedName>
    <definedName function="false" hidden="true" name="IQ_EBT_GAAP_LOW_GUIDANCE_CIQ_COL" vbProcedure="false">"c11275"</definedName>
    <definedName function="false" hidden="true" name="IQ_EBT_GUIDANCE" vbProcedure="false">"c4346"</definedName>
    <definedName function="false" hidden="true" name="IQ_EBT_GUIDANCE_CIQ" vbProcedure="false">"c4871"</definedName>
    <definedName function="false" hidden="true" name="IQ_EBT_GUIDANCE_CIQ_COL" vbProcedure="false">"c11518"</definedName>
    <definedName function="false" hidden="true" name="IQ_EBT_GW_GUIDANCE" vbProcedure="false">"c4347"</definedName>
    <definedName function="false" hidden="true" name="IQ_EBT_GW_GUIDANCE_CIQ" vbProcedure="false">"c4872"</definedName>
    <definedName function="false" hidden="true" name="IQ_EBT_GW_GUIDANCE_CIQ_COL" vbProcedure="false">"c11519"</definedName>
    <definedName function="false" hidden="true" name="IQ_EBT_GW_HIGH_GUIDANCE" vbProcedure="false">"c4175"</definedName>
    <definedName function="false" hidden="true" name="IQ_EBT_GW_HIGH_GUIDANCE_CIQ" vbProcedure="false">"c4587"</definedName>
    <definedName function="false" hidden="true" name="IQ_EBT_GW_HIGH_GUIDANCE_CIQ_COL" vbProcedure="false">"c11236"</definedName>
    <definedName function="false" hidden="true" name="IQ_EBT_GW_LOW_GUIDANCE" vbProcedure="false">"c4215"</definedName>
    <definedName function="false" hidden="true" name="IQ_EBT_GW_LOW_GUIDANCE_CIQ" vbProcedure="false">"c4627"</definedName>
    <definedName function="false" hidden="true" name="IQ_EBT_GW_LOW_GUIDANCE_CIQ_COL" vbProcedure="false">"c11276"</definedName>
    <definedName function="false" hidden="true" name="IQ_EBT_HIGH_GUIDANCE" vbProcedure="false">"c4173"</definedName>
    <definedName function="false" hidden="true" name="IQ_EBT_HIGH_GUIDANCE_CIQ" vbProcedure="false">"c4585"</definedName>
    <definedName function="false" hidden="true" name="IQ_EBT_HIGH_GUIDANCE_CIQ_COL" vbProcedure="false">"c11234"</definedName>
    <definedName function="false" hidden="true" name="IQ_EBT_HOMEBUILDING_SALES" vbProcedure="false">"c15816"</definedName>
    <definedName function="false" hidden="true" name="IQ_EBT_INCL_MARGIN" vbProcedure="false">"c387"</definedName>
    <definedName function="false" hidden="true" name="IQ_EBT_INS" vbProcedure="false">"c388"</definedName>
    <definedName function="false" hidden="true" name="IQ_EBT_LOW_GUIDANCE" vbProcedure="false">"c4213"</definedName>
    <definedName function="false" hidden="true" name="IQ_EBT_LOW_GUIDANCE_CIQ" vbProcedure="false">"c4625"</definedName>
    <definedName function="false" hidden="true" name="IQ_EBT_LOW_GUIDANCE_CIQ_COL" vbProcedure="false">"c11274"</definedName>
    <definedName function="false" hidden="true" name="IQ_EBT_RE" vbProcedure="false">"c6215"</definedName>
    <definedName function="false" hidden="true" name="IQ_EBT_REIT" vbProcedure="false">"c389"</definedName>
    <definedName function="false" hidden="true" name="IQ_EBT_SBC_ACT_OR_EST" vbProcedure="false">"c4350"</definedName>
    <definedName function="false" hidden="true" name="IQ_EBT_SBC_ACT_OR_EST_CIQ" vbProcedure="false">"c4875"</definedName>
    <definedName function="false" hidden="true" name="IQ_EBT_SBC_ACT_OR_EST_CIQ_COL" vbProcedure="false">"c11522"</definedName>
    <definedName function="false" hidden="true" name="IQ_EBT_SBC_EST" vbProcedure="false">"c4349"</definedName>
    <definedName function="false" hidden="true" name="IQ_EBT_SBC_EST_CIQ" vbProcedure="false">"c4874"</definedName>
    <definedName function="false" hidden="true" name="IQ_EBT_SBC_GUIDANCE" vbProcedure="false">"c4351"</definedName>
    <definedName function="false" hidden="true" name="IQ_EBT_SBC_GUIDANCE_CIQ" vbProcedure="false">"c4876"</definedName>
    <definedName function="false" hidden="true" name="IQ_EBT_SBC_GUIDANCE_CIQ_COL" vbProcedure="false">"c11523"</definedName>
    <definedName function="false" hidden="true" name="IQ_EBT_SBC_GW_ACT_OR_EST" vbProcedure="false">"c4354"</definedName>
    <definedName function="false" hidden="true" name="IQ_EBT_SBC_GW_ACT_OR_EST_CIQ" vbProcedure="false">"c4879"</definedName>
    <definedName function="false" hidden="true" name="IQ_EBT_SBC_GW_ACT_OR_EST_CIQ_COL" vbProcedure="false">"c11526"</definedName>
    <definedName function="false" hidden="true" name="IQ_EBT_SBC_GW_EST" vbProcedure="false">"c4353"</definedName>
    <definedName function="false" hidden="true" name="IQ_EBT_SBC_GW_EST_CIQ" vbProcedure="false">"c4878"</definedName>
    <definedName function="false" hidden="true" name="IQ_EBT_SBC_GW_GUIDANCE" vbProcedure="false">"c4355"</definedName>
    <definedName function="false" hidden="true" name="IQ_EBT_SBC_GW_GUIDANCE_CIQ" vbProcedure="false">"c4880"</definedName>
    <definedName function="false" hidden="true" name="IQ_EBT_SBC_GW_GUIDANCE_CIQ_COL" vbProcedure="false">"c11527"</definedName>
    <definedName function="false" hidden="true" name="IQ_EBT_SBC_GW_HIGH_EST" vbProcedure="false">"c4356"</definedName>
    <definedName function="false" hidden="true" name="IQ_EBT_SBC_GW_HIGH_EST_CIQ" vbProcedure="false">"c4881"</definedName>
    <definedName function="false" hidden="true" name="IQ_EBT_SBC_GW_HIGH_GUIDANCE" vbProcedure="false">"c4191"</definedName>
    <definedName function="false" hidden="true" name="IQ_EBT_SBC_GW_HIGH_GUIDANCE_CIQ" vbProcedure="false">"c4603"</definedName>
    <definedName function="false" hidden="true" name="IQ_EBT_SBC_GW_HIGH_GUIDANCE_CIQ_COL" vbProcedure="false">"c11252"</definedName>
    <definedName function="false" hidden="true" name="IQ_EBT_SBC_GW_LOW_EST" vbProcedure="false">"c4357"</definedName>
    <definedName function="false" hidden="true" name="IQ_EBT_SBC_GW_LOW_EST_CIQ" vbProcedure="false">"c4882"</definedName>
    <definedName function="false" hidden="true" name="IQ_EBT_SBC_GW_LOW_GUIDANCE" vbProcedure="false">"c4231"</definedName>
    <definedName function="false" hidden="true" name="IQ_EBT_SBC_GW_LOW_GUIDANCE_CIQ" vbProcedure="false">"c4643"</definedName>
    <definedName function="false" hidden="true" name="IQ_EBT_SBC_GW_LOW_GUIDANCE_CIQ_COL" vbProcedure="false">"c11292"</definedName>
    <definedName function="false" hidden="true" name="IQ_EBT_SBC_GW_MEDIAN_EST" vbProcedure="false">"c4358"</definedName>
    <definedName function="false" hidden="true" name="IQ_EBT_SBC_GW_MEDIAN_EST_CIQ" vbProcedure="false">"c4883"</definedName>
    <definedName function="false" hidden="true" name="IQ_EBT_SBC_GW_NUM_EST" vbProcedure="false">"c4359"</definedName>
    <definedName function="false" hidden="true" name="IQ_EBT_SBC_GW_NUM_EST_CIQ" vbProcedure="false">"c4884"</definedName>
    <definedName function="false" hidden="true" name="IQ_EBT_SBC_GW_STDDEV_EST" vbProcedure="false">"c4360"</definedName>
    <definedName function="false" hidden="true" name="IQ_EBT_SBC_GW_STDDEV_EST_CIQ" vbProcedure="false">"c4885"</definedName>
    <definedName function="false" hidden="true" name="IQ_EBT_SBC_HIGH_EST" vbProcedure="false">"c4362"</definedName>
    <definedName function="false" hidden="true" name="IQ_EBT_SBC_HIGH_EST_CIQ" vbProcedure="false">"c4887"</definedName>
    <definedName function="false" hidden="true" name="IQ_EBT_SBC_HIGH_GUIDANCE" vbProcedure="false">"c4190"</definedName>
    <definedName function="false" hidden="true" name="IQ_EBT_SBC_HIGH_GUIDANCE_CIQ" vbProcedure="false">"c4602"</definedName>
    <definedName function="false" hidden="true" name="IQ_EBT_SBC_HIGH_GUIDANCE_CIQ_COL" vbProcedure="false">"c11251"</definedName>
    <definedName function="false" hidden="true" name="IQ_EBT_SBC_LOW_EST" vbProcedure="false">"c4363"</definedName>
    <definedName function="false" hidden="true" name="IQ_EBT_SBC_LOW_EST_CIQ" vbProcedure="false">"c4888"</definedName>
    <definedName function="false" hidden="true" name="IQ_EBT_SBC_LOW_GUIDANCE" vbProcedure="false">"c4230"</definedName>
    <definedName function="false" hidden="true" name="IQ_EBT_SBC_LOW_GUIDANCE_CIQ" vbProcedure="false">"c4642"</definedName>
    <definedName function="false" hidden="true" name="IQ_EBT_SBC_LOW_GUIDANCE_CIQ_COL" vbProcedure="false">"c11291"</definedName>
    <definedName function="false" hidden="true" name="IQ_EBT_SBC_MEDIAN_EST" vbProcedure="false">"c4364"</definedName>
    <definedName function="false" hidden="true" name="IQ_EBT_SBC_MEDIAN_EST_CIQ" vbProcedure="false">"c4889"</definedName>
    <definedName function="false" hidden="true" name="IQ_EBT_SBC_NUM_EST" vbProcedure="false">"c4365"</definedName>
    <definedName function="false" hidden="true" name="IQ_EBT_SBC_NUM_EST_CIQ" vbProcedure="false">"c4890"</definedName>
    <definedName function="false" hidden="true" name="IQ_EBT_SBC_STDDEV_EST" vbProcedure="false">"c4366"</definedName>
    <definedName function="false" hidden="true" name="IQ_EBT_SBC_STDDEV_EST_CIQ" vbProcedure="false">"c4891"</definedName>
    <definedName function="false" hidden="true" name="IQ_EBT_SUBTOTAL_AP" vbProcedure="false">"c8982"</definedName>
    <definedName function="false" hidden="true" name="IQ_EBT_UTI" vbProcedure="false">"c390"</definedName>
    <definedName function="false" hidden="true" name="IQ_ECO_METRIC_6825_UNUSED" vbProcedure="false">"c6825"</definedName>
    <definedName function="false" hidden="true" name="IQ_ECO_METRIC_6825_UNUSED_UNUSED_UNUSED" vbProcedure="false">"c6825"</definedName>
    <definedName function="false" hidden="true" name="IQ_ECO_METRIC_6839_UNUSED" vbProcedure="false">"c6839"</definedName>
    <definedName function="false" hidden="true" name="IQ_ECO_METRIC_6839_UNUSED_UNUSED_UNUSED" vbProcedure="false">"c6839"</definedName>
    <definedName function="false" hidden="true" name="IQ_ECO_METRIC_6896_UNUSED" vbProcedure="false">"c6896"</definedName>
    <definedName function="false" hidden="true" name="IQ_ECO_METRIC_6896_UNUSED_UNUSED_UNUSED" vbProcedure="false">"c6896"</definedName>
    <definedName function="false" hidden="true" name="IQ_ECO_METRIC_6897_UNUSED" vbProcedure="false">"c6897"</definedName>
    <definedName function="false" hidden="true" name="IQ_ECO_METRIC_6897_UNUSED_UNUSED_UNUSED" vbProcedure="false">"c6897"</definedName>
    <definedName function="false" hidden="true" name="IQ_ECO_METRIC_6927" vbProcedure="false">"c6927"</definedName>
    <definedName function="false" hidden="true" name="IQ_ECO_METRIC_6988_UNUSED" vbProcedure="false">"c6988"</definedName>
    <definedName function="false" hidden="true" name="IQ_ECO_METRIC_6988_UNUSED_UNUSED_UNUSED" vbProcedure="false">"c6988"</definedName>
    <definedName function="false" hidden="true" name="IQ_ECO_METRIC_7045_UNUSED" vbProcedure="false">"c7045"</definedName>
    <definedName function="false" hidden="true" name="IQ_ECO_METRIC_7045_UNUSED_UNUSED_UNUSED" vbProcedure="false">"c7045"</definedName>
    <definedName function="false" hidden="true" name="IQ_ECO_METRIC_7059_UNUSED" vbProcedure="false">"c7059"</definedName>
    <definedName function="false" hidden="true" name="IQ_ECO_METRIC_7059_UNUSED_UNUSED_UNUSED" vbProcedure="false">"c7059"</definedName>
    <definedName function="false" hidden="true" name="IQ_ECO_METRIC_7116_UNUSED" vbProcedure="false">"c7116"</definedName>
    <definedName function="false" hidden="true" name="IQ_ECO_METRIC_7116_UNUSED_UNUSED_UNUSED" vbProcedure="false">"c7116"</definedName>
    <definedName function="false" hidden="true" name="IQ_ECO_METRIC_7117_UNUSED" vbProcedure="false">"c7117"</definedName>
    <definedName function="false" hidden="true" name="IQ_ECO_METRIC_7117_UNUSED_UNUSED_UNUSED" vbProcedure="false">"c7117"</definedName>
    <definedName function="false" hidden="true" name="IQ_ECO_METRIC_7147" vbProcedure="false">"c7147"</definedName>
    <definedName function="false" hidden="true" name="IQ_ECO_METRIC_7208_UNUSED" vbProcedure="false">"c7208"</definedName>
    <definedName function="false" hidden="true" name="IQ_ECO_METRIC_7208_UNUSED_UNUSED_UNUSED" vbProcedure="false">"c7208"</definedName>
    <definedName function="false" hidden="true" name="IQ_ECO_METRIC_7265_UNUSED" vbProcedure="false">"c7265"</definedName>
    <definedName function="false" hidden="true" name="IQ_ECO_METRIC_7265_UNUSED_UNUSED_UNUSED" vbProcedure="false">"c7265"</definedName>
    <definedName function="false" hidden="true" name="IQ_ECO_METRIC_7279_UNUSED" vbProcedure="false">"c7279"</definedName>
    <definedName function="false" hidden="true" name="IQ_ECO_METRIC_7279_UNUSED_UNUSED_UNUSED" vbProcedure="false">"c7279"</definedName>
    <definedName function="false" hidden="true" name="IQ_ECO_METRIC_7336_UNUSED" vbProcedure="false">"c7336"</definedName>
    <definedName function="false" hidden="true" name="IQ_ECO_METRIC_7336_UNUSED_UNUSED_UNUSED" vbProcedure="false">"c7336"</definedName>
    <definedName function="false" hidden="true" name="IQ_ECO_METRIC_7337_UNUSED" vbProcedure="false">"c7337"</definedName>
    <definedName function="false" hidden="true" name="IQ_ECO_METRIC_7337_UNUSED_UNUSED_UNUSED" vbProcedure="false">"c7337"</definedName>
    <definedName function="false" hidden="true" name="IQ_ECO_METRIC_7367" vbProcedure="false">"c7367"</definedName>
    <definedName function="false" hidden="true" name="IQ_ECO_METRIC_7428_UNUSED" vbProcedure="false">"c7428"</definedName>
    <definedName function="false" hidden="true" name="IQ_ECO_METRIC_7428_UNUSED_UNUSED_UNUSED" vbProcedure="false">"c7428"</definedName>
    <definedName function="false" hidden="true" name="IQ_ECO_METRIC_7556_UNUSED" vbProcedure="false">"c7556"</definedName>
    <definedName function="false" hidden="true" name="IQ_ECO_METRIC_7556_UNUSED_UNUSED_UNUSED" vbProcedure="false">"c7556"</definedName>
    <definedName function="false" hidden="true" name="IQ_ECO_METRIC_7557_UNUSED" vbProcedure="false">"c7557"</definedName>
    <definedName function="false" hidden="true" name="IQ_ECO_METRIC_7557_UNUSED_UNUSED_UNUSED" vbProcedure="false">"c7557"</definedName>
    <definedName function="false" hidden="true" name="IQ_ECO_METRIC_7587" vbProcedure="false">"c7587"</definedName>
    <definedName function="false" hidden="true" name="IQ_ECO_METRIC_7648_UNUSED" vbProcedure="false">"c7648"</definedName>
    <definedName function="false" hidden="true" name="IQ_ECO_METRIC_7648_UNUSED_UNUSED_UNUSED" vbProcedure="false">"c7648"</definedName>
    <definedName function="false" hidden="true" name="IQ_ECO_METRIC_7704" vbProcedure="false">"c7704"</definedName>
    <definedName function="false" hidden="true" name="IQ_ECO_METRIC_7705_UNUSED" vbProcedure="false">"c7705"</definedName>
    <definedName function="false" hidden="true" name="IQ_ECO_METRIC_7705_UNUSED_UNUSED_UNUSED" vbProcedure="false">"c7705"</definedName>
    <definedName function="false" hidden="true" name="IQ_ECO_METRIC_7706" vbProcedure="false">"c7706"</definedName>
    <definedName function="false" hidden="true" name="IQ_ECO_METRIC_7718" vbProcedure="false">"c7718"</definedName>
    <definedName function="false" hidden="true" name="IQ_ECO_METRIC_7719_UNUSED" vbProcedure="false">"c7719"</definedName>
    <definedName function="false" hidden="true" name="IQ_ECO_METRIC_7719_UNUSED_UNUSED_UNUSED" vbProcedure="false">"c7719"</definedName>
    <definedName function="false" hidden="true" name="IQ_ECO_METRIC_7776_UNUSED" vbProcedure="false">"c7776"</definedName>
    <definedName function="false" hidden="true" name="IQ_ECO_METRIC_7776_UNUSED_UNUSED_UNUSED" vbProcedure="false">"c7776"</definedName>
    <definedName function="false" hidden="true" name="IQ_ECO_METRIC_7777_UNUSED" vbProcedure="false">"c7777"</definedName>
    <definedName function="false" hidden="true" name="IQ_ECO_METRIC_7777_UNUSED_UNUSED_UNUSED" vbProcedure="false">"c7777"</definedName>
    <definedName function="false" hidden="true" name="IQ_ECO_METRIC_7807" vbProcedure="false">"c7807"</definedName>
    <definedName function="false" hidden="true" name="IQ_ECO_METRIC_7811" vbProcedure="false">"c7811"</definedName>
    <definedName function="false" hidden="true" name="IQ_ECO_METRIC_7868_UNUSED" vbProcedure="false">"c7868"</definedName>
    <definedName function="false" hidden="true" name="IQ_ECO_METRIC_7868_UNUSED_UNUSED_UNUSED" vbProcedure="false">"c7868"</definedName>
    <definedName function="false" hidden="true" name="IQ_ECO_METRIC_7873" vbProcedure="false">"c7873"</definedName>
    <definedName function="false" hidden="true" name="IQ_ECO_METRIC_7924" vbProcedure="false">"c7924"</definedName>
    <definedName function="false" hidden="true" name="IQ_ECO_METRIC_7925_UNUSED" vbProcedure="false">"c7925"</definedName>
    <definedName function="false" hidden="true" name="IQ_ECO_METRIC_7925_UNUSED_UNUSED_UNUSED" vbProcedure="false">"c7925"</definedName>
    <definedName function="false" hidden="true" name="IQ_ECO_METRIC_7926" vbProcedure="false">"c7926"</definedName>
    <definedName function="false" hidden="true" name="IQ_ECO_METRIC_7938" vbProcedure="false">"c7938"</definedName>
    <definedName function="false" hidden="true" name="IQ_ECO_METRIC_7939_UNUSED" vbProcedure="false">"c7939"</definedName>
    <definedName function="false" hidden="true" name="IQ_ECO_METRIC_7939_UNUSED_UNUSED_UNUSED" vbProcedure="false">"c7939"</definedName>
    <definedName function="false" hidden="true" name="IQ_ECO_METRIC_7996_UNUSED" vbProcedure="false">"c7996"</definedName>
    <definedName function="false" hidden="true" name="IQ_ECO_METRIC_7996_UNUSED_UNUSED_UNUSED" vbProcedure="false">"c7996"</definedName>
    <definedName function="false" hidden="true" name="IQ_ECO_METRIC_7997_UNUSED" vbProcedure="false">"c7997"</definedName>
    <definedName function="false" hidden="true" name="IQ_ECO_METRIC_7997_UNUSED_UNUSED_UNUSED" vbProcedure="false">"c7997"</definedName>
    <definedName function="false" hidden="true" name="IQ_ECO_METRIC_8027" vbProcedure="false">"c8027"</definedName>
    <definedName function="false" hidden="true" name="IQ_ECO_METRIC_8031" vbProcedure="false">"c8031"</definedName>
    <definedName function="false" hidden="true" name="IQ_ECO_METRIC_8088_UNUSED" vbProcedure="false">"c8088"</definedName>
    <definedName function="false" hidden="true" name="IQ_ECO_METRIC_8088_UNUSED_UNUSED_UNUSED" vbProcedure="false">"c8088"</definedName>
    <definedName function="false" hidden="true" name="IQ_ECO_METRIC_8093" vbProcedure="false">"c8093"</definedName>
    <definedName function="false" hidden="true" name="IQ_ECO_METRIC_8144" vbProcedure="false">"c8144"</definedName>
    <definedName function="false" hidden="true" name="IQ_ECO_METRIC_8145_UNUSED" vbProcedure="false">"c8145"</definedName>
    <definedName function="false" hidden="true" name="IQ_ECO_METRIC_8145_UNUSED_UNUSED_UNUSED" vbProcedure="false">"c8145"</definedName>
    <definedName function="false" hidden="true" name="IQ_ECO_METRIC_8146" vbProcedure="false">"c8146"</definedName>
    <definedName function="false" hidden="true" name="IQ_ECO_METRIC_8158" vbProcedure="false">"c8158"</definedName>
    <definedName function="false" hidden="true" name="IQ_ECO_METRIC_8159_UNUSED" vbProcedure="false">"c8159"</definedName>
    <definedName function="false" hidden="true" name="IQ_ECO_METRIC_8159_UNUSED_UNUSED_UNUSED" vbProcedure="false">"c8159"</definedName>
    <definedName function="false" hidden="true" name="IQ_ECO_METRIC_8216_UNUSED" vbProcedure="false">"c8216"</definedName>
    <definedName function="false" hidden="true" name="IQ_ECO_METRIC_8216_UNUSED_UNUSED_UNUSED" vbProcedure="false">"c8216"</definedName>
    <definedName function="false" hidden="true" name="IQ_ECO_METRIC_8217_UNUSED" vbProcedure="false">"c8217"</definedName>
    <definedName function="false" hidden="true" name="IQ_ECO_METRIC_8217_UNUSED_UNUSED_UNUSED" vbProcedure="false">"c8217"</definedName>
    <definedName function="false" hidden="true" name="IQ_ECO_METRIC_8247" vbProcedure="false">"c8247"</definedName>
    <definedName function="false" hidden="true" name="IQ_ECO_METRIC_8251" vbProcedure="false">"c8251"</definedName>
    <definedName function="false" hidden="true" name="IQ_ECO_METRIC_8308_UNUSED" vbProcedure="false">"c8308"</definedName>
    <definedName function="false" hidden="true" name="IQ_ECO_METRIC_8308_UNUSED_UNUSED_UNUSED" vbProcedure="false">"c8308"</definedName>
    <definedName function="false" hidden="true" name="IQ_ECO_METRIC_8313" vbProcedure="false">"c8313"</definedName>
    <definedName function="false" hidden="true" name="IQ_ECO_METRIC_8366" vbProcedure="false">"c8366"</definedName>
    <definedName function="false" hidden="true" name="IQ_ECO_METRIC_8378" vbProcedure="false">"c8378"</definedName>
    <definedName function="false" hidden="true" name="IQ_ECO_METRIC_8436_UNUSED" vbProcedure="false">"c8436"</definedName>
    <definedName function="false" hidden="true" name="IQ_ECO_METRIC_8436_UNUSED_UNUSED_UNUSED" vbProcedure="false">"c8436"</definedName>
    <definedName function="false" hidden="true" name="IQ_ECO_METRIC_8437_UNUSED" vbProcedure="false">"c8437"</definedName>
    <definedName function="false" hidden="true" name="IQ_ECO_METRIC_8437_UNUSED_UNUSED_UNUSED" vbProcedure="false">"c8437"</definedName>
    <definedName function="false" hidden="true" name="IQ_ECO_METRIC_8467" vbProcedure="false">"c8467"</definedName>
    <definedName function="false" hidden="true" name="IQ_ECO_METRIC_8471" vbProcedure="false">"c8471"</definedName>
    <definedName function="false" hidden="true" name="IQ_ECO_METRIC_8528_UNUSED" vbProcedure="false">"c8528"</definedName>
    <definedName function="false" hidden="true" name="IQ_ECO_METRIC_8528_UNUSED_UNUSED_UNUSED" vbProcedure="false">"c8528"</definedName>
    <definedName function="false" hidden="true" name="IQ_ECO_METRIC_8533" vbProcedure="false">"c8533"</definedName>
    <definedName function="false" hidden="true" name="IQ_ECS_AUTHORIZED_SHARES" vbProcedure="false">"c5583"</definedName>
    <definedName function="false" hidden="true" name="IQ_ECS_AUTHORIZED_SHARES_ABS" vbProcedure="false">"c5597"</definedName>
    <definedName function="false" hidden="true" name="IQ_ECS_AUTHORIZED_SHARES_OTHER" vbProcedure="false">"c15613"</definedName>
    <definedName function="false" hidden="true" name="IQ_ECS_AUTHORIZED_SHARES_OTHER_ABS" vbProcedure="false">"c15630"</definedName>
    <definedName function="false" hidden="true" name="IQ_ECS_CONVERT_FACTOR" vbProcedure="false">"c5581"</definedName>
    <definedName function="false" hidden="true" name="IQ_ECS_CONVERT_FACTOR_ABS" vbProcedure="false">"c5595"</definedName>
    <definedName function="false" hidden="true" name="IQ_ECS_CONVERT_FACTOR_OTHER" vbProcedure="false">"c15611"</definedName>
    <definedName function="false" hidden="true" name="IQ_ECS_CONVERT_FACTOR_OTHER_ABS" vbProcedure="false">"c15628"</definedName>
    <definedName function="false" hidden="true" name="IQ_ECS_CONVERT_INTO" vbProcedure="false">"c5580"</definedName>
    <definedName function="false" hidden="true" name="IQ_ECS_CONVERT_INTO_ABS" vbProcedure="false">"c5594"</definedName>
    <definedName function="false" hidden="true" name="IQ_ECS_CONVERT_INTO_OTHER" vbProcedure="false">"c15610"</definedName>
    <definedName function="false" hidden="true" name="IQ_ECS_CONVERT_INTO_OTHER_ABS" vbProcedure="false">"c15627"</definedName>
    <definedName function="false" hidden="true" name="IQ_ECS_CONVERT_PRIMARY_FACTOR" vbProcedure="false">"c15592"</definedName>
    <definedName function="false" hidden="true" name="IQ_ECS_CONVERT_PRIMARY_FACTOR_ABS" vbProcedure="false">"c15596"</definedName>
    <definedName function="false" hidden="true" name="IQ_ECS_CONVERT_TYPE" vbProcedure="false">"c5579"</definedName>
    <definedName function="false" hidden="true" name="IQ_ECS_CONVERT_TYPE_ABS" vbProcedure="false">"c5593"</definedName>
    <definedName function="false" hidden="true" name="IQ_ECS_CONVERT_TYPE_OTHER" vbProcedure="false">"c15609"</definedName>
    <definedName function="false" hidden="true" name="IQ_ECS_CONVERT_TYPE_OTHER_ABS" vbProcedure="false">"c15626"</definedName>
    <definedName function="false" hidden="true" name="IQ_ECS_INACTIVE_DATE" vbProcedure="false">"c5576"</definedName>
    <definedName function="false" hidden="true" name="IQ_ECS_INACTIVE_DATE_ABS" vbProcedure="false">"c5590"</definedName>
    <definedName function="false" hidden="true" name="IQ_ECS_INACTIVE_DATE_OTHER" vbProcedure="false">"c15606"</definedName>
    <definedName function="false" hidden="true" name="IQ_ECS_INACTIVE_DATE_OTHER_ABS" vbProcedure="false">"c15623"</definedName>
    <definedName function="false" hidden="true" name="IQ_ECS_NAME" vbProcedure="false">"c5571"</definedName>
    <definedName function="false" hidden="true" name="IQ_ECS_NAME_ABS" vbProcedure="false">"c5585"</definedName>
    <definedName function="false" hidden="true" name="IQ_ECS_NAME_OTHER" vbProcedure="false">"c15599"</definedName>
    <definedName function="false" hidden="true" name="IQ_ECS_NAME_OTHER_ABS" vbProcedure="false">"c15616"</definedName>
    <definedName function="false" hidden="true" name="IQ_ECS_NUM_SHAREHOLDERS" vbProcedure="false">"c5584"</definedName>
    <definedName function="false" hidden="true" name="IQ_ECS_NUM_SHAREHOLDERS_ABS" vbProcedure="false">"c5598"</definedName>
    <definedName function="false" hidden="true" name="IQ_ECS_NUM_SHAREHOLDERS_BENEFICIAL_BS_DATE" vbProcedure="false">"c16234"</definedName>
    <definedName function="false" hidden="true" name="IQ_ECS_NUM_SHAREHOLDERS_BENEFICIAL_BS_DATE_ABS" vbProcedure="false">"c16235"</definedName>
    <definedName function="false" hidden="true" name="IQ_ECS_NUM_SHAREHOLDERS_BENEFICIAL_BS_DATE_OTHER" vbProcedure="false">"c16236"</definedName>
    <definedName function="false" hidden="true" name="IQ_ECS_NUM_SHAREHOLDERS_BENEFICIAL_BS_DATE_OTHER_ABS" vbProcedure="false">"c16237"</definedName>
    <definedName function="false" hidden="true" name="IQ_ECS_NUM_SHAREHOLDERS_BENEFICIAL_FILING_DATE" vbProcedure="false">"c16230"</definedName>
    <definedName function="false" hidden="true" name="IQ_ECS_NUM_SHAREHOLDERS_BENEFICIAL_FILING_DATE_ABS" vbProcedure="false">"c16231"</definedName>
    <definedName function="false" hidden="true" name="IQ_ECS_NUM_SHAREHOLDERS_BENEFICIAL_FILING_DATE_OTHER" vbProcedure="false">"c16232"</definedName>
    <definedName function="false" hidden="true" name="IQ_ECS_NUM_SHAREHOLDERS_BENEFICIAL_FILING_DATE_OTHER_ABS" vbProcedure="false">"c16233"</definedName>
    <definedName function="false" hidden="true" name="IQ_ECS_NUM_SHAREHOLDERS_BS_DATE" vbProcedure="false">"c16238"</definedName>
    <definedName function="false" hidden="true" name="IQ_ECS_NUM_SHAREHOLDERS_BS_DATE_ABS" vbProcedure="false">"c16239"</definedName>
    <definedName function="false" hidden="true" name="IQ_ECS_NUM_SHAREHOLDERS_BS_DATE_OTHER" vbProcedure="false">"c16240"</definedName>
    <definedName function="false" hidden="true" name="IQ_ECS_NUM_SHAREHOLDERS_BS_DATE_OTHER_ABS" vbProcedure="false">"c16241"</definedName>
    <definedName function="false" hidden="true" name="IQ_ECS_NUM_SHAREHOLDERS_FILING_DATE" vbProcedure="false">"c5584"</definedName>
    <definedName function="false" hidden="true" name="IQ_ECS_NUM_SHAREHOLDERS_FILING_DATE_ABS" vbProcedure="false">"c5598"</definedName>
    <definedName function="false" hidden="true" name="IQ_ECS_NUM_SHAREHOLDERS_FILING_DATE_OTHER" vbProcedure="false">"c15615"</definedName>
    <definedName function="false" hidden="true" name="IQ_ECS_NUM_SHAREHOLDERS_FILING_DATE_OTHER_ABS" vbProcedure="false">"c15632"</definedName>
    <definedName function="false" hidden="true" name="IQ_ECS_NUM_SHAREHOLDERS_OTHER" vbProcedure="false">"c16244"</definedName>
    <definedName function="false" hidden="true" name="IQ_ECS_NUM_SHAREHOLDERS_OTHER_ABS" vbProcedure="false">"c16245"</definedName>
    <definedName function="false" hidden="true" name="IQ_ECS_PARTICIPATE_FLAG" vbProcedure="false">"c15591"</definedName>
    <definedName function="false" hidden="true" name="IQ_ECS_PARTICIPATE_FLAG_ABS" vbProcedure="false">"c15595"</definedName>
    <definedName function="false" hidden="true" name="IQ_ECS_PARTICIPATE_FLAG_OTHER" vbProcedure="false">"c15614"</definedName>
    <definedName function="false" hidden="true" name="IQ_ECS_PARTICIPATE_FLAG_OTHER_ABS" vbProcedure="false">"c15631"</definedName>
    <definedName function="false" hidden="true" name="IQ_ECS_PAR_VALUE" vbProcedure="false">"c5577"</definedName>
    <definedName function="false" hidden="true" name="IQ_ECS_PAR_VALUE_ABS" vbProcedure="false">"c5591"</definedName>
    <definedName function="false" hidden="true" name="IQ_ECS_PAR_VALUE_CURRENCY" vbProcedure="false">"c5578"</definedName>
    <definedName function="false" hidden="true" name="IQ_ECS_PAR_VALUE_CURRENCY_ABS" vbProcedure="false">"c5592"</definedName>
    <definedName function="false" hidden="true" name="IQ_ECS_PAR_VALUE_CURRENCY_OTHER" vbProcedure="false">"c15608"</definedName>
    <definedName function="false" hidden="true" name="IQ_ECS_PAR_VALUE_CURRENCY_OTHER_ABS" vbProcedure="false">"c15625"</definedName>
    <definedName function="false" hidden="true" name="IQ_ECS_PAR_VALUE_OTHER" vbProcedure="false">"c15607"</definedName>
    <definedName function="false" hidden="true" name="IQ_ECS_PAR_VALUE_OTHER_ABS" vbProcedure="false">"c15624"</definedName>
    <definedName function="false" hidden="true" name="IQ_ECS_SHARES_OUT_BS_DATE" vbProcedure="false">"c5572"</definedName>
    <definedName function="false" hidden="true" name="IQ_ECS_SHARES_OUT_BS_DATE_ABS" vbProcedure="false">"c5586"</definedName>
    <definedName function="false" hidden="true" name="IQ_ECS_SHARES_OUT_BS_DATE_OTHER" vbProcedure="false">"c15600"</definedName>
    <definedName function="false" hidden="true" name="IQ_ECS_SHARES_OUT_BS_DATE_OTHER_ABS" vbProcedure="false">"c15617"</definedName>
    <definedName function="false" hidden="true" name="IQ_ECS_SHARES_OUT_FILING_DATE" vbProcedure="false">"c5573"</definedName>
    <definedName function="false" hidden="true" name="IQ_ECS_SHARES_OUT_FILING_DATE_ABS" vbProcedure="false">"c5587"</definedName>
    <definedName function="false" hidden="true" name="IQ_ECS_SHARES_OUT_FILING_DATE_OTHER" vbProcedure="false">"c15601"</definedName>
    <definedName function="false" hidden="true" name="IQ_ECS_SHARES_OUT_FILING_DATE_OTHER_ABS" vbProcedure="false">"c15618"</definedName>
    <definedName function="false" hidden="true" name="IQ_ECS_START_DATE" vbProcedure="false">"c5575"</definedName>
    <definedName function="false" hidden="true" name="IQ_ECS_START_DATE_ABS" vbProcedure="false">"c5589"</definedName>
    <definedName function="false" hidden="true" name="IQ_ECS_START_DATE_OTHER" vbProcedure="false">"c15605"</definedName>
    <definedName function="false" hidden="true" name="IQ_ECS_START_DATE_OTHER_ABS" vbProcedure="false">"c15622"</definedName>
    <definedName function="false" hidden="true" name="IQ_ECS_TICKER" vbProcedure="false">"c15594"</definedName>
    <definedName function="false" hidden="true" name="IQ_ECS_TICKER_ABS" vbProcedure="false">"c15598"</definedName>
    <definedName function="false" hidden="true" name="IQ_ECS_TICKER_OTHER" vbProcedure="false">"c15603"</definedName>
    <definedName function="false" hidden="true" name="IQ_ECS_TICKER_OTHER_ABS" vbProcedure="false">"c15620"</definedName>
    <definedName function="false" hidden="true" name="IQ_ECS_TRADING_ITEM_CIQID" vbProcedure="false">"c15593"</definedName>
    <definedName function="false" hidden="true" name="IQ_ECS_TRADING_ITEM_CIQID_ABS" vbProcedure="false">"c15597"</definedName>
    <definedName function="false" hidden="true" name="IQ_ECS_TRADING_ITEM_CIQID_OTHER" vbProcedure="false">"c15602"</definedName>
    <definedName function="false" hidden="true" name="IQ_ECS_TRADING_ITEM_CIQID_OTHER_ABS" vbProcedure="false">"c15619"</definedName>
    <definedName function="false" hidden="true" name="IQ_ECS_TYPE" vbProcedure="false">"c5574"</definedName>
    <definedName function="false" hidden="true" name="IQ_ECS_TYPE_ABS" vbProcedure="false">"c5588"</definedName>
    <definedName function="false" hidden="true" name="IQ_ECS_TYPE_OTHER" vbProcedure="false">"c15604"</definedName>
    <definedName function="false" hidden="true" name="IQ_ECS_TYPE_OTHER_ABS" vbProcedure="false">"c15621"</definedName>
    <definedName function="false" hidden="true" name="IQ_ECS_VOTING" vbProcedure="false">"c5582"</definedName>
    <definedName function="false" hidden="true" name="IQ_ECS_VOTING_ABS" vbProcedure="false">"c5596"</definedName>
    <definedName function="false" hidden="true" name="IQ_ECS_VOTING_OTHER" vbProcedure="false">"c15612"</definedName>
    <definedName function="false" hidden="true" name="IQ_ECS_VOTING_OTHER_ABS" vbProcedure="false">"c15629"</definedName>
    <definedName function="false" hidden="true" name="IQ_EFFECTIVE_DATE" vbProcedure="false">"c8966"</definedName>
    <definedName function="false" hidden="true" name="IQ_EFFECT_SPECIAL_CHARGE" vbProcedure="false">"c1595"</definedName>
    <definedName function="false" hidden="true" name="IQ_EFFECT_TAX_RATE" vbProcedure="false">"c1899"</definedName>
    <definedName function="false" hidden="true" name="IQ_EFFICIENCY_RATIO" vbProcedure="false">"c391"</definedName>
    <definedName function="false" hidden="true" name="IQ_EFFICIENCY_RATIO_FDIC" vbProcedure="false">"c6736"</definedName>
    <definedName function="false" hidden="true" name="IQ_ELIMINATIONS_CONSOL_OFFICES_FOREIGN_FFIEC" vbProcedure="false">"c15395"</definedName>
    <definedName function="false" hidden="true" name="IQ_EMBEDDED_VAL_COVERED" vbProcedure="false">"c9962"</definedName>
    <definedName function="false" hidden="true" name="IQ_EMBEDDED_VAL_COVERED_BEG" vbProcedure="false">"c9957"</definedName>
    <definedName function="false" hidden="true" name="IQ_EMBEDDED_VAL_GROUP" vbProcedure="false">"c9948"</definedName>
    <definedName function="false" hidden="true" name="IQ_EMBEDDED_VAL_GROUP_BEG" vbProcedure="false">"c9943"</definedName>
    <definedName function="false" hidden="true" name="IQ_EMPLOYEES" vbProcedure="false">"c392"</definedName>
    <definedName function="false" hidden="true" name="IQ_EMPLOYEES_FFIEC" vbProcedure="false">"c13035"</definedName>
    <definedName function="false" hidden="true" name="IQ_EMPLOYEES_UNDER_UNION_CONTRACTS" vbProcedure="false">"c16109"</definedName>
    <definedName function="false" hidden="true" name="IQ_EMPLOY_COST_INDEX_BENEFITS" vbProcedure="false">"c6857"</definedName>
    <definedName function="false" hidden="true" name="IQ_EMPLOY_COST_INDEX_BENEFITS_APR" vbProcedure="false">"c7517"</definedName>
    <definedName function="false" hidden="true" name="IQ_EMPLOY_COST_INDEX_BENEFITS_APR_FC" vbProcedure="false">"c8397"</definedName>
    <definedName function="false" hidden="true" name="IQ_EMPLOY_COST_INDEX_BENEFITS_FC" vbProcedure="false">"c7737"</definedName>
    <definedName function="false" hidden="true" name="IQ_EMPLOY_COST_INDEX_BENEFITS_POP" vbProcedure="false">"c7077"</definedName>
    <definedName function="false" hidden="true" name="IQ_EMPLOY_COST_INDEX_BENEFITS_POP_FC" vbProcedure="false">"c7957"</definedName>
    <definedName function="false" hidden="true" name="IQ_EMPLOY_COST_INDEX_BENEFITS_YOY" vbProcedure="false">"c7297"</definedName>
    <definedName function="false" hidden="true" name="IQ_EMPLOY_COST_INDEX_BENEFITS_YOY_FC" vbProcedure="false">"c8177"</definedName>
    <definedName function="false" hidden="true" name="IQ_EMPLOY_COST_INDEX_COMP" vbProcedure="false">"c6856"</definedName>
    <definedName function="false" hidden="true" name="IQ_EMPLOY_COST_INDEX_COMP_APR" vbProcedure="false">"c7516"</definedName>
    <definedName function="false" hidden="true" name="IQ_EMPLOY_COST_INDEX_COMP_APR_FC" vbProcedure="false">"c8396"</definedName>
    <definedName function="false" hidden="true" name="IQ_EMPLOY_COST_INDEX_COMP_FC" vbProcedure="false">"c7736"</definedName>
    <definedName function="false" hidden="true" name="IQ_EMPLOY_COST_INDEX_COMP_POP" vbProcedure="false">"c7076"</definedName>
    <definedName function="false" hidden="true" name="IQ_EMPLOY_COST_INDEX_COMP_POP_FC" vbProcedure="false">"c7956"</definedName>
    <definedName function="false" hidden="true" name="IQ_EMPLOY_COST_INDEX_COMP_YOY" vbProcedure="false">"c7296"</definedName>
    <definedName function="false" hidden="true" name="IQ_EMPLOY_COST_INDEX_COMP_YOY_FC" vbProcedure="false">"c8176"</definedName>
    <definedName function="false" hidden="true" name="IQ_EMPLOY_COST_INDEX_WAGE_SALARY" vbProcedure="false">"c6858"</definedName>
    <definedName function="false" hidden="true" name="IQ_EMPLOY_COST_INDEX_WAGE_SALARY_APR" vbProcedure="false">"c7518"</definedName>
    <definedName function="false" hidden="true" name="IQ_EMPLOY_COST_INDEX_WAGE_SALARY_APR_FC" vbProcedure="false">"c8398"</definedName>
    <definedName function="false" hidden="true" name="IQ_EMPLOY_COST_INDEX_WAGE_SALARY_FC" vbProcedure="false">"c7738"</definedName>
    <definedName function="false" hidden="true" name="IQ_EMPLOY_COST_INDEX_WAGE_SALARY_POP" vbProcedure="false">"c7078"</definedName>
    <definedName function="false" hidden="true" name="IQ_EMPLOY_COST_INDEX_WAGE_SALARY_POP_FC" vbProcedure="false">"c7958"</definedName>
    <definedName function="false" hidden="true" name="IQ_EMPLOY_COST_INDEX_WAGE_SALARY_YOY" vbProcedure="false">"c7298"</definedName>
    <definedName function="false" hidden="true" name="IQ_EMPLOY_COST_INDEX_WAGE_SALARY_YOY_FC" vbProcedure="false">"c8178"</definedName>
    <definedName function="false" hidden="true" name="IQ_ENTERPRISE_VALUE" vbProcedure="false">"c1348"</definedName>
    <definedName function="false" hidden="true" name="IQ_ENTITLEMENT_DET_EST" vbProcedure="false">"c12044"</definedName>
    <definedName function="false" hidden="true" name="IQ_ENTITLEMENT_DET_EST_CIQ" vbProcedure="false">"c12104"</definedName>
    <definedName function="false" hidden="true" name="IQ_ENTITLEMENT_DET_EST_THOM" vbProcedure="false">"c12072"</definedName>
    <definedName function="false" hidden="true" name="IQ_ENTREPRENEURAL_PROPERTY_INC" vbProcedure="false">"c6859"</definedName>
    <definedName function="false" hidden="true" name="IQ_ENTREPRENEURAL_PROPERTY_INC_APR" vbProcedure="false">"c7519"</definedName>
    <definedName function="false" hidden="true" name="IQ_ENTREPRENEURAL_PROPERTY_INC_APR_FC" vbProcedure="false">"c8399"</definedName>
    <definedName function="false" hidden="true" name="IQ_ENTREPRENEURAL_PROPERTY_INC_FC" vbProcedure="false">"c7739"</definedName>
    <definedName function="false" hidden="true" name="IQ_ENTREPRENEURAL_PROPERTY_INC_POP" vbProcedure="false">"c7079"</definedName>
    <definedName function="false" hidden="true" name="IQ_ENTREPRENEURAL_PROPERTY_INC_POP_FC" vbProcedure="false">"c7959"</definedName>
    <definedName function="false" hidden="true" name="IQ_ENTREPRENEURAL_PROPERTY_INC_YOY" vbProcedure="false">"c7299"</definedName>
    <definedName function="false" hidden="true" name="IQ_ENTREPRENEURAL_PROPERTY_INC_YOY_FC" vbProcedure="false">"c8179"</definedName>
    <definedName function="false" hidden="true" name="IQ_EPS" vbProcedure="false">"IQ_EPS"</definedName>
    <definedName function="false" hidden="true" name="IQ_EPS_10K" vbProcedure="false">"IQ_EPS_10K"</definedName>
    <definedName function="false" hidden="true" name="IQ_EPS_10Q" vbProcedure="false">"IQ_EPS_10Q"</definedName>
    <definedName function="false" hidden="true" name="IQ_EPS_10Q1" vbProcedure="false">"IQ_EPS_10Q1"</definedName>
    <definedName function="false" hidden="true" name="IQ_EPS_10YR_ANN_CAGR" vbProcedure="false">"c6085"</definedName>
    <definedName function="false" hidden="true" name="IQ_EPS_10YR_ANN_GROWTH" vbProcedure="false">"c393"</definedName>
    <definedName function="false" hidden="true" name="IQ_EPS_1YR_ANN_GROWTH" vbProcedure="false">"c394"</definedName>
    <definedName function="false" hidden="true" name="IQ_EPS_2YR_ANN_CAGR" vbProcedure="false">"c6086"</definedName>
    <definedName function="false" hidden="true" name="IQ_EPS_2YR_ANN_GROWTH" vbProcedure="false">"c395"</definedName>
    <definedName function="false" hidden="true" name="IQ_EPS_3YR_ANN_CAGR" vbProcedure="false">"c6087"</definedName>
    <definedName function="false" hidden="true" name="IQ_EPS_3YR_ANN_GROWTH" vbProcedure="false">"c396"</definedName>
    <definedName function="false" hidden="true" name="IQ_EPS_5YR_ANN_CAGR" vbProcedure="false">"c6088"</definedName>
    <definedName function="false" hidden="true" name="IQ_EPS_5YR_ANN_GROWTH" vbProcedure="false">"c397"</definedName>
    <definedName function="false" hidden="true" name="IQ_EPS_7YR_ANN_CAGR" vbProcedure="false">"c6089"</definedName>
    <definedName function="false" hidden="true" name="IQ_EPS_7YR_ANN_GROWTH" vbProcedure="false">"c398"</definedName>
    <definedName function="false" hidden="true" name="IQ_EPS_ACT_OR_EST" vbProcedure="false">"c2213"</definedName>
    <definedName function="false" hidden="true" name="IQ_EPS_ACT_OR_EST_CIQ" vbProcedure="false">"c5058"</definedName>
    <definedName function="false" hidden="true" name="IQ_EPS_ACT_OR_EST_CIQ_COL" vbProcedure="false">"c11705"</definedName>
    <definedName function="false" hidden="true" name="IQ_EPS_ACT_OR_EST_REUT" vbProcedure="false">"c5460"</definedName>
    <definedName function="false" hidden="true" name="IQ_EPS_ACT_OR_EST_THOM" vbProcedure="false">"c5298"</definedName>
    <definedName function="false" hidden="true" name="IQ_EPS_AP" vbProcedure="false">"c8880"</definedName>
    <definedName function="false" hidden="true" name="IQ_EPS_AP_ABS" vbProcedure="false">"c8899"</definedName>
    <definedName function="false" hidden="true" name="IQ_EPS_DET_EST" vbProcedure="false">"c13571"</definedName>
    <definedName function="false" hidden="true" name="IQ_EPS_DET_EST_CIQ" vbProcedure="false">"c13573"</definedName>
    <definedName function="false" hidden="true" name="IQ_EPS_DET_EST_CURRENCY" vbProcedure="false">"c13583"</definedName>
    <definedName function="false" hidden="true" name="IQ_EPS_DET_EST_CURRENCY_CIQ" vbProcedure="false">"c13585"</definedName>
    <definedName function="false" hidden="true" name="IQ_EPS_DET_EST_CURRENCY_THOM" vbProcedure="false">"c12484"</definedName>
    <definedName function="false" hidden="true" name="IQ_EPS_DET_EST_DATE" vbProcedure="false">"c13575"</definedName>
    <definedName function="false" hidden="true" name="IQ_EPS_DET_EST_DATE_CIQ" vbProcedure="false">"c13577"</definedName>
    <definedName function="false" hidden="true" name="IQ_EPS_DET_EST_DATE_THOM" vbProcedure="false">"c12235"</definedName>
    <definedName function="false" hidden="true" name="IQ_EPS_DET_EST_INCL" vbProcedure="false">"c13587"</definedName>
    <definedName function="false" hidden="true" name="IQ_EPS_DET_EST_INCL_CIQ" vbProcedure="false">"c13589"</definedName>
    <definedName function="false" hidden="true" name="IQ_EPS_DET_EST_INCL_THOM" vbProcedure="false">"c12367"</definedName>
    <definedName function="false" hidden="true" name="IQ_EPS_DET_EST_NOTE" vbProcedure="false">"c17527"</definedName>
    <definedName function="false" hidden="true" name="IQ_EPS_DET_EST_NOTE_CIQ" vbProcedure="false">"c17480"</definedName>
    <definedName function="false" hidden="true" name="IQ_EPS_DET_EST_ORIGIN" vbProcedure="false">"c13579"</definedName>
    <definedName function="false" hidden="true" name="IQ_EPS_DET_EST_ORIGIN_CIQ" vbProcedure="false">"c13581"</definedName>
    <definedName function="false" hidden="true" name="IQ_EPS_DET_EST_ORIGIN_THOM" vbProcedure="false">"c12605"</definedName>
    <definedName function="false" hidden="true" name="IQ_EPS_DET_EST_THOM" vbProcedure="false">"c12085"</definedName>
    <definedName function="false" hidden="true" name="IQ_EPS_EST" vbProcedure="false">"IQ_EPS_EST"</definedName>
    <definedName function="false" hidden="true" name="IQ_EPS_EST_1" vbProcedure="false">"IQ_EPS_EST_1"</definedName>
    <definedName function="false" hidden="true" name="IQ_EPS_EST_BOTTOM_UP" vbProcedure="false">"c5489"</definedName>
    <definedName function="false" hidden="true" name="IQ_EPS_EST_BOTTOM_UP_CIQ" vbProcedure="false">"c12026"</definedName>
    <definedName function="false" hidden="true" name="IQ_EPS_EST_BOTTOM_UP_REUT" vbProcedure="false">"c5497"</definedName>
    <definedName function="false" hidden="true" name="IQ_EPS_EST_BOTTOM_UP_THOM" vbProcedure="false">"c5647"</definedName>
    <definedName function="false" hidden="true" name="IQ_EPS_EST_CIQ" vbProcedure="false">"c4994"</definedName>
    <definedName function="false" hidden="true" name="IQ_EPS_EST_DOWN_2MONTH" vbProcedure="false">"c16309"</definedName>
    <definedName function="false" hidden="true" name="IQ_EPS_EST_DOWN_2MONTH_CIQ" vbProcedure="false">"c16633"</definedName>
    <definedName function="false" hidden="true" name="IQ_EPS_EST_DOWN_3MONTH" vbProcedure="false">"c16313"</definedName>
    <definedName function="false" hidden="true" name="IQ_EPS_EST_DOWN_3MONTH_CIQ" vbProcedure="false">"c16637"</definedName>
    <definedName function="false" hidden="true" name="IQ_EPS_EST_DOWN_MONTH" vbProcedure="false">"c16305"</definedName>
    <definedName function="false" hidden="true" name="IQ_EPS_EST_DOWN_MONTH_CIQ" vbProcedure="false">"c16629"</definedName>
    <definedName function="false" hidden="true" name="IQ_EPS_EST_NOTE" vbProcedure="false">"c17504"</definedName>
    <definedName function="false" hidden="true" name="IQ_EPS_EST_NOTE_CIQ" vbProcedure="false">"c17457"</definedName>
    <definedName function="false" hidden="true" name="IQ_EPS_EST_NUM_ANALYSTS_2MONTH" vbProcedure="false">"c16307"</definedName>
    <definedName function="false" hidden="true" name="IQ_EPS_EST_NUM_ANALYSTS_2MONTH_CIQ" vbProcedure="false">"c16631"</definedName>
    <definedName function="false" hidden="true" name="IQ_EPS_EST_NUM_ANALYSTS_3MONTH" vbProcedure="false">"c16311"</definedName>
    <definedName function="false" hidden="true" name="IQ_EPS_EST_NUM_ANALYSTS_3MONTH_CIQ" vbProcedure="false">"c16635"</definedName>
    <definedName function="false" hidden="true" name="IQ_EPS_EST_NUM_ANALYSTS_MONTH" vbProcedure="false">"c16303"</definedName>
    <definedName function="false" hidden="true" name="IQ_EPS_EST_NUM_ANALYSTS_MONTH_CIQ" vbProcedure="false">"c16627"</definedName>
    <definedName function="false" hidden="true" name="IQ_EPS_EST_REUT" vbProcedure="false">"c5453"</definedName>
    <definedName function="false" hidden="true" name="IQ_EPS_EST_THOM" vbProcedure="false">"c5290"</definedName>
    <definedName function="false" hidden="true" name="IQ_EPS_EST_TOTAL_REVISED_2MONTH" vbProcedure="false">"c16310"</definedName>
    <definedName function="false" hidden="true" name="IQ_EPS_EST_TOTAL_REVISED_2MONTH_CIQ" vbProcedure="false">"c16634"</definedName>
    <definedName function="false" hidden="true" name="IQ_EPS_EST_TOTAL_REVISED_3MONTH" vbProcedure="false">"c16314"</definedName>
    <definedName function="false" hidden="true" name="IQ_EPS_EST_TOTAL_REVISED_3MONTH_CIQ" vbProcedure="false">"c16638"</definedName>
    <definedName function="false" hidden="true" name="IQ_EPS_EST_TOTAL_REVISED_MONTH" vbProcedure="false">"c16306"</definedName>
    <definedName function="false" hidden="true" name="IQ_EPS_EST_TOTAL_REVISED_MONTH_CIQ" vbProcedure="false">"c16630"</definedName>
    <definedName function="false" hidden="true" name="IQ_EPS_EST_UP_2MONTH" vbProcedure="false">"c16308"</definedName>
    <definedName function="false" hidden="true" name="IQ_EPS_EST_UP_2MONTH_CIQ" vbProcedure="false">"c16632"</definedName>
    <definedName function="false" hidden="true" name="IQ_EPS_EST_UP_3MONTH" vbProcedure="false">"c16312"</definedName>
    <definedName function="false" hidden="true" name="IQ_EPS_EST_UP_3MONTH_CIQ" vbProcedure="false">"c16636"</definedName>
    <definedName function="false" hidden="true" name="IQ_EPS_EST_UP_MONTH" vbProcedure="false">"c16304"</definedName>
    <definedName function="false" hidden="true" name="IQ_EPS_EST_UP_MONTH_CIQ" vbProcedure="false">"c16628"</definedName>
    <definedName function="false" hidden="true" name="IQ_EPS_EXCL_GUIDANCE" vbProcedure="false">"c4368"</definedName>
    <definedName function="false" hidden="true" name="IQ_EPS_EXCL_GUIDANCE_CIQ" vbProcedure="false">"c4893"</definedName>
    <definedName function="false" hidden="true" name="IQ_EPS_EXCL_GUIDANCE_CIQ_COL" vbProcedure="false">"c11540"</definedName>
    <definedName function="false" hidden="true" name="IQ_EPS_EXCL_HIGH_GUIDANCE" vbProcedure="false">"c4369"</definedName>
    <definedName function="false" hidden="true" name="IQ_EPS_EXCL_HIGH_GUIDANCE_CIQ" vbProcedure="false">"c4894"</definedName>
    <definedName function="false" hidden="true" name="IQ_EPS_EXCL_HIGH_GUIDANCE_CIQ_COL" vbProcedure="false">"c11541"</definedName>
    <definedName function="false" hidden="true" name="IQ_EPS_EXCL_LOW_GUIDANCE" vbProcedure="false">"c4204"</definedName>
    <definedName function="false" hidden="true" name="IQ_EPS_EXCL_LOW_GUIDANCE_CIQ" vbProcedure="false">"c4616"</definedName>
    <definedName function="false" hidden="true" name="IQ_EPS_EXCL_LOW_GUIDANCE_CIQ_COL" vbProcedure="false">"c11265"</definedName>
    <definedName function="false" hidden="true" name="IQ_EPS_GAAP_GUIDANCE" vbProcedure="false">"c4370"</definedName>
    <definedName function="false" hidden="true" name="IQ_EPS_GAAP_GUIDANCE_CIQ" vbProcedure="false">"c4895"</definedName>
    <definedName function="false" hidden="true" name="IQ_EPS_GAAP_GUIDANCE_CIQ_COL" vbProcedure="false">"c11542"</definedName>
    <definedName function="false" hidden="true" name="IQ_EPS_GAAP_HIGH_GUIDANCE" vbProcedure="false">"c4371"</definedName>
    <definedName function="false" hidden="true" name="IQ_EPS_GAAP_HIGH_GUIDANCE_CIQ" vbProcedure="false">"c4896"</definedName>
    <definedName function="false" hidden="true" name="IQ_EPS_GAAP_HIGH_GUIDANCE_CIQ_COL" vbProcedure="false">"c11543"</definedName>
    <definedName function="false" hidden="true" name="IQ_EPS_GAAP_LOW_GUIDANCE" vbProcedure="false">"c4205"</definedName>
    <definedName function="false" hidden="true" name="IQ_EPS_GAAP_LOW_GUIDANCE_CIQ" vbProcedure="false">"c4617"</definedName>
    <definedName function="false" hidden="true" name="IQ_EPS_GAAP_LOW_GUIDANCE_CIQ_COL" vbProcedure="false">"c11266"</definedName>
    <definedName function="false" hidden="true" name="IQ_EPS_GROWTH_GUIDANCE" vbProcedure="false">"c13495"</definedName>
    <definedName function="false" hidden="true" name="IQ_EPS_GROWTH_GUIDANCE_CIQ" vbProcedure="false">"c32283"</definedName>
    <definedName function="false" hidden="true" name="IQ_EPS_GROWTH_GUIDANCE_CIQ_COL" vbProcedure="false">"c32286"</definedName>
    <definedName function="false" hidden="true" name="IQ_EPS_GROWTH_HIGH_GUIDANCE" vbProcedure="false">"c13496"</definedName>
    <definedName function="false" hidden="true" name="IQ_EPS_GROWTH_HIGH_GUIDANCE_CIQ" vbProcedure="false">"c32284"</definedName>
    <definedName function="false" hidden="true" name="IQ_EPS_GROWTH_HIGH_GUIDANCE_CIQ_COL" vbProcedure="false">"c32287"</definedName>
    <definedName function="false" hidden="true" name="IQ_EPS_GROWTH_LOW_GUIDANCE" vbProcedure="false">"c13497"</definedName>
    <definedName function="false" hidden="true" name="IQ_EPS_GROWTH_LOW_GUIDANCE_CIQ" vbProcedure="false">"c32285"</definedName>
    <definedName function="false" hidden="true" name="IQ_EPS_GROWTH_LOW_GUIDANCE_CIQ_COL" vbProcedure="false">"c32288"</definedName>
    <definedName function="false" hidden="true" name="IQ_EPS_GW_ACT_OR_EST" vbProcedure="false">"c2223"</definedName>
    <definedName function="false" hidden="true" name="IQ_EPS_GW_ACT_OR_EST_CIQ" vbProcedure="false">"c5066"</definedName>
    <definedName function="false" hidden="true" name="IQ_EPS_GW_ACT_OR_EST_REUT" vbProcedure="false">"c5469"</definedName>
    <definedName function="false" hidden="true" name="IQ_EPS_GW_DET_EST" vbProcedure="false">"c12056"</definedName>
    <definedName function="false" hidden="true" name="IQ_EPS_GW_DET_EST_CIQ" vbProcedure="false">"c12118"</definedName>
    <definedName function="false" hidden="true" name="IQ_EPS_GW_DET_EST_CURRENCY" vbProcedure="false">"c12463"</definedName>
    <definedName function="false" hidden="true" name="IQ_EPS_GW_DET_EST_CURRENCY_CIQ" vbProcedure="false">"c12509"</definedName>
    <definedName function="false" hidden="true" name="IQ_EPS_GW_DET_EST_CURRENCY_THOM" vbProcedure="false">"c12485"</definedName>
    <definedName function="false" hidden="true" name="IQ_EPS_GW_DET_EST_DATE" vbProcedure="false">"c12209"</definedName>
    <definedName function="false" hidden="true" name="IQ_EPS_GW_DET_EST_DATE_CIQ" vbProcedure="false">"c12264"</definedName>
    <definedName function="false" hidden="true" name="IQ_EPS_GW_DET_EST_DATE_THOM" vbProcedure="false">"c12236"</definedName>
    <definedName function="false" hidden="true" name="IQ_EPS_GW_DET_EST_INCL" vbProcedure="false">"c12346"</definedName>
    <definedName function="false" hidden="true" name="IQ_EPS_GW_DET_EST_INCL_CIQ" vbProcedure="false">"c12392"</definedName>
    <definedName function="false" hidden="true" name="IQ_EPS_GW_DET_EST_INCL_THOM" vbProcedure="false">"c12368"</definedName>
    <definedName function="false" hidden="true" name="IQ_EPS_GW_DET_EST_NOTE" vbProcedure="false">"c17538"</definedName>
    <definedName function="false" hidden="true" name="IQ_EPS_GW_DET_EST_NOTE_CIQ" vbProcedure="false">"c17491"</definedName>
    <definedName function="false" hidden="true" name="IQ_EPS_GW_DET_EST_ORIGIN" vbProcedure="false">"c12582"</definedName>
    <definedName function="false" hidden="true" name="IQ_EPS_GW_DET_EST_ORIGIN_CIQ" vbProcedure="false">"c12633"</definedName>
    <definedName function="false" hidden="true" name="IQ_EPS_GW_DET_EST_ORIGIN_THOM" vbProcedure="false">"c12606"</definedName>
    <definedName function="false" hidden="true" name="IQ_EPS_GW_DET_EST_REUT_CURRENCY_CURRENCY_REUT" vbProcedure="false">"c12533"</definedName>
    <definedName function="false" hidden="true" name="IQ_EPS_GW_DET_EST_THOM" vbProcedure="false">"c12086"</definedName>
    <definedName function="false" hidden="true" name="IQ_EPS_GW_EST" vbProcedure="false">"c1737"</definedName>
    <definedName function="false" hidden="true" name="IQ_EPS_GW_EST_BOTTOM_UP" vbProcedure="false">"c5491"</definedName>
    <definedName function="false" hidden="true" name="IQ_EPS_GW_EST_BOTTOM_UP_CIQ" vbProcedure="false">"c12028"</definedName>
    <definedName function="false" hidden="true" name="IQ_EPS_GW_EST_BOTTOM_UP_REUT" vbProcedure="false">"c5499"</definedName>
    <definedName function="false" hidden="true" name="IQ_EPS_GW_EST_CIQ" vbProcedure="false">"c4723"</definedName>
    <definedName function="false" hidden="true" name="IQ_EPS_GW_EST_DOWN_2MONTH" vbProcedure="false">"c16465"</definedName>
    <definedName function="false" hidden="true" name="IQ_EPS_GW_EST_DOWN_2MONTH_CIQ" vbProcedure="false">"c16753"</definedName>
    <definedName function="false" hidden="true" name="IQ_EPS_GW_EST_DOWN_3MONTH" vbProcedure="false">"c16469"</definedName>
    <definedName function="false" hidden="true" name="IQ_EPS_GW_EST_DOWN_3MONTH_CIQ" vbProcedure="false">"c16757"</definedName>
    <definedName function="false" hidden="true" name="IQ_EPS_GW_EST_DOWN_MONTH" vbProcedure="false">"c16461"</definedName>
    <definedName function="false" hidden="true" name="IQ_EPS_GW_EST_DOWN_MONTH_CIQ" vbProcedure="false">"c16749"</definedName>
    <definedName function="false" hidden="true" name="IQ_EPS_GW_EST_NOTE" vbProcedure="false">"c17524"</definedName>
    <definedName function="false" hidden="true" name="IQ_EPS_GW_EST_NOTE_CIQ" vbProcedure="false">"c17477"</definedName>
    <definedName function="false" hidden="true" name="IQ_EPS_GW_EST_NUM_ANALYSTS_2MONTH" vbProcedure="false">"c16463"</definedName>
    <definedName function="false" hidden="true" name="IQ_EPS_GW_EST_NUM_ANALYSTS_2MONTH_CIQ" vbProcedure="false">"c16751"</definedName>
    <definedName function="false" hidden="true" name="IQ_EPS_GW_EST_NUM_ANALYSTS_3MONTH" vbProcedure="false">"c16467"</definedName>
    <definedName function="false" hidden="true" name="IQ_EPS_GW_EST_NUM_ANALYSTS_3MONTH_CIQ" vbProcedure="false">"c16755"</definedName>
    <definedName function="false" hidden="true" name="IQ_EPS_GW_EST_NUM_ANALYSTS_MONTH" vbProcedure="false">"c16459"</definedName>
    <definedName function="false" hidden="true" name="IQ_EPS_GW_EST_NUM_ANALYSTS_MONTH_CIQ" vbProcedure="false">"c16747"</definedName>
    <definedName function="false" hidden="true" name="IQ_EPS_GW_EST_REUT" vbProcedure="false">"c5389"</definedName>
    <definedName function="false" hidden="true" name="IQ_EPS_GW_EST_THOM" vbProcedure="false">"c5133"</definedName>
    <definedName function="false" hidden="true" name="IQ_EPS_GW_EST_TOTAL_REVISED_2MONTH" vbProcedure="false">"c16466"</definedName>
    <definedName function="false" hidden="true" name="IQ_EPS_GW_EST_TOTAL_REVISED_2MONTH_CIQ" vbProcedure="false">"c16754"</definedName>
    <definedName function="false" hidden="true" name="IQ_EPS_GW_EST_TOTAL_REVISED_3MONTH" vbProcedure="false">"c16470"</definedName>
    <definedName function="false" hidden="true" name="IQ_EPS_GW_EST_TOTAL_REVISED_3MONTH_CIQ" vbProcedure="false">"c16758"</definedName>
    <definedName function="false" hidden="true" name="IQ_EPS_GW_EST_TOTAL_REVISED_MONTH" vbProcedure="false">"c16462"</definedName>
    <definedName function="false" hidden="true" name="IQ_EPS_GW_EST_TOTAL_REVISED_MONTH_CIQ" vbProcedure="false">"c16750"</definedName>
    <definedName function="false" hidden="true" name="IQ_EPS_GW_EST_UP_2MONTH" vbProcedure="false">"c16464"</definedName>
    <definedName function="false" hidden="true" name="IQ_EPS_GW_EST_UP_2MONTH_CIQ" vbProcedure="false">"c16752"</definedName>
    <definedName function="false" hidden="true" name="IQ_EPS_GW_EST_UP_3MONTH" vbProcedure="false">"c16468"</definedName>
    <definedName function="false" hidden="true" name="IQ_EPS_GW_EST_UP_3MONTH_CIQ" vbProcedure="false">"c16756"</definedName>
    <definedName function="false" hidden="true" name="IQ_EPS_GW_EST_UP_MONTH" vbProcedure="false">"c16460"</definedName>
    <definedName function="false" hidden="true" name="IQ_EPS_GW_EST_UP_MONTH_CIQ" vbProcedure="false">"c16748"</definedName>
    <definedName function="false" hidden="true" name="IQ_EPS_GW_GUIDANCE" vbProcedure="false">"c4372"</definedName>
    <definedName function="false" hidden="true" name="IQ_EPS_GW_GUIDANCE_CIQ" vbProcedure="false">"c4897"</definedName>
    <definedName function="false" hidden="true" name="IQ_EPS_GW_GUIDANCE_CIQ_COL" vbProcedure="false">"c11544"</definedName>
    <definedName function="false" hidden="true" name="IQ_EPS_GW_HIGH_EST" vbProcedure="false">"c1739"</definedName>
    <definedName function="false" hidden="true" name="IQ_EPS_GW_HIGH_EST_CIQ" vbProcedure="false">"c4725"</definedName>
    <definedName function="false" hidden="true" name="IQ_EPS_GW_HIGH_EST_REUT" vbProcedure="false">"c5391"</definedName>
    <definedName function="false" hidden="true" name="IQ_EPS_GW_HIGH_EST_THOM" vbProcedure="false">"c5135"</definedName>
    <definedName function="false" hidden="true" name="IQ_EPS_GW_HIGH_GUIDANCE" vbProcedure="false">"c4373"</definedName>
    <definedName function="false" hidden="true" name="IQ_EPS_GW_HIGH_GUIDANCE_CIQ" vbProcedure="false">"c4898"</definedName>
    <definedName function="false" hidden="true" name="IQ_EPS_GW_HIGH_GUIDANCE_CIQ_COL" vbProcedure="false">"c11545"</definedName>
    <definedName function="false" hidden="true" name="IQ_EPS_GW_LOW_EST" vbProcedure="false">"c1740"</definedName>
    <definedName function="false" hidden="true" name="IQ_EPS_GW_LOW_EST_CIQ" vbProcedure="false">"c4726"</definedName>
    <definedName function="false" hidden="true" name="IQ_EPS_GW_LOW_EST_REUT" vbProcedure="false">"c5392"</definedName>
    <definedName function="false" hidden="true" name="IQ_EPS_GW_LOW_EST_THOM" vbProcedure="false">"c5136"</definedName>
    <definedName function="false" hidden="true" name="IQ_EPS_GW_LOW_GUIDANCE" vbProcedure="false">"c4206"</definedName>
    <definedName function="false" hidden="true" name="IQ_EPS_GW_LOW_GUIDANCE_CIQ" vbProcedure="false">"c4618"</definedName>
    <definedName function="false" hidden="true" name="IQ_EPS_GW_LOW_GUIDANCE_CIQ_COL" vbProcedure="false">"c11267"</definedName>
    <definedName function="false" hidden="true" name="IQ_EPS_GW_MEDIAN_EST" vbProcedure="false">"c1738"</definedName>
    <definedName function="false" hidden="true" name="IQ_EPS_GW_MEDIAN_EST_CIQ" vbProcedure="false">"c4724"</definedName>
    <definedName function="false" hidden="true" name="IQ_EPS_GW_MEDIAN_EST_REUT" vbProcedure="false">"c5390"</definedName>
    <definedName function="false" hidden="true" name="IQ_EPS_GW_MEDIAN_EST_THOM" vbProcedure="false">"c5134"</definedName>
    <definedName function="false" hidden="true" name="IQ_EPS_GW_NUM_EST" vbProcedure="false">"c1741"</definedName>
    <definedName function="false" hidden="true" name="IQ_EPS_GW_NUM_EST_CIQ" vbProcedure="false">"c4727"</definedName>
    <definedName function="false" hidden="true" name="IQ_EPS_GW_NUM_EST_REUT" vbProcedure="false">"c5393"</definedName>
    <definedName function="false" hidden="true" name="IQ_EPS_GW_NUM_EST_THOM" vbProcedure="false">"c5137"</definedName>
    <definedName function="false" hidden="true" name="IQ_EPS_GW_STDDEV_EST" vbProcedure="false">"c1742"</definedName>
    <definedName function="false" hidden="true" name="IQ_EPS_GW_STDDEV_EST_CIQ" vbProcedure="false">"c4728"</definedName>
    <definedName function="false" hidden="true" name="IQ_EPS_GW_STDDEV_EST_REUT" vbProcedure="false">"c5394"</definedName>
    <definedName function="false" hidden="true" name="IQ_EPS_GW_STDDEV_EST_THOM" vbProcedure="false">"c5138"</definedName>
    <definedName function="false" hidden="true" name="IQ_EPS_HIGH_EST" vbProcedure="false">"c400"</definedName>
    <definedName function="false" hidden="true" name="IQ_EPS_HIGH_EST_CIQ" vbProcedure="false">"c4995"</definedName>
    <definedName function="false" hidden="true" name="IQ_EPS_HIGH_EST_REUT" vbProcedure="false">"c5454"</definedName>
    <definedName function="false" hidden="true" name="IQ_EPS_HIGH_EST_THOM" vbProcedure="false">"c5291"</definedName>
    <definedName function="false" hidden="true" name="IQ_EPS_LOW_EST" vbProcedure="false">"c401"</definedName>
    <definedName function="false" hidden="true" name="IQ_EPS_LOW_EST_CIQ" vbProcedure="false">"c4996"</definedName>
    <definedName function="false" hidden="true" name="IQ_EPS_LOW_EST_REUT" vbProcedure="false">"c5455"</definedName>
    <definedName function="false" hidden="true" name="IQ_EPS_LOW_EST_THOM" vbProcedure="false">"c5292"</definedName>
    <definedName function="false" hidden="true" name="IQ_EPS_MEDIAN_EST" vbProcedure="false">"c1661"</definedName>
    <definedName function="false" hidden="true" name="IQ_EPS_MEDIAN_EST_CIQ" vbProcedure="false">"c4997"</definedName>
    <definedName function="false" hidden="true" name="IQ_EPS_MEDIAN_EST_REUT" vbProcedure="false">"c5456"</definedName>
    <definedName function="false" hidden="true" name="IQ_EPS_MEDIAN_EST_THOM" vbProcedure="false">"c5293"</definedName>
    <definedName function="false" hidden="true" name="IQ_EPS_NAME_AP" vbProcedure="false">"c8918"</definedName>
    <definedName function="false" hidden="true" name="IQ_EPS_NAME_AP_ABS" vbProcedure="false">"c8937"</definedName>
    <definedName function="false" hidden="true" name="IQ_EPS_NORM" vbProcedure="false">"c1902"</definedName>
    <definedName function="false" hidden="true" name="IQ_EPS_NORM_DET_EST" vbProcedure="false">"c12058"</definedName>
    <definedName function="false" hidden="true" name="IQ_EPS_NORM_DET_EST_CIQ" vbProcedure="false">"c12120"</definedName>
    <definedName function="false" hidden="true" name="IQ_EPS_NORM_DET_EST_CURRENCY" vbProcedure="false">"c12465"</definedName>
    <definedName function="false" hidden="true" name="IQ_EPS_NORM_DET_EST_CURRENCY_CIQ" vbProcedure="false">"c12511"</definedName>
    <definedName function="false" hidden="true" name="IQ_EPS_NORM_DET_EST_DATE" vbProcedure="false">"c12211"</definedName>
    <definedName function="false" hidden="true" name="IQ_EPS_NORM_DET_EST_DATE_CIQ" vbProcedure="false">"c12266"</definedName>
    <definedName function="false" hidden="true" name="IQ_EPS_NORM_DET_EST_INCL" vbProcedure="false">"c12348"</definedName>
    <definedName function="false" hidden="true" name="IQ_EPS_NORM_DET_EST_INCL_CIQ" vbProcedure="false">"c12394"</definedName>
    <definedName function="false" hidden="true" name="IQ_EPS_NORM_DET_EST_NOTE" vbProcedure="false">"c17528"</definedName>
    <definedName function="false" hidden="true" name="IQ_EPS_NORM_DET_EST_NOTE_CIQ" vbProcedure="false">"c17481"</definedName>
    <definedName function="false" hidden="true" name="IQ_EPS_NORM_DET_EST_ORIGIN" vbProcedure="false">"c12583"</definedName>
    <definedName function="false" hidden="true" name="IQ_EPS_NORM_DET_EST_ORIGIN_CIQ" vbProcedure="false">"c12635"</definedName>
    <definedName function="false" hidden="true" name="IQ_EPS_NORM_EST" vbProcedure="false">"c2226"</definedName>
    <definedName function="false" hidden="true" name="IQ_EPS_NORM_EST_BOTTOM_UP" vbProcedure="false">"c5490"</definedName>
    <definedName function="false" hidden="true" name="IQ_EPS_NORM_EST_BOTTOM_UP_CIQ" vbProcedure="false">"c12027"</definedName>
    <definedName function="false" hidden="true" name="IQ_EPS_NORM_EST_BOTTOM_UP_REUT" vbProcedure="false">"c5498"</definedName>
    <definedName function="false" hidden="true" name="IQ_EPS_NORM_EST_CIQ" vbProcedure="false">"c4667"</definedName>
    <definedName function="false" hidden="true" name="IQ_EPS_NORM_EST_DOWN_2MONTH" vbProcedure="false">"c16597"</definedName>
    <definedName function="false" hidden="true" name="IQ_EPS_NORM_EST_DOWN_2MONTH_CIQ" vbProcedure="false">"c16861"</definedName>
    <definedName function="false" hidden="true" name="IQ_EPS_NORM_EST_DOWN_3MONTH" vbProcedure="false">"c16601"</definedName>
    <definedName function="false" hidden="true" name="IQ_EPS_NORM_EST_DOWN_3MONTH_CIQ" vbProcedure="false">"c16865"</definedName>
    <definedName function="false" hidden="true" name="IQ_EPS_NORM_EST_DOWN_MONTH" vbProcedure="false">"c16593"</definedName>
    <definedName function="false" hidden="true" name="IQ_EPS_NORM_EST_DOWN_MONTH_CIQ" vbProcedure="false">"c16857"</definedName>
    <definedName function="false" hidden="true" name="IQ_EPS_NORM_EST_NOTE" vbProcedure="false">"c17505"</definedName>
    <definedName function="false" hidden="true" name="IQ_EPS_NORM_EST_NOTE_CIQ" vbProcedure="false">"c17458"</definedName>
    <definedName function="false" hidden="true" name="IQ_EPS_NORM_EST_NUM_ANALYSTS_2MONTH" vbProcedure="false">"c16595"</definedName>
    <definedName function="false" hidden="true" name="IQ_EPS_NORM_EST_NUM_ANALYSTS_2MONTH_CIQ" vbProcedure="false">"c16859"</definedName>
    <definedName function="false" hidden="true" name="IQ_EPS_NORM_EST_NUM_ANALYSTS_3MONTH" vbProcedure="false">"c16599"</definedName>
    <definedName function="false" hidden="true" name="IQ_EPS_NORM_EST_NUM_ANALYSTS_3MONTH_CIQ" vbProcedure="false">"c16863"</definedName>
    <definedName function="false" hidden="true" name="IQ_EPS_NORM_EST_NUM_ANALYSTS_MONTH" vbProcedure="false">"c16591"</definedName>
    <definedName function="false" hidden="true" name="IQ_EPS_NORM_EST_NUM_ANALYSTS_MONTH_CIQ" vbProcedure="false">"c16855"</definedName>
    <definedName function="false" hidden="true" name="IQ_EPS_NORM_EST_REUT" vbProcedure="false">"c5326"</definedName>
    <definedName function="false" hidden="true" name="IQ_EPS_NORM_EST_TOTAL_REVISED_2MONTH" vbProcedure="false">"c16598"</definedName>
    <definedName function="false" hidden="true" name="IQ_EPS_NORM_EST_TOTAL_REVISED_2MONTH_CIQ" vbProcedure="false">"c16862"</definedName>
    <definedName function="false" hidden="true" name="IQ_EPS_NORM_EST_TOTAL_REVISED_3MONTH" vbProcedure="false">"c16602"</definedName>
    <definedName function="false" hidden="true" name="IQ_EPS_NORM_EST_TOTAL_REVISED_3MONTH_CIQ" vbProcedure="false">"c16866"</definedName>
    <definedName function="false" hidden="true" name="IQ_EPS_NORM_EST_TOTAL_REVISED_MONTH" vbProcedure="false">"c16594"</definedName>
    <definedName function="false" hidden="true" name="IQ_EPS_NORM_EST_TOTAL_REVISED_MONTH_CIQ" vbProcedure="false">"c16858"</definedName>
    <definedName function="false" hidden="true" name="IQ_EPS_NORM_EST_UP_2MONTH" vbProcedure="false">"c16596"</definedName>
    <definedName function="false" hidden="true" name="IQ_EPS_NORM_EST_UP_2MONTH_CIQ" vbProcedure="false">"c16860"</definedName>
    <definedName function="false" hidden="true" name="IQ_EPS_NORM_EST_UP_3MONTH" vbProcedure="false">"c16600"</definedName>
    <definedName function="false" hidden="true" name="IQ_EPS_NORM_EST_UP_3MONTH_CIQ" vbProcedure="false">"c16864"</definedName>
    <definedName function="false" hidden="true" name="IQ_EPS_NORM_EST_UP_MONTH" vbProcedure="false">"c16592"</definedName>
    <definedName function="false" hidden="true" name="IQ_EPS_NORM_EST_UP_MONTH_CIQ" vbProcedure="false">"c16856"</definedName>
    <definedName function="false" hidden="true" name="IQ_EPS_NORM_HIGH_EST" vbProcedure="false">"c2228"</definedName>
    <definedName function="false" hidden="true" name="IQ_EPS_NORM_HIGH_EST_CIQ" vbProcedure="false">"c4669"</definedName>
    <definedName function="false" hidden="true" name="IQ_EPS_NORM_HIGH_EST_REUT" vbProcedure="false">"c5328"</definedName>
    <definedName function="false" hidden="true" name="IQ_EPS_NORM_LOW_EST" vbProcedure="false">"c2229"</definedName>
    <definedName function="false" hidden="true" name="IQ_EPS_NORM_LOW_EST_CIQ" vbProcedure="false">"c4670"</definedName>
    <definedName function="false" hidden="true" name="IQ_EPS_NORM_LOW_EST_REUT" vbProcedure="false">"c5329"</definedName>
    <definedName function="false" hidden="true" name="IQ_EPS_NORM_MEDIAN_EST" vbProcedure="false">"c2227"</definedName>
    <definedName function="false" hidden="true" name="IQ_EPS_NORM_MEDIAN_EST_CIQ" vbProcedure="false">"c4668"</definedName>
    <definedName function="false" hidden="true" name="IQ_EPS_NORM_MEDIAN_EST_REUT" vbProcedure="false">"c5327"</definedName>
    <definedName function="false" hidden="true" name="IQ_EPS_NORM_NUM_EST" vbProcedure="false">"c2230"</definedName>
    <definedName function="false" hidden="true" name="IQ_EPS_NORM_NUM_EST_CIQ" vbProcedure="false">"c4671"</definedName>
    <definedName function="false" hidden="true" name="IQ_EPS_NORM_NUM_EST_REUT" vbProcedure="false">"c5330"</definedName>
    <definedName function="false" hidden="true" name="IQ_EPS_NORM_STDDEV_EST" vbProcedure="false">"c2231"</definedName>
    <definedName function="false" hidden="true" name="IQ_EPS_NORM_STDDEV_EST_CIQ" vbProcedure="false">"c4672"</definedName>
    <definedName function="false" hidden="true" name="IQ_EPS_NORM_STDDEV_EST_REUT" vbProcedure="false">"c5331"</definedName>
    <definedName function="false" hidden="true" name="IQ_EPS_NUM_EST" vbProcedure="false">"c402"</definedName>
    <definedName function="false" hidden="true" name="IQ_EPS_NUM_EST_CIQ" vbProcedure="false">"c4992"</definedName>
    <definedName function="false" hidden="true" name="IQ_EPS_NUM_EST_REUT" vbProcedure="false">"c5451"</definedName>
    <definedName function="false" hidden="true" name="IQ_EPS_NUM_EST_THOM" vbProcedure="false">"c5288"</definedName>
    <definedName function="false" hidden="true" name="IQ_EPS_REPORTED_DET_EST" vbProcedure="false">"c12057"</definedName>
    <definedName function="false" hidden="true" name="IQ_EPS_REPORTED_DET_EST_CIQ" vbProcedure="false">"c12119"</definedName>
    <definedName function="false" hidden="true" name="IQ_EPS_REPORTED_DET_EST_CURRENCY" vbProcedure="false">"c12464"</definedName>
    <definedName function="false" hidden="true" name="IQ_EPS_REPORTED_DET_EST_CURRENCY_CIQ" vbProcedure="false">"c12510"</definedName>
    <definedName function="false" hidden="true" name="IQ_EPS_REPORTED_DET_EST_CURRENCY_THOM" vbProcedure="false">"c12486"</definedName>
    <definedName function="false" hidden="true" name="IQ_EPS_REPORTED_DET_EST_DATE" vbProcedure="false">"c12210"</definedName>
    <definedName function="false" hidden="true" name="IQ_EPS_REPORTED_DET_EST_DATE_CIQ" vbProcedure="false">"c12265"</definedName>
    <definedName function="false" hidden="true" name="IQ_EPS_REPORTED_DET_EST_DATE_THOM" vbProcedure="false">"c12237"</definedName>
    <definedName function="false" hidden="true" name="IQ_EPS_REPORTED_DET_EST_INCL" vbProcedure="false">"c12347"</definedName>
    <definedName function="false" hidden="true" name="IQ_EPS_REPORTED_DET_EST_INCL_CIQ" vbProcedure="false">"c12393"</definedName>
    <definedName function="false" hidden="true" name="IQ_EPS_REPORTED_DET_EST_INCL_THOM" vbProcedure="false">"c12369"</definedName>
    <definedName function="false" hidden="true" name="IQ_EPS_REPORTED_DET_EST_NOTE" vbProcedure="false">"c17539"</definedName>
    <definedName function="false" hidden="true" name="IQ_EPS_REPORTED_DET_EST_NOTE_CIQ" vbProcedure="false">"c17492"</definedName>
    <definedName function="false" hidden="true" name="IQ_EPS_REPORTED_DET_EST_ORIGIN" vbProcedure="false">"c12772"</definedName>
    <definedName function="false" hidden="true" name="IQ_EPS_REPORTED_DET_EST_ORIGIN_CIQ" vbProcedure="false">"c12634"</definedName>
    <definedName function="false" hidden="true" name="IQ_EPS_REPORTED_DET_EST_ORIGIN_THOM" vbProcedure="false">"c12607"</definedName>
    <definedName function="false" hidden="true" name="IQ_EPS_REPORTED_DET_EST_THOM" vbProcedure="false">"c12087"</definedName>
    <definedName function="false" hidden="true" name="IQ_EPS_REPORTED_EST" vbProcedure="false">"c1744"</definedName>
    <definedName function="false" hidden="true" name="IQ_EPS_REPORTED_EST_BOTTOM_UP" vbProcedure="false">"c5492"</definedName>
    <definedName function="false" hidden="true" name="IQ_EPS_REPORTED_EST_BOTTOM_UP_CIQ" vbProcedure="false">"c12029"</definedName>
    <definedName function="false" hidden="true" name="IQ_EPS_REPORTED_EST_BOTTOM_UP_REUT" vbProcedure="false">"c5500"</definedName>
    <definedName function="false" hidden="true" name="IQ_EPS_REPORTED_EST_CIQ" vbProcedure="false">"c4730"</definedName>
    <definedName function="false" hidden="true" name="IQ_EPS_REPORTED_EST_DOWN_2MONTH" vbProcedure="false">"c16477"</definedName>
    <definedName function="false" hidden="true" name="IQ_EPS_REPORTED_EST_DOWN_2MONTH_CIQ" vbProcedure="false">"c16765"</definedName>
    <definedName function="false" hidden="true" name="IQ_EPS_REPORTED_EST_DOWN_3MONTH" vbProcedure="false">"c16481"</definedName>
    <definedName function="false" hidden="true" name="IQ_EPS_REPORTED_EST_DOWN_3MONTH_CIQ" vbProcedure="false">"c16769"</definedName>
    <definedName function="false" hidden="true" name="IQ_EPS_REPORTED_EST_DOWN_MONTH" vbProcedure="false">"c16473"</definedName>
    <definedName function="false" hidden="true" name="IQ_EPS_REPORTED_EST_DOWN_MONTH_CIQ" vbProcedure="false">"c16761"</definedName>
    <definedName function="false" hidden="true" name="IQ_EPS_REPORTED_EST_NOTE" vbProcedure="false">"c17517"</definedName>
    <definedName function="false" hidden="true" name="IQ_EPS_REPORTED_EST_NOTE_CIQ" vbProcedure="false">"c17470"</definedName>
    <definedName function="false" hidden="true" name="IQ_EPS_REPORTED_EST_NUM_ANALYSTS_2MONTH" vbProcedure="false">"c16475"</definedName>
    <definedName function="false" hidden="true" name="IQ_EPS_REPORTED_EST_NUM_ANALYSTS_2MONTH_CIQ" vbProcedure="false">"c16763"</definedName>
    <definedName function="false" hidden="true" name="IQ_EPS_REPORTED_EST_NUM_ANALYSTS_3MONTH" vbProcedure="false">"c16479"</definedName>
    <definedName function="false" hidden="true" name="IQ_EPS_REPORTED_EST_NUM_ANALYSTS_3MONTH_CIQ" vbProcedure="false">"c16767"</definedName>
    <definedName function="false" hidden="true" name="IQ_EPS_REPORTED_EST_NUM_ANALYSTS_MONTH" vbProcedure="false">"c16471"</definedName>
    <definedName function="false" hidden="true" name="IQ_EPS_REPORTED_EST_NUM_ANALYSTS_MONTH_CIQ" vbProcedure="false">"c16759"</definedName>
    <definedName function="false" hidden="true" name="IQ_EPS_REPORTED_EST_REUT" vbProcedure="false">"c5396"</definedName>
    <definedName function="false" hidden="true" name="IQ_EPS_REPORTED_EST_THOM" vbProcedure="false">"c5140"</definedName>
    <definedName function="false" hidden="true" name="IQ_EPS_REPORTED_EST_TOTAL_REVISED_2MONTH" vbProcedure="false">"c16478"</definedName>
    <definedName function="false" hidden="true" name="IQ_EPS_REPORTED_EST_TOTAL_REVISED_2MONTH_CIQ" vbProcedure="false">"c16766"</definedName>
    <definedName function="false" hidden="true" name="IQ_EPS_REPORTED_EST_TOTAL_REVISED_3MONTH" vbProcedure="false">"c16482"</definedName>
    <definedName function="false" hidden="true" name="IQ_EPS_REPORTED_EST_TOTAL_REVISED_3MONTH_CIQ" vbProcedure="false">"c16770"</definedName>
    <definedName function="false" hidden="true" name="IQ_EPS_REPORTED_EST_TOTAL_REVISED_MONTH" vbProcedure="false">"c16474"</definedName>
    <definedName function="false" hidden="true" name="IQ_EPS_REPORTED_EST_TOTAL_REVISED_MONTH_CIQ" vbProcedure="false">"c16762"</definedName>
    <definedName function="false" hidden="true" name="IQ_EPS_REPORTED_EST_UP_2MONTH" vbProcedure="false">"c16476"</definedName>
    <definedName function="false" hidden="true" name="IQ_EPS_REPORTED_EST_UP_2MONTH_CIQ" vbProcedure="false">"c16764"</definedName>
    <definedName function="false" hidden="true" name="IQ_EPS_REPORTED_EST_UP_3MONTH" vbProcedure="false">"c16480"</definedName>
    <definedName function="false" hidden="true" name="IQ_EPS_REPORTED_EST_UP_3MONTH_CIQ" vbProcedure="false">"c16768"</definedName>
    <definedName function="false" hidden="true" name="IQ_EPS_REPORTED_EST_UP_MONTH" vbProcedure="false">"c16472"</definedName>
    <definedName function="false" hidden="true" name="IQ_EPS_REPORTED_EST_UP_MONTH_CIQ" vbProcedure="false">"c16760"</definedName>
    <definedName function="false" hidden="true" name="IQ_EPS_REPORTED_HIGH_EST" vbProcedure="false">"c1746"</definedName>
    <definedName function="false" hidden="true" name="IQ_EPS_REPORTED_HIGH_EST_CIQ" vbProcedure="false">"c4732"</definedName>
    <definedName function="false" hidden="true" name="IQ_EPS_REPORTED_HIGH_EST_REUT" vbProcedure="false">"c5398"</definedName>
    <definedName function="false" hidden="true" name="IQ_EPS_REPORTED_HIGH_EST_THOM" vbProcedure="false">"c5142"</definedName>
    <definedName function="false" hidden="true" name="IQ_EPS_REPORTED_LOW_EST" vbProcedure="false">"c1747"</definedName>
    <definedName function="false" hidden="true" name="IQ_EPS_REPORTED_LOW_EST_CIQ" vbProcedure="false">"c4733"</definedName>
    <definedName function="false" hidden="true" name="IQ_EPS_REPORTED_LOW_EST_REUT" vbProcedure="false">"c5399"</definedName>
    <definedName function="false" hidden="true" name="IQ_EPS_REPORTED_LOW_EST_THOM" vbProcedure="false">"c5143"</definedName>
    <definedName function="false" hidden="true" name="IQ_EPS_REPORTED_MEDIAN_EST" vbProcedure="false">"c1745"</definedName>
    <definedName function="false" hidden="true" name="IQ_EPS_REPORTED_MEDIAN_EST_CIQ" vbProcedure="false">"c4731"</definedName>
    <definedName function="false" hidden="true" name="IQ_EPS_REPORTED_MEDIAN_EST_REUT" vbProcedure="false">"c5397"</definedName>
    <definedName function="false" hidden="true" name="IQ_EPS_REPORTED_MEDIAN_EST_THOM" vbProcedure="false">"c5141"</definedName>
    <definedName function="false" hidden="true" name="IQ_EPS_REPORTED_NUM_EST" vbProcedure="false">"c1748"</definedName>
    <definedName function="false" hidden="true" name="IQ_EPS_REPORTED_NUM_EST_CIQ" vbProcedure="false">"c4734"</definedName>
    <definedName function="false" hidden="true" name="IQ_EPS_REPORTED_NUM_EST_REUT" vbProcedure="false">"c5400"</definedName>
    <definedName function="false" hidden="true" name="IQ_EPS_REPORTED_NUM_EST_THOM" vbProcedure="false">"c5144"</definedName>
    <definedName function="false" hidden="true" name="IQ_EPS_REPORTED_STDDEV_EST" vbProcedure="false">"c1749"</definedName>
    <definedName function="false" hidden="true" name="IQ_EPS_REPORTED_STDDEV_EST_CIQ" vbProcedure="false">"c4735"</definedName>
    <definedName function="false" hidden="true" name="IQ_EPS_REPORTED_STDDEV_EST_REUT" vbProcedure="false">"c5401"</definedName>
    <definedName function="false" hidden="true" name="IQ_EPS_REPORTED_STDDEV_EST_THOM" vbProcedure="false">"c5145"</definedName>
    <definedName function="false" hidden="true" name="IQ_EPS_REPORT_ACT_OR_EST" vbProcedure="false">"c2224"</definedName>
    <definedName function="false" hidden="true" name="IQ_EPS_REPORT_ACT_OR_EST_CIQ" vbProcedure="false">"c5067"</definedName>
    <definedName function="false" hidden="true" name="IQ_EPS_REPORT_ACT_OR_EST_REUT" vbProcedure="false">"c5470"</definedName>
    <definedName function="false" hidden="true" name="IQ_EPS_REPORT_ACT_OR_EST_THOM" vbProcedure="false">"c5307"</definedName>
    <definedName function="false" hidden="true" name="IQ_EPS_SBC_ACT_OR_EST" vbProcedure="false">"c4376"</definedName>
    <definedName function="false" hidden="true" name="IQ_EPS_SBC_ACT_OR_EST_CIQ" vbProcedure="false">"c4901"</definedName>
    <definedName function="false" hidden="true" name="IQ_EPS_SBC_ACT_OR_EST_CIQ_COL" vbProcedure="false">"c11548"</definedName>
    <definedName function="false" hidden="true" name="IQ_EPS_SBC_EST" vbProcedure="false">"c4375"</definedName>
    <definedName function="false" hidden="true" name="IQ_EPS_SBC_EST_CIQ" vbProcedure="false">"c4900"</definedName>
    <definedName function="false" hidden="true" name="IQ_EPS_SBC_GUIDANCE" vbProcedure="false">"c4377"</definedName>
    <definedName function="false" hidden="true" name="IQ_EPS_SBC_GUIDANCE_CIQ" vbProcedure="false">"c4902"</definedName>
    <definedName function="false" hidden="true" name="IQ_EPS_SBC_GUIDANCE_CIQ_COL" vbProcedure="false">"c11549"</definedName>
    <definedName function="false" hidden="true" name="IQ_EPS_SBC_GW_ACT_OR_EST" vbProcedure="false">"c4380"</definedName>
    <definedName function="false" hidden="true" name="IQ_EPS_SBC_GW_ACT_OR_EST_CIQ" vbProcedure="false">"c4905"</definedName>
    <definedName function="false" hidden="true" name="IQ_EPS_SBC_GW_ACT_OR_EST_CIQ_COL" vbProcedure="false">"c11552"</definedName>
    <definedName function="false" hidden="true" name="IQ_EPS_SBC_GW_EST" vbProcedure="false">"c4379"</definedName>
    <definedName function="false" hidden="true" name="IQ_EPS_SBC_GW_EST_CIQ" vbProcedure="false">"c4904"</definedName>
    <definedName function="false" hidden="true" name="IQ_EPS_SBC_GW_GUIDANCE" vbProcedure="false">"c4381"</definedName>
    <definedName function="false" hidden="true" name="IQ_EPS_SBC_GW_GUIDANCE_CIQ" vbProcedure="false">"c4906"</definedName>
    <definedName function="false" hidden="true" name="IQ_EPS_SBC_GW_GUIDANCE_CIQ_COL" vbProcedure="false">"c11553"</definedName>
    <definedName function="false" hidden="true" name="IQ_EPS_SBC_GW_HIGH_EST" vbProcedure="false">"c4382"</definedName>
    <definedName function="false" hidden="true" name="IQ_EPS_SBC_GW_HIGH_EST_CIQ" vbProcedure="false">"c4907"</definedName>
    <definedName function="false" hidden="true" name="IQ_EPS_SBC_GW_HIGH_GUIDANCE" vbProcedure="false">"c4189"</definedName>
    <definedName function="false" hidden="true" name="IQ_EPS_SBC_GW_HIGH_GUIDANCE_CIQ" vbProcedure="false">"c4601"</definedName>
    <definedName function="false" hidden="true" name="IQ_EPS_SBC_GW_HIGH_GUIDANCE_CIQ_COL" vbProcedure="false">"c11250"</definedName>
    <definedName function="false" hidden="true" name="IQ_EPS_SBC_GW_LOW_EST" vbProcedure="false">"c4383"</definedName>
    <definedName function="false" hidden="true" name="IQ_EPS_SBC_GW_LOW_EST_CIQ" vbProcedure="false">"c4908"</definedName>
    <definedName function="false" hidden="true" name="IQ_EPS_SBC_GW_LOW_GUIDANCE" vbProcedure="false">"c4229"</definedName>
    <definedName function="false" hidden="true" name="IQ_EPS_SBC_GW_LOW_GUIDANCE_CIQ" vbProcedure="false">"c4641"</definedName>
    <definedName function="false" hidden="true" name="IQ_EPS_SBC_GW_LOW_GUIDANCE_CIQ_COL" vbProcedure="false">"c11290"</definedName>
    <definedName function="false" hidden="true" name="IQ_EPS_SBC_GW_MEDIAN_EST" vbProcedure="false">"c4384"</definedName>
    <definedName function="false" hidden="true" name="IQ_EPS_SBC_GW_MEDIAN_EST_CIQ" vbProcedure="false">"c4909"</definedName>
    <definedName function="false" hidden="true" name="IQ_EPS_SBC_GW_NUM_EST" vbProcedure="false">"c4385"</definedName>
    <definedName function="false" hidden="true" name="IQ_EPS_SBC_GW_NUM_EST_CIQ" vbProcedure="false">"c4910"</definedName>
    <definedName function="false" hidden="true" name="IQ_EPS_SBC_GW_STDDEV_EST" vbProcedure="false">"c4386"</definedName>
    <definedName function="false" hidden="true" name="IQ_EPS_SBC_GW_STDDEV_EST_CIQ" vbProcedure="false">"c4911"</definedName>
    <definedName function="false" hidden="true" name="IQ_EPS_SBC_HIGH_EST" vbProcedure="false">"c4388"</definedName>
    <definedName function="false" hidden="true" name="IQ_EPS_SBC_HIGH_EST_CIQ" vbProcedure="false">"c4913"</definedName>
    <definedName function="false" hidden="true" name="IQ_EPS_SBC_HIGH_GUIDANCE" vbProcedure="false">"c4188"</definedName>
    <definedName function="false" hidden="true" name="IQ_EPS_SBC_HIGH_GUIDANCE_CIQ" vbProcedure="false">"c4600"</definedName>
    <definedName function="false" hidden="true" name="IQ_EPS_SBC_HIGH_GUIDANCE_CIQ_COL" vbProcedure="false">"c11249"</definedName>
    <definedName function="false" hidden="true" name="IQ_EPS_SBC_LOW_EST" vbProcedure="false">"c4389"</definedName>
    <definedName function="false" hidden="true" name="IQ_EPS_SBC_LOW_EST_CIQ" vbProcedure="false">"c4914"</definedName>
    <definedName function="false" hidden="true" name="IQ_EPS_SBC_LOW_GUIDANCE" vbProcedure="false">"c4228"</definedName>
    <definedName function="false" hidden="true" name="IQ_EPS_SBC_LOW_GUIDANCE_CIQ" vbProcedure="false">"c4640"</definedName>
    <definedName function="false" hidden="true" name="IQ_EPS_SBC_LOW_GUIDANCE_CIQ_COL" vbProcedure="false">"c11289"</definedName>
    <definedName function="false" hidden="true" name="IQ_EPS_SBC_MEDIAN_EST" vbProcedure="false">"c4390"</definedName>
    <definedName function="false" hidden="true" name="IQ_EPS_SBC_MEDIAN_EST_CIQ" vbProcedure="false">"c4915"</definedName>
    <definedName function="false" hidden="true" name="IQ_EPS_SBC_NUM_EST" vbProcedure="false">"c4391"</definedName>
    <definedName function="false" hidden="true" name="IQ_EPS_SBC_NUM_EST_CIQ" vbProcedure="false">"c4916"</definedName>
    <definedName function="false" hidden="true" name="IQ_EPS_SBC_STDDEV_EST" vbProcedure="false">"c4392"</definedName>
    <definedName function="false" hidden="true" name="IQ_EPS_SBC_STDDEV_EST_CIQ" vbProcedure="false">"c4917"</definedName>
    <definedName function="false" hidden="true" name="IQ_EPS_STDDEV_EST" vbProcedure="false">"c403"</definedName>
    <definedName function="false" hidden="true" name="IQ_EPS_STDDEV_EST_CIQ" vbProcedure="false">"c4993"</definedName>
    <definedName function="false" hidden="true" name="IQ_EPS_STDDEV_EST_REUT" vbProcedure="false">"c5452"</definedName>
    <definedName function="false" hidden="true" name="IQ_EPS_STDDEV_EST_THOM" vbProcedure="false">"c5289"</definedName>
    <definedName function="false" hidden="true" name="IQ_EQUITY_AFFIL" vbProcedure="false">"c1451"</definedName>
    <definedName function="false" hidden="true" name="IQ_EQUITY_AP" vbProcedure="false">"c8887"</definedName>
    <definedName function="false" hidden="true" name="IQ_EQUITY_AP_ABS" vbProcedure="false">"c8906"</definedName>
    <definedName function="false" hidden="true" name="IQ_EQUITY_ASSETS_TOT_FFIEC" vbProcedure="false">"c13436"</definedName>
    <definedName function="false" hidden="true" name="IQ_EQUITY_BEG_EXCL_FFIEC" vbProcedure="false">"c12957"</definedName>
    <definedName function="false" hidden="true" name="IQ_EQUITY_BEG_FFIEC" vbProcedure="false">"c12959"</definedName>
    <definedName function="false" hidden="true" name="IQ_EQUITY_CAPITAL_ASSETS_FDIC" vbProcedure="false">"c6744"</definedName>
    <definedName function="false" hidden="true" name="IQ_EQUITY_CAPITAL_QUARTERLY_AVG_FFIEC" vbProcedure="false">"c13092"</definedName>
    <definedName function="false" hidden="true" name="IQ_EQUITY_ENDING_FFIEC" vbProcedure="false">"c12973"</definedName>
    <definedName function="false" hidden="true" name="IQ_EQUITY_FDIC" vbProcedure="false">"c6353"</definedName>
    <definedName function="false" hidden="true" name="IQ_EQUITY_INDEX_EXPOSURE_FFIEC" vbProcedure="false">"c13060"</definedName>
    <definedName function="false" hidden="true" name="IQ_EQUITY_LIST" vbProcedure="false">"c15158"</definedName>
    <definedName function="false" hidden="true" name="IQ_EQUITY_METHOD" vbProcedure="false">"c404"</definedName>
    <definedName function="false" hidden="true" name="IQ_EQUITY_NAME_AP" vbProcedure="false">"c8925"</definedName>
    <definedName function="false" hidden="true" name="IQ_EQUITY_NAME_AP_ABS" vbProcedure="false">"c8944"</definedName>
    <definedName function="false" hidden="true" name="IQ_EQUITY_SECURITIES_FDIC" vbProcedure="false">"c6304"</definedName>
    <definedName function="false" hidden="true" name="IQ_EQUITY_SECURITIES_QUARTERLY_AVG_FFIEC" vbProcedure="false">"c15474"</definedName>
    <definedName function="false" hidden="true" name="IQ_EQUITY_SECURITIES_WITHOUT_FAIR_VALUES_FFIEC" vbProcedure="false">"c12846"</definedName>
    <definedName function="false" hidden="true" name="IQ_EQUITY_SECURITY_EXPOSURES_FDIC" vbProcedure="false">"c6664"</definedName>
    <definedName function="false" hidden="true" name="IQ_EQUITY_SEC_FAIR_VALUE_AFS_AMORT_COST_FFIEC" vbProcedure="false">"c20505"</definedName>
    <definedName function="false" hidden="true" name="IQ_EQUITY_SEC_FAIR_VALUE_AFS_FAIR_VAL_FFIEC" vbProcedure="false">"c20470"</definedName>
    <definedName function="false" hidden="true" name="IQ_EQUITY_SEC_FAIR_VALUE_FFIEC" vbProcedure="false">"c12805"</definedName>
    <definedName function="false" hidden="true" name="IQ_EQUITY_SEC_INVEST_SECURITIES_FFIEC" vbProcedure="false">"c13463"</definedName>
    <definedName function="false" hidden="true" name="IQ_EQUITY_TIER_ONE_CAPITAL" vbProcedure="false">"c15246"</definedName>
    <definedName function="false" hidden="true" name="IQ_EQUITY_TIER_ONE_CAPITAL_RATIO" vbProcedure="false">"c15242"</definedName>
    <definedName function="false" hidden="true" name="IQ_EQV_OVER_BV" vbProcedure="false">"c1596"</definedName>
    <definedName function="false" hidden="true" name="IQ_EQV_OVER_LTM_PRETAX_INC" vbProcedure="false">"c1390"</definedName>
    <definedName function="false" hidden="true" name="IQ_ESOP_DEBT" vbProcedure="false">"c1597"</definedName>
    <definedName function="false" hidden="true" name="IQ_ESOP_DEBT_GUARANTEED_FFIEC" vbProcedure="false">"c12971"</definedName>
    <definedName function="false" hidden="true" name="IQ_ESOP_OVER_TOTAL" vbProcedure="false">"c13768"</definedName>
    <definedName function="false" hidden="true" name="IQ_ESTIMATED_ASSESSABLE_DEPOSITS_FDIC" vbProcedure="false">"c6490"</definedName>
    <definedName function="false" hidden="true" name="IQ_ESTIMATED_INSURED_DEPOSITS_FDIC" vbProcedure="false">"c6491"</definedName>
    <definedName function="false" hidden="true" name="IQ_EST_ACT_BV" vbProcedure="false">"c5630"</definedName>
    <definedName function="false" hidden="true" name="IQ_EST_ACT_BV_CIQ" vbProcedure="false">"c4743"</definedName>
    <definedName function="false" hidden="true" name="IQ_EST_ACT_BV_REUT" vbProcedure="false">"c5409"</definedName>
    <definedName function="false" hidden="true" name="IQ_EST_ACT_BV_SHARE" vbProcedure="false">"c3549"</definedName>
    <definedName function="false" hidden="true" name="IQ_EST_ACT_BV_SHARE_CIQ" vbProcedure="false">"c3806"</definedName>
    <definedName function="false" hidden="true" name="IQ_EST_ACT_BV_SHARE_REUT" vbProcedure="false">"c5445"</definedName>
    <definedName function="false" hidden="true" name="IQ_EST_ACT_BV_SHARE_THOM" vbProcedure="false">"c4026"</definedName>
    <definedName function="false" hidden="true" name="IQ_EST_ACT_BV_THOM" vbProcedure="false">"c5153"</definedName>
    <definedName function="false" hidden="true" name="IQ_EST_ACT_CAPEX" vbProcedure="false">"c3546"</definedName>
    <definedName function="false" hidden="true" name="IQ_EST_ACT_CAPEX_CIQ" vbProcedure="false">"c3813"</definedName>
    <definedName function="false" hidden="true" name="IQ_EST_ACT_CAPEX_REUT" vbProcedure="false">"c3975"</definedName>
    <definedName function="false" hidden="true" name="IQ_EST_ACT_CAPEX_THOM" vbProcedure="false">"c5508"</definedName>
    <definedName function="false" hidden="true" name="IQ_EST_ACT_CASH_EPS" vbProcedure="false">"c5637"</definedName>
    <definedName function="false" hidden="true" name="IQ_EST_ACT_CASH_EPS_THOM" vbProcedure="false">"c5645"</definedName>
    <definedName function="false" hidden="true" name="IQ_EST_ACT_CASH_FLOW" vbProcedure="false">"c4394"</definedName>
    <definedName function="false" hidden="true" name="IQ_EST_ACT_CASH_FLOW_CIQ" vbProcedure="false">"c4919"</definedName>
    <definedName function="false" hidden="true" name="IQ_EST_ACT_CASH_OPER" vbProcedure="false">"c4395"</definedName>
    <definedName function="false" hidden="true" name="IQ_EST_ACT_CASH_OPER_CIQ" vbProcedure="false">"c4920"</definedName>
    <definedName function="false" hidden="true" name="IQ_EST_ACT_CFPS" vbProcedure="false">"c1673"</definedName>
    <definedName function="false" hidden="true" name="IQ_EST_ACT_CFPS_CIQ" vbProcedure="false">"c3681"</definedName>
    <definedName function="false" hidden="true" name="IQ_EST_ACT_CFPS_REUT" vbProcedure="false">"c3850"</definedName>
    <definedName function="false" hidden="true" name="IQ_EST_ACT_CFPS_THOM" vbProcedure="false">"c4012"</definedName>
    <definedName function="false" hidden="true" name="IQ_EST_ACT_DISTRIBUTABLE_CASH" vbProcedure="false">"c4396"</definedName>
    <definedName function="false" hidden="true" name="IQ_EST_ACT_DISTRIBUTABLE_CASH_CIQ" vbProcedure="false">"c4921"</definedName>
    <definedName function="false" hidden="true" name="IQ_EST_ACT_DISTRIBUTABLE_CASH_CIQ_COL" vbProcedure="false">"c11568"</definedName>
    <definedName function="false" hidden="true" name="IQ_EST_ACT_DISTRIBUTABLE_CASH_SHARE" vbProcedure="false">"c4397"</definedName>
    <definedName function="false" hidden="true" name="IQ_EST_ACT_DISTRIBUTABLE_CASH_SHARE_CIQ" vbProcedure="false">"c4922"</definedName>
    <definedName function="false" hidden="true" name="IQ_EST_ACT_DPS" vbProcedure="false">"c1680"</definedName>
    <definedName function="false" hidden="true" name="IQ_EST_ACT_DPS_CIQ" vbProcedure="false">"c3688"</definedName>
    <definedName function="false" hidden="true" name="IQ_EST_ACT_DPS_REUT" vbProcedure="false">"c3857"</definedName>
    <definedName function="false" hidden="true" name="IQ_EST_ACT_DPS_THOM" vbProcedure="false">"c4019"</definedName>
    <definedName function="false" hidden="true" name="IQ_EST_ACT_EBIT" vbProcedure="false">"c1687"</definedName>
    <definedName function="false" hidden="true" name="IQ_EST_ACT_EBITDA" vbProcedure="false">"c1664"</definedName>
    <definedName function="false" hidden="true" name="IQ_EST_ACT_EBITDA_CIQ" vbProcedure="false">"c3667"</definedName>
    <definedName function="false" hidden="true" name="IQ_EST_ACT_EBITDA_REUT" vbProcedure="false">"c3836"</definedName>
    <definedName function="false" hidden="true" name="IQ_EST_ACT_EBITDA_SBC" vbProcedure="false">"c4401"</definedName>
    <definedName function="false" hidden="true" name="IQ_EST_ACT_EBITDA_SBC_CIQ" vbProcedure="false">"c4926"</definedName>
    <definedName function="false" hidden="true" name="IQ_EST_ACT_EBITDA_THOM" vbProcedure="false">"c3998"</definedName>
    <definedName function="false" hidden="true" name="IQ_EST_ACT_EBIT_CIQ" vbProcedure="false">"c4680"</definedName>
    <definedName function="false" hidden="true" name="IQ_EST_ACT_EBIT_GW" vbProcedure="false">"c4398"</definedName>
    <definedName function="false" hidden="true" name="IQ_EST_ACT_EBIT_GW_CIQ" vbProcedure="false">"c4923"</definedName>
    <definedName function="false" hidden="true" name="IQ_EST_ACT_EBIT_REUT" vbProcedure="false">"c5339"</definedName>
    <definedName function="false" hidden="true" name="IQ_EST_ACT_EBIT_SBC" vbProcedure="false">"c4399"</definedName>
    <definedName function="false" hidden="true" name="IQ_EST_ACT_EBIT_SBC_CIQ" vbProcedure="false">"c4924"</definedName>
    <definedName function="false" hidden="true" name="IQ_EST_ACT_EBIT_SBC_GW" vbProcedure="false">"c4400"</definedName>
    <definedName function="false" hidden="true" name="IQ_EST_ACT_EBIT_SBC_GW_CIQ" vbProcedure="false">"c4925"</definedName>
    <definedName function="false" hidden="true" name="IQ_EST_ACT_EBIT_THOM" vbProcedure="false">"c5111"</definedName>
    <definedName function="false" hidden="true" name="IQ_EST_ACT_EBT_SBC" vbProcedure="false">"c4402"</definedName>
    <definedName function="false" hidden="true" name="IQ_EST_ACT_EBT_SBC_CIQ" vbProcedure="false">"c4927"</definedName>
    <definedName function="false" hidden="true" name="IQ_EST_ACT_EBT_SBC_GW" vbProcedure="false">"c4403"</definedName>
    <definedName function="false" hidden="true" name="IQ_EST_ACT_EBT_SBC_GW_CIQ" vbProcedure="false">"c4928"</definedName>
    <definedName function="false" hidden="true" name="IQ_EST_ACT_EPS" vbProcedure="false">"c1648"</definedName>
    <definedName function="false" hidden="true" name="IQ_EST_ACT_EPS_CIQ" vbProcedure="false">"c4998"</definedName>
    <definedName function="false" hidden="true" name="IQ_EST_ACT_EPS_GW" vbProcedure="false">"c1743"</definedName>
    <definedName function="false" hidden="true" name="IQ_EST_ACT_EPS_GW_CIQ" vbProcedure="false">"c4729"</definedName>
    <definedName function="false" hidden="true" name="IQ_EST_ACT_EPS_GW_REUT" vbProcedure="false">"c5395"</definedName>
    <definedName function="false" hidden="true" name="IQ_EST_ACT_EPS_GW_THOM" vbProcedure="false">"c5139"</definedName>
    <definedName function="false" hidden="true" name="IQ_EST_ACT_EPS_NORM" vbProcedure="false">"c2232"</definedName>
    <definedName function="false" hidden="true" name="IQ_EST_ACT_EPS_NORM_CIQ" vbProcedure="false">"c4673"</definedName>
    <definedName function="false" hidden="true" name="IQ_EST_ACT_EPS_NORM_REUT" vbProcedure="false">"c5332"</definedName>
    <definedName function="false" hidden="true" name="IQ_EST_ACT_EPS_REPORTED" vbProcedure="false">"c1750"</definedName>
    <definedName function="false" hidden="true" name="IQ_EST_ACT_EPS_REPORTED_CIQ" vbProcedure="false">"c4736"</definedName>
    <definedName function="false" hidden="true" name="IQ_EST_ACT_EPS_REPORTED_REUT" vbProcedure="false">"c5402"</definedName>
    <definedName function="false" hidden="true" name="IQ_EST_ACT_EPS_REPORTED_THOM" vbProcedure="false">"c5146"</definedName>
    <definedName function="false" hidden="true" name="IQ_EST_ACT_EPS_REUT" vbProcedure="false">"c5457"</definedName>
    <definedName function="false" hidden="true" name="IQ_EST_ACT_EPS_SBC" vbProcedure="false">"c4404"</definedName>
    <definedName function="false" hidden="true" name="IQ_EST_ACT_EPS_SBC_CIQ" vbProcedure="false">"c4929"</definedName>
    <definedName function="false" hidden="true" name="IQ_EST_ACT_EPS_SBC_GW" vbProcedure="false">"c4405"</definedName>
    <definedName function="false" hidden="true" name="IQ_EST_ACT_EPS_SBC_GW_CIQ" vbProcedure="false">"c4930"</definedName>
    <definedName function="false" hidden="true" name="IQ_EST_ACT_EPS_THOM" vbProcedure="false">"c5294"</definedName>
    <definedName function="false" hidden="true" name="IQ_EST_ACT_FFO" vbProcedure="false">"c1666"</definedName>
    <definedName function="false" hidden="true" name="IQ_EST_ACT_FFO_ADJ" vbProcedure="false">"c4406"</definedName>
    <definedName function="false" hidden="true" name="IQ_EST_ACT_FFO_ADJ_CIQ" vbProcedure="false">"c4931"</definedName>
    <definedName function="false" hidden="true" name="IQ_EST_ACT_FFO_CIQ" vbProcedure="false">"c4932"</definedName>
    <definedName function="false" hidden="true" name="IQ_EST_ACT_FFO_CIQ_COL" vbProcedure="false">"c11579"</definedName>
    <definedName function="false" hidden="true" name="IQ_EST_ACT_FFO_REUT" vbProcedure="false">"c3843"</definedName>
    <definedName function="false" hidden="true" name="IQ_EST_ACT_FFO_SHARE" vbProcedure="false">"c4407"</definedName>
    <definedName function="false" hidden="true" name="IQ_EST_ACT_FFO_SHARE_CIQ" vbProcedure="false">"c3674"</definedName>
    <definedName function="false" hidden="true" name="IQ_EST_ACT_FFO_SHARE_SHARE_REUT" vbProcedure="false">"c3843"</definedName>
    <definedName function="false" hidden="true" name="IQ_EST_ACT_FFO_SHARE_SHARE_THOM" vbProcedure="false">"c4005"</definedName>
    <definedName function="false" hidden="true" name="IQ_EST_ACT_FFO_THOM" vbProcedure="false">"c4005"</definedName>
    <definedName function="false" hidden="true" name="IQ_EST_ACT_GROSS_MARGIN" vbProcedure="false">"c5553"</definedName>
    <definedName function="false" hidden="true" name="IQ_EST_ACT_GROSS_MARGIN_THOM" vbProcedure="false">"c5561"</definedName>
    <definedName function="false" hidden="true" name="IQ_EST_ACT_MAINT_CAPEX" vbProcedure="false">"c4408"</definedName>
    <definedName function="false" hidden="true" name="IQ_EST_ACT_MAINT_CAPEX_CIQ" vbProcedure="false">"c4933"</definedName>
    <definedName function="false" hidden="true" name="IQ_EST_ACT_NAV" vbProcedure="false">"c1757"</definedName>
    <definedName function="false" hidden="true" name="IQ_EST_ACT_NAV_SHARE" vbProcedure="false">"c5608"</definedName>
    <definedName function="false" hidden="true" name="IQ_EST_ACT_NAV_SHARE_CIQ" vbProcedure="false">"c12031"</definedName>
    <definedName function="false" hidden="true" name="IQ_EST_ACT_NAV_SHARE_REUT" vbProcedure="false">"c5616"</definedName>
    <definedName function="false" hidden="true" name="IQ_EST_ACT_NAV_THOM" vbProcedure="false">"c5600"</definedName>
    <definedName function="false" hidden="true" name="IQ_EST_ACT_NET_DEBT" vbProcedure="false">"c3545"</definedName>
    <definedName function="false" hidden="true" name="IQ_EST_ACT_NET_DEBT_CIQ" vbProcedure="false">"c3820"</definedName>
    <definedName function="false" hidden="true" name="IQ_EST_ACT_NET_DEBT_REUT" vbProcedure="false">"c5446"</definedName>
    <definedName function="false" hidden="true" name="IQ_EST_ACT_NET_DEBT_THOM" vbProcedure="false">"c4033"</definedName>
    <definedName function="false" hidden="true" name="IQ_EST_ACT_NI" vbProcedure="false">"c1722"</definedName>
    <definedName function="false" hidden="true" name="IQ_EST_ACT_NI_CIQ" vbProcedure="false">"c4708"</definedName>
    <definedName function="false" hidden="true" name="IQ_EST_ACT_NI_GW" vbProcedure="false">"c1729"</definedName>
    <definedName function="false" hidden="true" name="IQ_EST_ACT_NI_GW_CIQ" vbProcedure="false">"c4715"</definedName>
    <definedName function="false" hidden="true" name="IQ_EST_ACT_NI_GW_REUT" vbProcedure="false">"c5381"</definedName>
    <definedName function="false" hidden="true" name="IQ_EST_ACT_NI_REPORTED" vbProcedure="false">"c1736"</definedName>
    <definedName function="false" hidden="true" name="IQ_EST_ACT_NI_REPORTED_CIQ" vbProcedure="false">"c4722"</definedName>
    <definedName function="false" hidden="true" name="IQ_EST_ACT_NI_REPORTED_REUT" vbProcedure="false">"c5388"</definedName>
    <definedName function="false" hidden="true" name="IQ_EST_ACT_NI_REUT" vbProcedure="false">"c5374"</definedName>
    <definedName function="false" hidden="true" name="IQ_EST_ACT_NI_SBC" vbProcedure="false">"c4409"</definedName>
    <definedName function="false" hidden="true" name="IQ_EST_ACT_NI_SBC_CIQ" vbProcedure="false">"c4934"</definedName>
    <definedName function="false" hidden="true" name="IQ_EST_ACT_NI_SBC_GW" vbProcedure="false">"c4410"</definedName>
    <definedName function="false" hidden="true" name="IQ_EST_ACT_NI_SBC_GW_CIQ" vbProcedure="false">"c4935"</definedName>
    <definedName function="false" hidden="true" name="IQ_EST_ACT_NI_THOM" vbProcedure="false">"c5132"</definedName>
    <definedName function="false" hidden="true" name="IQ_EST_ACT_OPER_INC" vbProcedure="false">"c1694"</definedName>
    <definedName function="false" hidden="true" name="IQ_EST_ACT_OPER_INC_CIQ" vbProcedure="false">"c12016"</definedName>
    <definedName function="false" hidden="true" name="IQ_EST_ACT_OPER_INC_REUT" vbProcedure="false">"c5346"</definedName>
    <definedName function="false" hidden="true" name="IQ_EST_ACT_OPER_INC_THOM" vbProcedure="false">"c5118"</definedName>
    <definedName function="false" hidden="true" name="IQ_EST_ACT_PRETAX_GW_INC" vbProcedure="false">"c1708"</definedName>
    <definedName function="false" hidden="true" name="IQ_EST_ACT_PRETAX_GW_INC_CIQ" vbProcedure="false">"c4694"</definedName>
    <definedName function="false" hidden="true" name="IQ_EST_ACT_PRETAX_GW_INC_REUT" vbProcedure="false">"c5360"</definedName>
    <definedName function="false" hidden="true" name="IQ_EST_ACT_PRETAX_INC" vbProcedure="false">"c1701"</definedName>
    <definedName function="false" hidden="true" name="IQ_EST_ACT_PRETAX_INC_CIQ" vbProcedure="false">"c4687"</definedName>
    <definedName function="false" hidden="true" name="IQ_EST_ACT_PRETAX_INC_REUT" vbProcedure="false">"c5353"</definedName>
    <definedName function="false" hidden="true" name="IQ_EST_ACT_PRETAX_INC_THOM" vbProcedure="false">"c5125"</definedName>
    <definedName function="false" hidden="true" name="IQ_EST_ACT_PRETAX_REPORT_INC" vbProcedure="false">"c1715"</definedName>
    <definedName function="false" hidden="true" name="IQ_EST_ACT_PRETAX_REPORT_INC_CIQ" vbProcedure="false">"c4701"</definedName>
    <definedName function="false" hidden="true" name="IQ_EST_ACT_PRETAX_REPORT_INC_REUT" vbProcedure="false">"c5367"</definedName>
    <definedName function="false" hidden="true" name="IQ_EST_ACT_RECURRING_PROFIT" vbProcedure="false">"c4411"</definedName>
    <definedName function="false" hidden="true" name="IQ_EST_ACT_RECURRING_PROFIT_CIQ" vbProcedure="false">"c4936"</definedName>
    <definedName function="false" hidden="true" name="IQ_EST_ACT_RECURRING_PROFIT_SHARE" vbProcedure="false">"c4412"</definedName>
    <definedName function="false" hidden="true" name="IQ_EST_ACT_RECURRING_PROFIT_SHARE_CIQ" vbProcedure="false">"c4937"</definedName>
    <definedName function="false" hidden="true" name="IQ_EST_ACT_RETURN_ASSETS" vbProcedure="false">"c3547"</definedName>
    <definedName function="false" hidden="true" name="IQ_EST_ACT_RETURN_ASSETS_CIQ" vbProcedure="false">"c3834"</definedName>
    <definedName function="false" hidden="true" name="IQ_EST_ACT_RETURN_ASSETS_REUT" vbProcedure="false">"c3996"</definedName>
    <definedName function="false" hidden="true" name="IQ_EST_ACT_RETURN_ASSETS_THOM" vbProcedure="false">"c4040"</definedName>
    <definedName function="false" hidden="true" name="IQ_EST_ACT_RETURN_EQUITY" vbProcedure="false">"c3548"</definedName>
    <definedName function="false" hidden="true" name="IQ_EST_ACT_RETURN_EQUITY_CIQ" vbProcedure="false">"c3827"</definedName>
    <definedName function="false" hidden="true" name="IQ_EST_ACT_RETURN_EQUITY_REUT" vbProcedure="false">"c3989"</definedName>
    <definedName function="false" hidden="true" name="IQ_EST_ACT_RETURN_EQUITY_THOM" vbProcedure="false">"c5287"</definedName>
    <definedName function="false" hidden="true" name="IQ_EST_ACT_REV" vbProcedure="false">"c2113"</definedName>
    <definedName function="false" hidden="true" name="IQ_EST_ACT_REV_CIQ" vbProcedure="false">"c3666"</definedName>
    <definedName function="false" hidden="true" name="IQ_EST_ACT_REV_REUT" vbProcedure="false">"c3835"</definedName>
    <definedName function="false" hidden="true" name="IQ_EST_ACT_REV_THOM" vbProcedure="false">"c3997"</definedName>
    <definedName function="false" hidden="true" name="IQ_EST_BV_DIFF_REUT" vbProcedure="false">"c5433"</definedName>
    <definedName function="false" hidden="true" name="IQ_EST_BV_DIFF_THOM" vbProcedure="false">"c5204"</definedName>
    <definedName function="false" hidden="true" name="IQ_EST_BV_SHARE_DIFF" vbProcedure="false">"c4147"</definedName>
    <definedName function="false" hidden="true" name="IQ_EST_BV_SHARE_DIFF_CIQ" vbProcedure="false">"c4559"</definedName>
    <definedName function="false" hidden="true" name="IQ_EST_BV_SHARE_SURPRISE_PERCENT" vbProcedure="false">"c4148"</definedName>
    <definedName function="false" hidden="true" name="IQ_EST_BV_SHARE_SURPRISE_PERCENT_CIQ" vbProcedure="false">"c4560"</definedName>
    <definedName function="false" hidden="true" name="IQ_EST_BV_SURPRISE_PERCENT_REUT" vbProcedure="false">"c5434"</definedName>
    <definedName function="false" hidden="true" name="IQ_EST_BV_SURPRISE_PERCENT_THOM" vbProcedure="false">"c5205"</definedName>
    <definedName function="false" hidden="true" name="IQ_EST_CAPEX_DIFF" vbProcedure="false">"c4149"</definedName>
    <definedName function="false" hidden="true" name="IQ_EST_CAPEX_DIFF_CIQ" vbProcedure="false">"c4561"</definedName>
    <definedName function="false" hidden="true" name="IQ_EST_CAPEX_GROWTH_1YR" vbProcedure="false">"c3588"</definedName>
    <definedName function="false" hidden="true" name="IQ_EST_CAPEX_GROWTH_1YR_CIQ" vbProcedure="false">"c4972"</definedName>
    <definedName function="false" hidden="true" name="IQ_EST_CAPEX_GROWTH_1YR_REUT" vbProcedure="false">"c5447"</definedName>
    <definedName function="false" hidden="true" name="IQ_EST_CAPEX_GROWTH_1YR_THOM" vbProcedure="false">"c5542"</definedName>
    <definedName function="false" hidden="true" name="IQ_EST_CAPEX_GROWTH_2YR" vbProcedure="false">"c3589"</definedName>
    <definedName function="false" hidden="true" name="IQ_EST_CAPEX_GROWTH_2YR_CIQ" vbProcedure="false">"c4973"</definedName>
    <definedName function="false" hidden="true" name="IQ_EST_CAPEX_GROWTH_2YR_REUT" vbProcedure="false">"c5448"</definedName>
    <definedName function="false" hidden="true" name="IQ_EST_CAPEX_GROWTH_2YR_THOM" vbProcedure="false">"c5543"</definedName>
    <definedName function="false" hidden="true" name="IQ_EST_CAPEX_GROWTH_Q_1YR" vbProcedure="false">"c3590"</definedName>
    <definedName function="false" hidden="true" name="IQ_EST_CAPEX_GROWTH_Q_1YR_CIQ" vbProcedure="false">"c4974"</definedName>
    <definedName function="false" hidden="true" name="IQ_EST_CAPEX_GROWTH_Q_1YR_REUT" vbProcedure="false">"c5449"</definedName>
    <definedName function="false" hidden="true" name="IQ_EST_CAPEX_GROWTH_Q_1YR_THOM" vbProcedure="false">"c5544"</definedName>
    <definedName function="false" hidden="true" name="IQ_EST_CAPEX_SEQ_GROWTH_Q" vbProcedure="false">"c3591"</definedName>
    <definedName function="false" hidden="true" name="IQ_EST_CAPEX_SEQ_GROWTH_Q_CIQ" vbProcedure="false">"c4975"</definedName>
    <definedName function="false" hidden="true" name="IQ_EST_CAPEX_SEQ_GROWTH_Q_REUT" vbProcedure="false">"c5450"</definedName>
    <definedName function="false" hidden="true" name="IQ_EST_CAPEX_SEQ_GROWTH_Q_THOM" vbProcedure="false">"c5545"</definedName>
    <definedName function="false" hidden="true" name="IQ_EST_CAPEX_SURPRISE_PERCENT" vbProcedure="false">"c4151"</definedName>
    <definedName function="false" hidden="true" name="IQ_EST_CAPEX_SURPRISE_PERCENT_CIQ" vbProcedure="false">"c4563"</definedName>
    <definedName function="false" hidden="true" name="IQ_EST_CASH_FLOW_DIFF" vbProcedure="false">"c4152"</definedName>
    <definedName function="false" hidden="true" name="IQ_EST_CASH_FLOW_DIFF_CIQ" vbProcedure="false">"c4564"</definedName>
    <definedName function="false" hidden="true" name="IQ_EST_CASH_FLOW_DIFF_CIQ_COL" vbProcedure="false">"c11213"</definedName>
    <definedName function="false" hidden="true" name="IQ_EST_CASH_FLOW_SURPRISE_PERCENT" vbProcedure="false">"c4161"</definedName>
    <definedName function="false" hidden="true" name="IQ_EST_CASH_FLOW_SURPRISE_PERCENT_CIQ" vbProcedure="false">"c4573"</definedName>
    <definedName function="false" hidden="true" name="IQ_EST_CASH_FLOW_SURPRISE_PERCENT_CIQ_COL" vbProcedure="false">"c11222"</definedName>
    <definedName function="false" hidden="true" name="IQ_EST_CASH_OPER_DIFF" vbProcedure="false">"c4162"</definedName>
    <definedName function="false" hidden="true" name="IQ_EST_CASH_OPER_DIFF_CIQ" vbProcedure="false">"c4574"</definedName>
    <definedName function="false" hidden="true" name="IQ_EST_CASH_OPER_DIFF_CIQ_COL" vbProcedure="false">"c11223"</definedName>
    <definedName function="false" hidden="true" name="IQ_EST_CASH_OPER_SURPRISE_PERCENT" vbProcedure="false">"c4248"</definedName>
    <definedName function="false" hidden="true" name="IQ_EST_CASH_OPER_SURPRISE_PERCENT_CIQ" vbProcedure="false">"c4774"</definedName>
    <definedName function="false" hidden="true" name="IQ_EST_CASH_OPER_SURPRISE_PERCENT_CIQ_COL" vbProcedure="false">"c11421"</definedName>
    <definedName function="false" hidden="true" name="IQ_EST_CFPS_DIFF" vbProcedure="false">"c1871"</definedName>
    <definedName function="false" hidden="true" name="IQ_EST_CFPS_DIFF_CIQ" vbProcedure="false">"c3723"</definedName>
    <definedName function="false" hidden="true" name="IQ_EST_CFPS_DIFF_REUT" vbProcedure="false">"c3892"</definedName>
    <definedName function="false" hidden="true" name="IQ_EST_CFPS_DIFF_THOM" vbProcedure="false">"c5188"</definedName>
    <definedName function="false" hidden="true" name="IQ_EST_CFPS_GROWTH_1YR" vbProcedure="false">"c1774"</definedName>
    <definedName function="false" hidden="true" name="IQ_EST_CFPS_GROWTH_1YR_CIQ" vbProcedure="false">"c3709"</definedName>
    <definedName function="false" hidden="true" name="IQ_EST_CFPS_GROWTH_1YR_REUT" vbProcedure="false">"c3878"</definedName>
    <definedName function="false" hidden="true" name="IQ_EST_CFPS_GROWTH_1YR_THOM" vbProcedure="false">"c5174"</definedName>
    <definedName function="false" hidden="true" name="IQ_EST_CFPS_GROWTH_2YR" vbProcedure="false">"c1775"</definedName>
    <definedName function="false" hidden="true" name="IQ_EST_CFPS_GROWTH_2YR_CIQ" vbProcedure="false">"c3710"</definedName>
    <definedName function="false" hidden="true" name="IQ_EST_CFPS_GROWTH_2YR_REUT" vbProcedure="false">"c3879"</definedName>
    <definedName function="false" hidden="true" name="IQ_EST_CFPS_GROWTH_2YR_THOM" vbProcedure="false">"c5175"</definedName>
    <definedName function="false" hidden="true" name="IQ_EST_CFPS_GROWTH_Q_1YR" vbProcedure="false">"c1776"</definedName>
    <definedName function="false" hidden="true" name="IQ_EST_CFPS_GROWTH_Q_1YR_CIQ" vbProcedure="false">"c3711"</definedName>
    <definedName function="false" hidden="true" name="IQ_EST_CFPS_GROWTH_Q_1YR_REUT" vbProcedure="false">"c3880"</definedName>
    <definedName function="false" hidden="true" name="IQ_EST_CFPS_GROWTH_Q_1YR_THOM" vbProcedure="false">"c5176"</definedName>
    <definedName function="false" hidden="true" name="IQ_EST_CFPS_SEQ_GROWTH_Q" vbProcedure="false">"c1777"</definedName>
    <definedName function="false" hidden="true" name="IQ_EST_CFPS_SEQ_GROWTH_Q_CIQ" vbProcedure="false">"c3712"</definedName>
    <definedName function="false" hidden="true" name="IQ_EST_CFPS_SEQ_GROWTH_Q_REUT" vbProcedure="false">"c3881"</definedName>
    <definedName function="false" hidden="true" name="IQ_EST_CFPS_SEQ_GROWTH_Q_THOM" vbProcedure="false">"c5177"</definedName>
    <definedName function="false" hidden="true" name="IQ_EST_CFPS_SURPRISE_PERCENT" vbProcedure="false">"c1872"</definedName>
    <definedName function="false" hidden="true" name="IQ_EST_CFPS_SURPRISE_PERCENT_CIQ" vbProcedure="false">"c3724"</definedName>
    <definedName function="false" hidden="true" name="IQ_EST_CFPS_SURPRISE_PERCENT_REUT" vbProcedure="false">"c3893"</definedName>
    <definedName function="false" hidden="true" name="IQ_EST_CFPS_SURPRISE_PERCENT_THOM" vbProcedure="false">"c5189"</definedName>
    <definedName function="false" hidden="true" name="IQ_EST_CURRENCY" vbProcedure="false">"c2140"</definedName>
    <definedName function="false" hidden="true" name="IQ_EST_CURRENCY_CIQ" vbProcedure="false">"c4769"</definedName>
    <definedName function="false" hidden="true" name="IQ_EST_CURRENCY_REUT" vbProcedure="false">"c5437"</definedName>
    <definedName function="false" hidden="true" name="IQ_EST_CURRENCY_THOM" vbProcedure="false">"c5280"</definedName>
    <definedName function="false" hidden="true" name="IQ_EST_DATE" vbProcedure="false">"c1634"</definedName>
    <definedName function="false" hidden="true" name="IQ_EST_DATE_CIQ" vbProcedure="false">"c4770"</definedName>
    <definedName function="false" hidden="true" name="IQ_EST_DATE_REUT" vbProcedure="false">"c5438"</definedName>
    <definedName function="false" hidden="true" name="IQ_EST_DATE_THOM" vbProcedure="false">"c5281"</definedName>
    <definedName function="false" hidden="true" name="IQ_EST_DISTRIBUTABLE_CASH_DIFF" vbProcedure="false">"c4276"</definedName>
    <definedName function="false" hidden="true" name="IQ_EST_DISTRIBUTABLE_CASH_DIFF_CIQ" vbProcedure="false">"c4801"</definedName>
    <definedName function="false" hidden="true" name="IQ_EST_DISTRIBUTABLE_CASH_DIFF_CIQ_COL" vbProcedure="false">"c11448"</definedName>
    <definedName function="false" hidden="true" name="IQ_EST_DISTRIBUTABLE_CASH_GROWTH_1YR" vbProcedure="false">"c4413"</definedName>
    <definedName function="false" hidden="true" name="IQ_EST_DISTRIBUTABLE_CASH_GROWTH_1YR_CIQ" vbProcedure="false">"c4938"</definedName>
    <definedName function="false" hidden="true" name="IQ_EST_DISTRIBUTABLE_CASH_GROWTH_1YR_CIQ_COL" vbProcedure="false">"c11585"</definedName>
    <definedName function="false" hidden="true" name="IQ_EST_DISTRIBUTABLE_CASH_GROWTH_2YR" vbProcedure="false">"c4414"</definedName>
    <definedName function="false" hidden="true" name="IQ_EST_DISTRIBUTABLE_CASH_GROWTH_2YR_CIQ" vbProcedure="false">"c4939"</definedName>
    <definedName function="false" hidden="true" name="IQ_EST_DISTRIBUTABLE_CASH_GROWTH_2YR_CIQ_COL" vbProcedure="false">"c11586"</definedName>
    <definedName function="false" hidden="true" name="IQ_EST_DISTRIBUTABLE_CASH_GROWTH_Q_1YR" vbProcedure="false">"c4415"</definedName>
    <definedName function="false" hidden="true" name="IQ_EST_DISTRIBUTABLE_CASH_GROWTH_Q_1YR_CIQ" vbProcedure="false">"c4940"</definedName>
    <definedName function="false" hidden="true" name="IQ_EST_DISTRIBUTABLE_CASH_GROWTH_Q_1YR_CIQ_COL" vbProcedure="false">"c11587"</definedName>
    <definedName function="false" hidden="true" name="IQ_EST_DISTRIBUTABLE_CASH_SEQ_GROWTH_Q" vbProcedure="false">"c4416"</definedName>
    <definedName function="false" hidden="true" name="IQ_EST_DISTRIBUTABLE_CASH_SEQ_GROWTH_Q_CIQ" vbProcedure="false">"c4941"</definedName>
    <definedName function="false" hidden="true" name="IQ_EST_DISTRIBUTABLE_CASH_SEQ_GROWTH_Q_CIQ_COL" vbProcedure="false">"c11588"</definedName>
    <definedName function="false" hidden="true" name="IQ_EST_DISTRIBUTABLE_CASH_SHARE_DIFF" vbProcedure="false">"c4284"</definedName>
    <definedName function="false" hidden="true" name="IQ_EST_DISTRIBUTABLE_CASH_SHARE_DIFF_CIQ" vbProcedure="false">"c4809"</definedName>
    <definedName function="false" hidden="true" name="IQ_EST_DISTRIBUTABLE_CASH_SHARE_DIFF_CIQ_COL" vbProcedure="false">"c11456"</definedName>
    <definedName function="false" hidden="true" name="IQ_EST_DISTRIBUTABLE_CASH_SHARE_GROWTH_1YR" vbProcedure="false">"c4417"</definedName>
    <definedName function="false" hidden="true" name="IQ_EST_DISTRIBUTABLE_CASH_SHARE_GROWTH_1YR_CIQ" vbProcedure="false">"c4942"</definedName>
    <definedName function="false" hidden="true" name="IQ_EST_DISTRIBUTABLE_CASH_SHARE_GROWTH_1YR_CIQ_COL" vbProcedure="false">"c11589"</definedName>
    <definedName function="false" hidden="true" name="IQ_EST_DISTRIBUTABLE_CASH_SHARE_GROWTH_2YR" vbProcedure="false">"c4418"</definedName>
    <definedName function="false" hidden="true" name="IQ_EST_DISTRIBUTABLE_CASH_SHARE_GROWTH_2YR_CIQ" vbProcedure="false">"c4943"</definedName>
    <definedName function="false" hidden="true" name="IQ_EST_DISTRIBUTABLE_CASH_SHARE_GROWTH_2YR_CIQ_COL" vbProcedure="false">"c11590"</definedName>
    <definedName function="false" hidden="true" name="IQ_EST_DISTRIBUTABLE_CASH_SHARE_GROWTH_Q_1YR" vbProcedure="false">"c4419"</definedName>
    <definedName function="false" hidden="true" name="IQ_EST_DISTRIBUTABLE_CASH_SHARE_GROWTH_Q_1YR_CIQ" vbProcedure="false">"c4944"</definedName>
    <definedName function="false" hidden="true" name="IQ_EST_DISTRIBUTABLE_CASH_SHARE_GROWTH_Q_1YR_CIQ_COL" vbProcedure="false">"c11591"</definedName>
    <definedName function="false" hidden="true" name="IQ_EST_DISTRIBUTABLE_CASH_SHARE_SEQ_GROWTH_Q" vbProcedure="false">"c4420"</definedName>
    <definedName function="false" hidden="true" name="IQ_EST_DISTRIBUTABLE_CASH_SHARE_SEQ_GROWTH_Q_CIQ" vbProcedure="false">"c4945"</definedName>
    <definedName function="false" hidden="true" name="IQ_EST_DISTRIBUTABLE_CASH_SHARE_SEQ_GROWTH_Q_CIQ_COL" vbProcedure="false">"c11592"</definedName>
    <definedName function="false" hidden="true" name="IQ_EST_DISTRIBUTABLE_CASH_SHARE_SURPRISE_PERCENT" vbProcedure="false">"c4293"</definedName>
    <definedName function="false" hidden="true" name="IQ_EST_DISTRIBUTABLE_CASH_SHARE_SURPRISE_PERCENT_CIQ" vbProcedure="false">"c4818"</definedName>
    <definedName function="false" hidden="true" name="IQ_EST_DISTRIBUTABLE_CASH_SHARE_SURPRISE_PERCENT_CIQ_COL" vbProcedure="false">"c11465"</definedName>
    <definedName function="false" hidden="true" name="IQ_EST_DISTRIBUTABLE_CASH_SURPRISE_PERCENT" vbProcedure="false">"c4295"</definedName>
    <definedName function="false" hidden="true" name="IQ_EST_DISTRIBUTABLE_CASH_SURPRISE_PERCENT_CIQ" vbProcedure="false">"c4820"</definedName>
    <definedName function="false" hidden="true" name="IQ_EST_DISTRIBUTABLE_CASH_SURPRISE_PERCENT_CIQ_COL" vbProcedure="false">"c11467"</definedName>
    <definedName function="false" hidden="true" name="IQ_EST_DPS_DIFF" vbProcedure="false">"c1873"</definedName>
    <definedName function="false" hidden="true" name="IQ_EST_DPS_DIFF_CIQ" vbProcedure="false">"c3725"</definedName>
    <definedName function="false" hidden="true" name="IQ_EST_DPS_DIFF_REUT" vbProcedure="false">"c3894"</definedName>
    <definedName function="false" hidden="true" name="IQ_EST_DPS_DIFF_THOM" vbProcedure="false">"c5190"</definedName>
    <definedName function="false" hidden="true" name="IQ_EST_DPS_GROWTH_1YR" vbProcedure="false">"c1778"</definedName>
    <definedName function="false" hidden="true" name="IQ_EST_DPS_GROWTH_1YR_CIQ" vbProcedure="false">"c3713"</definedName>
    <definedName function="false" hidden="true" name="IQ_EST_DPS_GROWTH_1YR_REUT" vbProcedure="false">"c3882"</definedName>
    <definedName function="false" hidden="true" name="IQ_EST_DPS_GROWTH_1YR_THOM" vbProcedure="false">"c5178"</definedName>
    <definedName function="false" hidden="true" name="IQ_EST_DPS_GROWTH_2YR" vbProcedure="false">"c1779"</definedName>
    <definedName function="false" hidden="true" name="IQ_EST_DPS_GROWTH_2YR_CIQ" vbProcedure="false">"c3714"</definedName>
    <definedName function="false" hidden="true" name="IQ_EST_DPS_GROWTH_2YR_REUT" vbProcedure="false">"c3883"</definedName>
    <definedName function="false" hidden="true" name="IQ_EST_DPS_GROWTH_2YR_THOM" vbProcedure="false">"c5179"</definedName>
    <definedName function="false" hidden="true" name="IQ_EST_DPS_GROWTH_Q_1YR" vbProcedure="false">"c1780"</definedName>
    <definedName function="false" hidden="true" name="IQ_EST_DPS_GROWTH_Q_1YR_CIQ" vbProcedure="false">"c3715"</definedName>
    <definedName function="false" hidden="true" name="IQ_EST_DPS_GROWTH_Q_1YR_REUT" vbProcedure="false">"c3884"</definedName>
    <definedName function="false" hidden="true" name="IQ_EST_DPS_GROWTH_Q_1YR_THOM" vbProcedure="false">"c5180"</definedName>
    <definedName function="false" hidden="true" name="IQ_EST_DPS_SEQ_GROWTH_Q" vbProcedure="false">"c1781"</definedName>
    <definedName function="false" hidden="true" name="IQ_EST_DPS_SEQ_GROWTH_Q_CIQ" vbProcedure="false">"c3716"</definedName>
    <definedName function="false" hidden="true" name="IQ_EST_DPS_SEQ_GROWTH_Q_REUT" vbProcedure="false">"c3885"</definedName>
    <definedName function="false" hidden="true" name="IQ_EST_DPS_SEQ_GROWTH_Q_THOM" vbProcedure="false">"c5181"</definedName>
    <definedName function="false" hidden="true" name="IQ_EST_DPS_SURPRISE_PERCENT" vbProcedure="false">"c1874"</definedName>
    <definedName function="false" hidden="true" name="IQ_EST_DPS_SURPRISE_PERCENT_CIQ" vbProcedure="false">"c3726"</definedName>
    <definedName function="false" hidden="true" name="IQ_EST_DPS_SURPRISE_PERCENT_REUT" vbProcedure="false">"c3895"</definedName>
    <definedName function="false" hidden="true" name="IQ_EST_DPS_SURPRISE_PERCENT_THOM" vbProcedure="false">"c5191"</definedName>
    <definedName function="false" hidden="true" name="IQ_EST_EBITDA_DIFF" vbProcedure="false">"c1867"</definedName>
    <definedName function="false" hidden="true" name="IQ_EST_EBITDA_DIFF_CIQ" vbProcedure="false">"c3719"</definedName>
    <definedName function="false" hidden="true" name="IQ_EST_EBITDA_DIFF_REUT" vbProcedure="false">"c3888"</definedName>
    <definedName function="false" hidden="true" name="IQ_EST_EBITDA_DIFF_THOM" vbProcedure="false">"c5184"</definedName>
    <definedName function="false" hidden="true" name="IQ_EST_EBITDA_GROWTH_1YR" vbProcedure="false">"c1766"</definedName>
    <definedName function="false" hidden="true" name="IQ_EST_EBITDA_GROWTH_1YR_CIQ" vbProcedure="false">"c3695"</definedName>
    <definedName function="false" hidden="true" name="IQ_EST_EBITDA_GROWTH_1YR_REUT" vbProcedure="false">"c3864"</definedName>
    <definedName function="false" hidden="true" name="IQ_EST_EBITDA_GROWTH_1YR_THOM" vbProcedure="false">"c5161"</definedName>
    <definedName function="false" hidden="true" name="IQ_EST_EBITDA_GROWTH_2YR" vbProcedure="false">"c1767"</definedName>
    <definedName function="false" hidden="true" name="IQ_EST_EBITDA_GROWTH_2YR_CIQ" vbProcedure="false">"c3696"</definedName>
    <definedName function="false" hidden="true" name="IQ_EST_EBITDA_GROWTH_2YR_REUT" vbProcedure="false">"c3865"</definedName>
    <definedName function="false" hidden="true" name="IQ_EST_EBITDA_GROWTH_2YR_THOM" vbProcedure="false">"c5162"</definedName>
    <definedName function="false" hidden="true" name="IQ_EST_EBITDA_GROWTH_Q_1YR" vbProcedure="false">"c1768"</definedName>
    <definedName function="false" hidden="true" name="IQ_EST_EBITDA_GROWTH_Q_1YR_CIQ" vbProcedure="false">"c3697"</definedName>
    <definedName function="false" hidden="true" name="IQ_EST_EBITDA_GROWTH_Q_1YR_REUT" vbProcedure="false">"c3866"</definedName>
    <definedName function="false" hidden="true" name="IQ_EST_EBITDA_GROWTH_Q_1YR_THOM" vbProcedure="false">"c5163"</definedName>
    <definedName function="false" hidden="true" name="IQ_EST_EBITDA_SBC_DIFF" vbProcedure="false">"c4335"</definedName>
    <definedName function="false" hidden="true" name="IQ_EST_EBITDA_SBC_DIFF_CIQ" vbProcedure="false">"c4860"</definedName>
    <definedName function="false" hidden="true" name="IQ_EST_EBITDA_SBC_DIFF_CIQ_COL" vbProcedure="false">"c11507"</definedName>
    <definedName function="false" hidden="true" name="IQ_EST_EBITDA_SBC_SURPRISE_PERCENT" vbProcedure="false">"c4344"</definedName>
    <definedName function="false" hidden="true" name="IQ_EST_EBITDA_SBC_SURPRISE_PERCENT_CIQ" vbProcedure="false">"c4869"</definedName>
    <definedName function="false" hidden="true" name="IQ_EST_EBITDA_SBC_SURPRISE_PERCENT_CIQ_COL" vbProcedure="false">"c11516"</definedName>
    <definedName function="false" hidden="true" name="IQ_EST_EBITDA_SEQ_GROWTH_Q" vbProcedure="false">"c1769"</definedName>
    <definedName function="false" hidden="true" name="IQ_EST_EBITDA_SEQ_GROWTH_Q_CIQ" vbProcedure="false">"c3698"</definedName>
    <definedName function="false" hidden="true" name="IQ_EST_EBITDA_SEQ_GROWTH_Q_REUT" vbProcedure="false">"c3867"</definedName>
    <definedName function="false" hidden="true" name="IQ_EST_EBITDA_SEQ_GROWTH_Q_THOM" vbProcedure="false">"c5164"</definedName>
    <definedName function="false" hidden="true" name="IQ_EST_EBITDA_SURPRISE_PERCENT" vbProcedure="false">"c1868"</definedName>
    <definedName function="false" hidden="true" name="IQ_EST_EBITDA_SURPRISE_PERCENT_CIQ" vbProcedure="false">"c3720"</definedName>
    <definedName function="false" hidden="true" name="IQ_EST_EBITDA_SURPRISE_PERCENT_REUT" vbProcedure="false">"c3889"</definedName>
    <definedName function="false" hidden="true" name="IQ_EST_EBITDA_SURPRISE_PERCENT_THOM" vbProcedure="false">"c5185"</definedName>
    <definedName function="false" hidden="true" name="IQ_EST_EBIT_DIFF" vbProcedure="false">"c1875"</definedName>
    <definedName function="false" hidden="true" name="IQ_EST_EBIT_DIFF_CIQ" vbProcedure="false">"c4747"</definedName>
    <definedName function="false" hidden="true" name="IQ_EST_EBIT_DIFF_REUT" vbProcedure="false">"c5413"</definedName>
    <definedName function="false" hidden="true" name="IQ_EST_EBIT_DIFF_THOM" vbProcedure="false">"c5192"</definedName>
    <definedName function="false" hidden="true" name="IQ_EST_EBIT_GW_DIFF" vbProcedure="false">"c4304"</definedName>
    <definedName function="false" hidden="true" name="IQ_EST_EBIT_GW_DIFF_CIQ" vbProcedure="false">"c4829"</definedName>
    <definedName function="false" hidden="true" name="IQ_EST_EBIT_GW_DIFF_CIQ_COL" vbProcedure="false">"c11476"</definedName>
    <definedName function="false" hidden="true" name="IQ_EST_EBIT_GW_SURPRISE_PERCENT" vbProcedure="false">"c4313"</definedName>
    <definedName function="false" hidden="true" name="IQ_EST_EBIT_GW_SURPRISE_PERCENT_CIQ" vbProcedure="false">"c4838"</definedName>
    <definedName function="false" hidden="true" name="IQ_EST_EBIT_GW_SURPRISE_PERCENT_CIQ_COL" vbProcedure="false">"c11485"</definedName>
    <definedName function="false" hidden="true" name="IQ_EST_EBIT_SBC_DIFF" vbProcedure="false">"c4314"</definedName>
    <definedName function="false" hidden="true" name="IQ_EST_EBIT_SBC_DIFF_CIQ" vbProcedure="false">"c4839"</definedName>
    <definedName function="false" hidden="true" name="IQ_EST_EBIT_SBC_DIFF_CIQ_COL" vbProcedure="false">"c11486"</definedName>
    <definedName function="false" hidden="true" name="IQ_EST_EBIT_SBC_GW_DIFF" vbProcedure="false">"c4318"</definedName>
    <definedName function="false" hidden="true" name="IQ_EST_EBIT_SBC_GW_DIFF_CIQ" vbProcedure="false">"c4843"</definedName>
    <definedName function="false" hidden="true" name="IQ_EST_EBIT_SBC_GW_DIFF_CIQ_COL" vbProcedure="false">"c11490"</definedName>
    <definedName function="false" hidden="true" name="IQ_EST_EBIT_SBC_GW_SURPRISE_PERCENT" vbProcedure="false">"c4327"</definedName>
    <definedName function="false" hidden="true" name="IQ_EST_EBIT_SBC_GW_SURPRISE_PERCENT_CIQ" vbProcedure="false">"c4852"</definedName>
    <definedName function="false" hidden="true" name="IQ_EST_EBIT_SBC_GW_SURPRISE_PERCENT_CIQ_COL" vbProcedure="false">"c11499"</definedName>
    <definedName function="false" hidden="true" name="IQ_EST_EBIT_SBC_SURPRISE_PERCENT" vbProcedure="false">"c4333"</definedName>
    <definedName function="false" hidden="true" name="IQ_EST_EBIT_SBC_SURPRISE_PERCENT_CIQ" vbProcedure="false">"c4858"</definedName>
    <definedName function="false" hidden="true" name="IQ_EST_EBIT_SBC_SURPRISE_PERCENT_CIQ_COL" vbProcedure="false">"c11505"</definedName>
    <definedName function="false" hidden="true" name="IQ_EST_EBIT_SURPRISE_PERCENT" vbProcedure="false">"c1876"</definedName>
    <definedName function="false" hidden="true" name="IQ_EST_EBIT_SURPRISE_PERCENT_CIQ" vbProcedure="false">"c4748"</definedName>
    <definedName function="false" hidden="true" name="IQ_EST_EBIT_SURPRISE_PERCENT_REUT" vbProcedure="false">"c5414"</definedName>
    <definedName function="false" hidden="true" name="IQ_EST_EBIT_SURPRISE_PERCENT_THOM" vbProcedure="false">"c5193"</definedName>
    <definedName function="false" hidden="true" name="IQ_EST_EBT_SBC_DIFF" vbProcedure="false">"c4348"</definedName>
    <definedName function="false" hidden="true" name="IQ_EST_EBT_SBC_DIFF_CIQ" vbProcedure="false">"c4873"</definedName>
    <definedName function="false" hidden="true" name="IQ_EST_EBT_SBC_DIFF_CIQ_COL" vbProcedure="false">"c11520"</definedName>
    <definedName function="false" hidden="true" name="IQ_EST_EBT_SBC_GW_DIFF" vbProcedure="false">"c4352"</definedName>
    <definedName function="false" hidden="true" name="IQ_EST_EBT_SBC_GW_DIFF_CIQ" vbProcedure="false">"c4877"</definedName>
    <definedName function="false" hidden="true" name="IQ_EST_EBT_SBC_GW_DIFF_CIQ_COL" vbProcedure="false">"c11524"</definedName>
    <definedName function="false" hidden="true" name="IQ_EST_EBT_SBC_GW_SURPRISE_PERCENT" vbProcedure="false">"c4361"</definedName>
    <definedName function="false" hidden="true" name="IQ_EST_EBT_SBC_GW_SURPRISE_PERCENT_CIQ" vbProcedure="false">"c4886"</definedName>
    <definedName function="false" hidden="true" name="IQ_EST_EBT_SBC_GW_SURPRISE_PERCENT_CIQ_COL" vbProcedure="false">"c11533"</definedName>
    <definedName function="false" hidden="true" name="IQ_EST_EBT_SBC_SURPRISE_PERCENT" vbProcedure="false">"c4367"</definedName>
    <definedName function="false" hidden="true" name="IQ_EST_EBT_SBC_SURPRISE_PERCENT_CIQ" vbProcedure="false">"c4892"</definedName>
    <definedName function="false" hidden="true" name="IQ_EST_EBT_SBC_SURPRISE_PERCENT_CIQ_COL" vbProcedure="false">"c11539"</definedName>
    <definedName function="false" hidden="true" name="IQ_EST_EPS_DIFF" vbProcedure="false">"c1864"</definedName>
    <definedName function="false" hidden="true" name="IQ_EST_EPS_DIFF_CIQ" vbProcedure="false">"c4999"</definedName>
    <definedName function="false" hidden="true" name="IQ_EST_EPS_DIFF_REUT" vbProcedure="false">"c5458"</definedName>
    <definedName function="false" hidden="true" name="IQ_EST_EPS_DIFF_THOM" vbProcedure="false">"c5295"</definedName>
    <definedName function="false" hidden="true" name="IQ_EST_EPS_GROWTH_1YR" vbProcedure="false">"c1636"</definedName>
    <definedName function="false" hidden="true" name="IQ_EST_EPS_GROWTH_1YR_CIQ" vbProcedure="false">"c3628"</definedName>
    <definedName function="false" hidden="true" name="IQ_EST_EPS_GROWTH_1YR_REUT" vbProcedure="false">"c3646"</definedName>
    <definedName function="false" hidden="true" name="IQ_EST_EPS_GROWTH_1YR_THOM" vbProcedure="false">"c3664"</definedName>
    <definedName function="false" hidden="true" name="IQ_EST_EPS_GROWTH_2YR" vbProcedure="false">"c1637"</definedName>
    <definedName function="false" hidden="true" name="IQ_EST_EPS_GROWTH_2YR_CIQ" vbProcedure="false">"c3689"</definedName>
    <definedName function="false" hidden="true" name="IQ_EST_EPS_GROWTH_2YR_REUT" vbProcedure="false">"c3858"</definedName>
    <definedName function="false" hidden="true" name="IQ_EST_EPS_GROWTH_2YR_THOM" vbProcedure="false">"c5154"</definedName>
    <definedName function="false" hidden="true" name="IQ_EST_EPS_GROWTH_5YR" vbProcedure="false">"c1655"</definedName>
    <definedName function="false" hidden="true" name="IQ_EST_EPS_GROWTH_5YR_BOTTOM_UP" vbProcedure="false">"c5487"</definedName>
    <definedName function="false" hidden="true" name="IQ_EST_EPS_GROWTH_5YR_BOTTOM_UP_CIQ" vbProcedure="false">"c12024"</definedName>
    <definedName function="false" hidden="true" name="IQ_EST_EPS_GROWTH_5YR_BOTTOM_UP_REUT" vbProcedure="false">"c5495"</definedName>
    <definedName function="false" hidden="true" name="IQ_EST_EPS_GROWTH_5YR_CIQ" vbProcedure="false">"c3615"</definedName>
    <definedName function="false" hidden="true" name="IQ_EST_EPS_GROWTH_5YR_HIGH" vbProcedure="false">"c1657"</definedName>
    <definedName function="false" hidden="true" name="IQ_EST_EPS_GROWTH_5YR_HIGH_CIQ" vbProcedure="false">"c4663"</definedName>
    <definedName function="false" hidden="true" name="IQ_EST_EPS_GROWTH_5YR_HIGH_REUT" vbProcedure="false">"c5322"</definedName>
    <definedName function="false" hidden="true" name="IQ_EST_EPS_GROWTH_5YR_HIGH_THOM" vbProcedure="false">"c5101"</definedName>
    <definedName function="false" hidden="true" name="IQ_EST_EPS_GROWTH_5YR_LOW" vbProcedure="false">"c1658"</definedName>
    <definedName function="false" hidden="true" name="IQ_EST_EPS_GROWTH_5YR_LOW_CIQ" vbProcedure="false">"c4664"</definedName>
    <definedName function="false" hidden="true" name="IQ_EST_EPS_GROWTH_5YR_LOW_REUT" vbProcedure="false">"c5323"</definedName>
    <definedName function="false" hidden="true" name="IQ_EST_EPS_GROWTH_5YR_LOW_THOM" vbProcedure="false">"c5102"</definedName>
    <definedName function="false" hidden="true" name="IQ_EST_EPS_GROWTH_5YR_MEDIAN" vbProcedure="false">"c1656"</definedName>
    <definedName function="false" hidden="true" name="IQ_EST_EPS_GROWTH_5YR_MEDIAN_CIQ" vbProcedure="false">"c5480"</definedName>
    <definedName function="false" hidden="true" name="IQ_EST_EPS_GROWTH_5YR_MEDIAN_REUT" vbProcedure="false">"c5321"</definedName>
    <definedName function="false" hidden="true" name="IQ_EST_EPS_GROWTH_5YR_MEDIAN_THOM" vbProcedure="false">"c5100"</definedName>
    <definedName function="false" hidden="true" name="IQ_EST_EPS_GROWTH_5YR_NUM" vbProcedure="false">"c1659"</definedName>
    <definedName function="false" hidden="true" name="IQ_EST_EPS_GROWTH_5YR_NUM_CIQ" vbProcedure="false">"c4665"</definedName>
    <definedName function="false" hidden="true" name="IQ_EST_EPS_GROWTH_5YR_NUM_REUT" vbProcedure="false">"c5324"</definedName>
    <definedName function="false" hidden="true" name="IQ_EST_EPS_GROWTH_5YR_NUM_THOM" vbProcedure="false">"c5103"</definedName>
    <definedName function="false" hidden="true" name="IQ_EST_EPS_GROWTH_5YR_REUT" vbProcedure="false">"c3633"</definedName>
    <definedName function="false" hidden="true" name="IQ_EST_EPS_GROWTH_5YR_STDDEV" vbProcedure="false">"c1660"</definedName>
    <definedName function="false" hidden="true" name="IQ_EST_EPS_GROWTH_5YR_STDDEV_CIQ" vbProcedure="false">"c4666"</definedName>
    <definedName function="false" hidden="true" name="IQ_EST_EPS_GROWTH_5YR_STDDEV_REUT" vbProcedure="false">"c5325"</definedName>
    <definedName function="false" hidden="true" name="IQ_EST_EPS_GROWTH_5YR_STDDEV_THOM" vbProcedure="false">"c5104"</definedName>
    <definedName function="false" hidden="true" name="IQ_EST_EPS_GROWTH_5YR_THOM" vbProcedure="false">"c3651"</definedName>
    <definedName function="false" hidden="true" name="IQ_EST_EPS_GROWTH_Q_1YR" vbProcedure="false">"c1641"</definedName>
    <definedName function="false" hidden="true" name="IQ_EST_EPS_GROWTH_Q_1YR_CIQ" vbProcedure="false">"c4744"</definedName>
    <definedName function="false" hidden="true" name="IQ_EST_EPS_GROWTH_Q_1YR_REUT" vbProcedure="false">"c5410"</definedName>
    <definedName function="false" hidden="true" name="IQ_EST_EPS_GROWTH_Q_1YR_THOM" vbProcedure="false">"c5155"</definedName>
    <definedName function="false" hidden="true" name="IQ_EST_EPS_GW_DIFF" vbProcedure="false">"c1891"</definedName>
    <definedName function="false" hidden="true" name="IQ_EST_EPS_GW_DIFF_CIQ" vbProcedure="false">"c4761"</definedName>
    <definedName function="false" hidden="true" name="IQ_EST_EPS_GW_DIFF_REUT" vbProcedure="false">"c5429"</definedName>
    <definedName function="false" hidden="true" name="IQ_EST_EPS_GW_DIFF_THOM" vbProcedure="false">"c5200"</definedName>
    <definedName function="false" hidden="true" name="IQ_EST_EPS_GW_SURPRISE_PERCENT" vbProcedure="false">"c1892"</definedName>
    <definedName function="false" hidden="true" name="IQ_EST_EPS_GW_SURPRISE_PERCENT_CIQ" vbProcedure="false">"c4762"</definedName>
    <definedName function="false" hidden="true" name="IQ_EST_EPS_GW_SURPRISE_PERCENT_REUT" vbProcedure="false">"c5430"</definedName>
    <definedName function="false" hidden="true" name="IQ_EST_EPS_GW_SURPRISE_PERCENT_THOM" vbProcedure="false">"c5201"</definedName>
    <definedName function="false" hidden="true" name="IQ_EST_EPS_NORM_DIFF" vbProcedure="false">"c2247"</definedName>
    <definedName function="false" hidden="true" name="IQ_EST_EPS_NORM_DIFF_CIQ" vbProcedure="false">"c4745"</definedName>
    <definedName function="false" hidden="true" name="IQ_EST_EPS_NORM_DIFF_REUT" vbProcedure="false">"c5411"</definedName>
    <definedName function="false" hidden="true" name="IQ_EST_EPS_NORM_SURPRISE_PERCENT" vbProcedure="false">"c2248"</definedName>
    <definedName function="false" hidden="true" name="IQ_EST_EPS_NORM_SURPRISE_PERCENT_CIQ" vbProcedure="false">"c4746"</definedName>
    <definedName function="false" hidden="true" name="IQ_EST_EPS_NORM_SURPRISE_PERCENT_REUT" vbProcedure="false">"c5412"</definedName>
    <definedName function="false" hidden="true" name="IQ_EST_EPS_REPORT_DIFF" vbProcedure="false">"c1893"</definedName>
    <definedName function="false" hidden="true" name="IQ_EST_EPS_REPORT_DIFF_CIQ" vbProcedure="false">"c4763"</definedName>
    <definedName function="false" hidden="true" name="IQ_EST_EPS_REPORT_DIFF_REUT" vbProcedure="false">"c5431"</definedName>
    <definedName function="false" hidden="true" name="IQ_EST_EPS_REPORT_DIFF_THOM" vbProcedure="false">"c5202"</definedName>
    <definedName function="false" hidden="true" name="IQ_EST_EPS_REPORT_SURPRISE_PERCENT" vbProcedure="false">"c1894"</definedName>
    <definedName function="false" hidden="true" name="IQ_EST_EPS_REPORT_SURPRISE_PERCENT_CIQ" vbProcedure="false">"c4764"</definedName>
    <definedName function="false" hidden="true" name="IQ_EST_EPS_REPORT_SURPRISE_PERCENT_REUT" vbProcedure="false">"c5432"</definedName>
    <definedName function="false" hidden="true" name="IQ_EST_EPS_REPORT_SURPRISE_PERCENT_THOM" vbProcedure="false">"c5203"</definedName>
    <definedName function="false" hidden="true" name="IQ_EST_EPS_SBC_DIFF" vbProcedure="false">"c4374"</definedName>
    <definedName function="false" hidden="true" name="IQ_EST_EPS_SBC_DIFF_CIQ" vbProcedure="false">"c4899"</definedName>
    <definedName function="false" hidden="true" name="IQ_EST_EPS_SBC_DIFF_CIQ_COL" vbProcedure="false">"c11546"</definedName>
    <definedName function="false" hidden="true" name="IQ_EST_EPS_SBC_GW_DIFF" vbProcedure="false">"c4378"</definedName>
    <definedName function="false" hidden="true" name="IQ_EST_EPS_SBC_GW_DIFF_CIQ" vbProcedure="false">"c4903"</definedName>
    <definedName function="false" hidden="true" name="IQ_EST_EPS_SBC_GW_DIFF_CIQ_COL" vbProcedure="false">"c11550"</definedName>
    <definedName function="false" hidden="true" name="IQ_EST_EPS_SBC_GW_SURPRISE_PERCENT" vbProcedure="false">"c4387"</definedName>
    <definedName function="false" hidden="true" name="IQ_EST_EPS_SBC_GW_SURPRISE_PERCENT_CIQ" vbProcedure="false">"c4912"</definedName>
    <definedName function="false" hidden="true" name="IQ_EST_EPS_SBC_GW_SURPRISE_PERCENT_CIQ_COL" vbProcedure="false">"c11559"</definedName>
    <definedName function="false" hidden="true" name="IQ_EST_EPS_SBC_SURPRISE_PERCENT" vbProcedure="false">"c4393"</definedName>
    <definedName function="false" hidden="true" name="IQ_EST_EPS_SBC_SURPRISE_PERCENT_CIQ" vbProcedure="false">"c4918"</definedName>
    <definedName function="false" hidden="true" name="IQ_EST_EPS_SBC_SURPRISE_PERCENT_CIQ_COL" vbProcedure="false">"c11565"</definedName>
    <definedName function="false" hidden="true" name="IQ_EST_EPS_SEQ_GROWTH_Q" vbProcedure="false">"c1764"</definedName>
    <definedName function="false" hidden="true" name="IQ_EST_EPS_SEQ_GROWTH_Q_CIQ" vbProcedure="false">"c3690"</definedName>
    <definedName function="false" hidden="true" name="IQ_EST_EPS_SEQ_GROWTH_Q_REUT" vbProcedure="false">"c3859"</definedName>
    <definedName function="false" hidden="true" name="IQ_EST_EPS_SEQ_GROWTH_Q_THOM" vbProcedure="false">"c5156"</definedName>
    <definedName function="false" hidden="true" name="IQ_EST_EPS_SURPRISE" vbProcedure="false">"c1635"</definedName>
    <definedName function="false" hidden="true" name="IQ_EST_EPS_SURPRISE_PERCENT" vbProcedure="false">"c1635"</definedName>
    <definedName function="false" hidden="true" name="IQ_EST_EPS_SURPRISE_PERCENT_CIQ" vbProcedure="false">"c5000"</definedName>
    <definedName function="false" hidden="true" name="IQ_EST_EPS_SURPRISE_PERCENT_REUT" vbProcedure="false">"c5459"</definedName>
    <definedName function="false" hidden="true" name="IQ_EST_EPS_SURPRISE_PERCENT_THOM" vbProcedure="false">"c5296"</definedName>
    <definedName function="false" hidden="true" name="IQ_EST_FAIR_VALUE_MORT_SERVICING_ASSETS_FFIEC" vbProcedure="false">"c12956"</definedName>
    <definedName function="false" hidden="true" name="IQ_EST_FFO_ADJ_DIFF" vbProcedure="false">"c4433"</definedName>
    <definedName function="false" hidden="true" name="IQ_EST_FFO_ADJ_DIFF_CIQ" vbProcedure="false">"c4958"</definedName>
    <definedName function="false" hidden="true" name="IQ_EST_FFO_ADJ_DIFF_CIQ_COL" vbProcedure="false">"c11605"</definedName>
    <definedName function="false" hidden="true" name="IQ_EST_FFO_ADJ_GROWTH_1YR" vbProcedure="false">"c4421"</definedName>
    <definedName function="false" hidden="true" name="IQ_EST_FFO_ADJ_GROWTH_1YR_CIQ" vbProcedure="false">"c4946"</definedName>
    <definedName function="false" hidden="true" name="IQ_EST_FFO_ADJ_GROWTH_1YR_CIQ_COL" vbProcedure="false">"c11593"</definedName>
    <definedName function="false" hidden="true" name="IQ_EST_FFO_ADJ_GROWTH_2YR" vbProcedure="false">"c4422"</definedName>
    <definedName function="false" hidden="true" name="IQ_EST_FFO_ADJ_GROWTH_2YR_CIQ" vbProcedure="false">"c4947"</definedName>
    <definedName function="false" hidden="true" name="IQ_EST_FFO_ADJ_GROWTH_2YR_CIQ_COL" vbProcedure="false">"c11594"</definedName>
    <definedName function="false" hidden="true" name="IQ_EST_FFO_ADJ_GROWTH_Q_1YR" vbProcedure="false">"c4423"</definedName>
    <definedName function="false" hidden="true" name="IQ_EST_FFO_ADJ_GROWTH_Q_1YR_CIQ" vbProcedure="false">"c4948"</definedName>
    <definedName function="false" hidden="true" name="IQ_EST_FFO_ADJ_GROWTH_Q_1YR_CIQ_COL" vbProcedure="false">"c11595"</definedName>
    <definedName function="false" hidden="true" name="IQ_EST_FFO_ADJ_SEQ_GROWTH_Q" vbProcedure="false">"c4424"</definedName>
    <definedName function="false" hidden="true" name="IQ_EST_FFO_ADJ_SEQ_GROWTH_Q_CIQ" vbProcedure="false">"c4949"</definedName>
    <definedName function="false" hidden="true" name="IQ_EST_FFO_ADJ_SEQ_GROWTH_Q_CIQ_COL" vbProcedure="false">"c11596"</definedName>
    <definedName function="false" hidden="true" name="IQ_EST_FFO_ADJ_SURPRISE_PERCENT" vbProcedure="false">"c4442"</definedName>
    <definedName function="false" hidden="true" name="IQ_EST_FFO_ADJ_SURPRISE_PERCENT_CIQ" vbProcedure="false">"c4967"</definedName>
    <definedName function="false" hidden="true" name="IQ_EST_FFO_ADJ_SURPRISE_PERCENT_CIQ_COL" vbProcedure="false">"c11614"</definedName>
    <definedName function="false" hidden="true" name="IQ_EST_FFO_DIFF" vbProcedure="false">"c1869"</definedName>
    <definedName function="false" hidden="true" name="IQ_EST_FFO_DIFF_CIQ" vbProcedure="false">"c4969"</definedName>
    <definedName function="false" hidden="true" name="IQ_EST_FFO_DIFF_CIQ_COL" vbProcedure="false">"c11616"</definedName>
    <definedName function="false" hidden="true" name="IQ_EST_FFO_DIFF_REUT" vbProcedure="false">"c3890"</definedName>
    <definedName function="false" hidden="true" name="IQ_EST_FFO_DIFF_THOM" vbProcedure="false">"c5186"</definedName>
    <definedName function="false" hidden="true" name="IQ_EST_FFO_GROWTH_1YR" vbProcedure="false">"c1770"</definedName>
    <definedName function="false" hidden="true" name="IQ_EST_FFO_GROWTH_1YR_CIQ" vbProcedure="false">"c4950"</definedName>
    <definedName function="false" hidden="true" name="IQ_EST_FFO_GROWTH_1YR_CIQ_COL" vbProcedure="false">"c11597"</definedName>
    <definedName function="false" hidden="true" name="IQ_EST_FFO_GROWTH_1YR_REUT" vbProcedure="false">"c3874"</definedName>
    <definedName function="false" hidden="true" name="IQ_EST_FFO_GROWTH_1YR_THOM" vbProcedure="false">"c5170"</definedName>
    <definedName function="false" hidden="true" name="IQ_EST_FFO_GROWTH_2YR" vbProcedure="false">"c1771"</definedName>
    <definedName function="false" hidden="true" name="IQ_EST_FFO_GROWTH_2YR_CIQ" vbProcedure="false">"c4951"</definedName>
    <definedName function="false" hidden="true" name="IQ_EST_FFO_GROWTH_2YR_CIQ_COL" vbProcedure="false">"c11598"</definedName>
    <definedName function="false" hidden="true" name="IQ_EST_FFO_GROWTH_2YR_REUT" vbProcedure="false">"c3875"</definedName>
    <definedName function="false" hidden="true" name="IQ_EST_FFO_GROWTH_2YR_THOM" vbProcedure="false">"c5171"</definedName>
    <definedName function="false" hidden="true" name="IQ_EST_FFO_GROWTH_Q_1YR" vbProcedure="false">"c1772"</definedName>
    <definedName function="false" hidden="true" name="IQ_EST_FFO_GROWTH_Q_1YR_CIQ" vbProcedure="false">"c4952"</definedName>
    <definedName function="false" hidden="true" name="IQ_EST_FFO_GROWTH_Q_1YR_CIQ_COL" vbProcedure="false">"c11599"</definedName>
    <definedName function="false" hidden="true" name="IQ_EST_FFO_GROWTH_Q_1YR_REUT" vbProcedure="false">"c3876"</definedName>
    <definedName function="false" hidden="true" name="IQ_EST_FFO_GROWTH_Q_1YR_THOM" vbProcedure="false">"c5172"</definedName>
    <definedName function="false" hidden="true" name="IQ_EST_FFO_SEQ_GROWTH_Q" vbProcedure="false">"c1773"</definedName>
    <definedName function="false" hidden="true" name="IQ_EST_FFO_SEQ_GROWTH_Q_CIQ" vbProcedure="false">"c4953"</definedName>
    <definedName function="false" hidden="true" name="IQ_EST_FFO_SEQ_GROWTH_Q_CIQ_COL" vbProcedure="false">"c11600"</definedName>
    <definedName function="false" hidden="true" name="IQ_EST_FFO_SEQ_GROWTH_Q_REUT" vbProcedure="false">"c3877"</definedName>
    <definedName function="false" hidden="true" name="IQ_EST_FFO_SEQ_GROWTH_Q_THOM" vbProcedure="false">"c5173"</definedName>
    <definedName function="false" hidden="true" name="IQ_EST_FFO_SHARE_DIFF" vbProcedure="false">"c4444"</definedName>
    <definedName function="false" hidden="true" name="IQ_EST_FFO_SHARE_DIFF_CIQ" vbProcedure="false">"c3721"</definedName>
    <definedName function="false" hidden="true" name="IQ_EST_FFO_SHARE_GROWTH_1YR" vbProcedure="false">"c4425"</definedName>
    <definedName function="false" hidden="true" name="IQ_EST_FFO_SHARE_GROWTH_1YR_CIQ" vbProcedure="false">"c3705"</definedName>
    <definedName function="false" hidden="true" name="IQ_EST_FFO_SHARE_GROWTH_2YR" vbProcedure="false">"c4426"</definedName>
    <definedName function="false" hidden="true" name="IQ_EST_FFO_SHARE_GROWTH_2YR_CIQ" vbProcedure="false">"c3706"</definedName>
    <definedName function="false" hidden="true" name="IQ_EST_FFO_SHARE_GROWTH_Q_1YR" vbProcedure="false">"c4427"</definedName>
    <definedName function="false" hidden="true" name="IQ_EST_FFO_SHARE_GROWTH_Q_1YR_CIQ" vbProcedure="false">"c3707"</definedName>
    <definedName function="false" hidden="true" name="IQ_EST_FFO_SHARE_SEQ_GROWTH_Q" vbProcedure="false">"c4428"</definedName>
    <definedName function="false" hidden="true" name="IQ_EST_FFO_SHARE_SEQ_GROWTH_Q_CIQ" vbProcedure="false">"c3708"</definedName>
    <definedName function="false" hidden="true" name="IQ_EST_FFO_SHARE_SHARE_DIFF_REUT" vbProcedure="false">"c3890"</definedName>
    <definedName function="false" hidden="true" name="IQ_EST_FFO_SHARE_SHARE_DIFF_THOM" vbProcedure="false">"c5186"</definedName>
    <definedName function="false" hidden="true" name="IQ_EST_FFO_SHARE_SHARE_SURPRISE_PERCENT_REUT" vbProcedure="false">"c3891"</definedName>
    <definedName function="false" hidden="true" name="IQ_EST_FFO_SHARE_SHARE_SURPRISE_PERCENT_THOM" vbProcedure="false">"c5187"</definedName>
    <definedName function="false" hidden="true" name="IQ_EST_FFO_SHARE_SURPRISE_PERCENT" vbProcedure="false">"c4453"</definedName>
    <definedName function="false" hidden="true" name="IQ_EST_FFO_SHARE_SURPRISE_PERCENT_CIQ" vbProcedure="false">"c3722"</definedName>
    <definedName function="false" hidden="true" name="IQ_EST_FFO_SURPRISE_PERCENT" vbProcedure="false">"c1870"</definedName>
    <definedName function="false" hidden="true" name="IQ_EST_FFO_SURPRISE_PERCENT_CIQ" vbProcedure="false">"c4982"</definedName>
    <definedName function="false" hidden="true" name="IQ_EST_FFO_SURPRISE_PERCENT_CIQ_COL" vbProcedure="false">"c11629"</definedName>
    <definedName function="false" hidden="true" name="IQ_EST_FFO_SURPRISE_PERCENT_REUT" vbProcedure="false">"c3891"</definedName>
    <definedName function="false" hidden="true" name="IQ_EST_FFO_SURPRISE_PERCENT_THOM" vbProcedure="false">"c5187"</definedName>
    <definedName function="false" hidden="true" name="IQ_EST_FOOTNOTE" vbProcedure="false">"c4540"</definedName>
    <definedName function="false" hidden="true" name="IQ_EST_FOOTNOTE_CIQ" vbProcedure="false">"c12022"</definedName>
    <definedName function="false" hidden="true" name="IQ_EST_FOOTNOTE_REUT" vbProcedure="false">"c5478"</definedName>
    <definedName function="false" hidden="true" name="IQ_EST_FOOTNOTE_THOM" vbProcedure="false">"c5313"</definedName>
    <definedName function="false" hidden="true" name="IQ_EST_MAINT_CAPEX_DIFF" vbProcedure="false">"c4456"</definedName>
    <definedName function="false" hidden="true" name="IQ_EST_MAINT_CAPEX_DIFF_CIQ" vbProcedure="false">"c4985"</definedName>
    <definedName function="false" hidden="true" name="IQ_EST_MAINT_CAPEX_DIFF_CIQ_COL" vbProcedure="false">"c11632"</definedName>
    <definedName function="false" hidden="true" name="IQ_EST_MAINT_CAPEX_GROWTH_1YR" vbProcedure="false">"c4429"</definedName>
    <definedName function="false" hidden="true" name="IQ_EST_MAINT_CAPEX_GROWTH_1YR_CIQ" vbProcedure="false">"c4954"</definedName>
    <definedName function="false" hidden="true" name="IQ_EST_MAINT_CAPEX_GROWTH_1YR_CIQ_COL" vbProcedure="false">"c11601"</definedName>
    <definedName function="false" hidden="true" name="IQ_EST_MAINT_CAPEX_GROWTH_2YR" vbProcedure="false">"c4430"</definedName>
    <definedName function="false" hidden="true" name="IQ_EST_MAINT_CAPEX_GROWTH_2YR_CIQ" vbProcedure="false">"c4955"</definedName>
    <definedName function="false" hidden="true" name="IQ_EST_MAINT_CAPEX_GROWTH_2YR_CIQ_COL" vbProcedure="false">"c11602"</definedName>
    <definedName function="false" hidden="true" name="IQ_EST_MAINT_CAPEX_GROWTH_Q_1YR" vbProcedure="false">"c4431"</definedName>
    <definedName function="false" hidden="true" name="IQ_EST_MAINT_CAPEX_GROWTH_Q_1YR_CIQ" vbProcedure="false">"c4956"</definedName>
    <definedName function="false" hidden="true" name="IQ_EST_MAINT_CAPEX_GROWTH_Q_1YR_CIQ_COL" vbProcedure="false">"c11603"</definedName>
    <definedName function="false" hidden="true" name="IQ_EST_MAINT_CAPEX_SEQ_GROWTH_Q" vbProcedure="false">"c4432"</definedName>
    <definedName function="false" hidden="true" name="IQ_EST_MAINT_CAPEX_SEQ_GROWTH_Q_CIQ" vbProcedure="false">"c4957"</definedName>
    <definedName function="false" hidden="true" name="IQ_EST_MAINT_CAPEX_SEQ_GROWTH_Q_CIQ_COL" vbProcedure="false">"c11604"</definedName>
    <definedName function="false" hidden="true" name="IQ_EST_MAINT_CAPEX_SURPRISE_PERCENT" vbProcedure="false">"c4465"</definedName>
    <definedName function="false" hidden="true" name="IQ_EST_MAINT_CAPEX_SURPRISE_PERCENT_CIQ" vbProcedure="false">"c5003"</definedName>
    <definedName function="false" hidden="true" name="IQ_EST_MAINT_CAPEX_SURPRISE_PERCENT_CIQ_COL" vbProcedure="false">"c11650"</definedName>
    <definedName function="false" hidden="true" name="IQ_EST_NAV_DIFF" vbProcedure="false">"c1895"</definedName>
    <definedName function="false" hidden="true" name="IQ_EST_NAV_SHARE_SURPRISE_PERCENT" vbProcedure="false">"c1896"</definedName>
    <definedName function="false" hidden="true" name="IQ_EST_NAV_SURPRISE_PERCENT" vbProcedure="false">"c1896"</definedName>
    <definedName function="false" hidden="true" name="IQ_EST_NET_DEBT_DIFF" vbProcedure="false">"c4466"</definedName>
    <definedName function="false" hidden="true" name="IQ_EST_NET_DEBT_DIFF_CIQ" vbProcedure="false">"c5004"</definedName>
    <definedName function="false" hidden="true" name="IQ_EST_NET_DEBT_SURPRISE_PERCENT" vbProcedure="false">"c4468"</definedName>
    <definedName function="false" hidden="true" name="IQ_EST_NET_DEBT_SURPRISE_PERCENT_CIQ" vbProcedure="false">"c5006"</definedName>
    <definedName function="false" hidden="true" name="IQ_EST_NEXT_EARNINGS_DATE" vbProcedure="false">"c13591"</definedName>
    <definedName function="false" hidden="true" name="IQ_EST_NI_DIFF" vbProcedure="false">"c1885"</definedName>
    <definedName function="false" hidden="true" name="IQ_EST_NI_DIFF_CIQ" vbProcedure="false">"c4755"</definedName>
    <definedName function="false" hidden="true" name="IQ_EST_NI_DIFF_REUT" vbProcedure="false">"c5423"</definedName>
    <definedName function="false" hidden="true" name="IQ_EST_NI_DIFF_THOM" vbProcedure="false">"c5198"</definedName>
    <definedName function="false" hidden="true" name="IQ_EST_NI_GW_DIFF" vbProcedure="false">"c1887"</definedName>
    <definedName function="false" hidden="true" name="IQ_EST_NI_GW_DIFF_CIQ" vbProcedure="false">"c4757"</definedName>
    <definedName function="false" hidden="true" name="IQ_EST_NI_GW_DIFF_REUT" vbProcedure="false">"c5425"</definedName>
    <definedName function="false" hidden="true" name="IQ_EST_NI_GW_SURPRISE_PERCENT" vbProcedure="false">"c1888"</definedName>
    <definedName function="false" hidden="true" name="IQ_EST_NI_GW_SURPRISE_PERCENT_CIQ" vbProcedure="false">"c4758"</definedName>
    <definedName function="false" hidden="true" name="IQ_EST_NI_GW_SURPRISE_PERCENT_REUT" vbProcedure="false">"c5426"</definedName>
    <definedName function="false" hidden="true" name="IQ_EST_NI_REPORT_DIFF" vbProcedure="false">"c1889"</definedName>
    <definedName function="false" hidden="true" name="IQ_EST_NI_REPORT_DIFF_CIQ" vbProcedure="false">"c4759"</definedName>
    <definedName function="false" hidden="true" name="IQ_EST_NI_REPORT_DIFF_REUT" vbProcedure="false">"c5427"</definedName>
    <definedName function="false" hidden="true" name="IQ_EST_NI_REPORT_SURPRISE_PERCENT" vbProcedure="false">"c1890"</definedName>
    <definedName function="false" hidden="true" name="IQ_EST_NI_REPORT_SURPRISE_PERCENT_CIQ" vbProcedure="false">"c4760"</definedName>
    <definedName function="false" hidden="true" name="IQ_EST_NI_REPORT_SURPRISE_PERCENT_REUT" vbProcedure="false">"c5428"</definedName>
    <definedName function="false" hidden="true" name="IQ_EST_NI_SBC_DIFF" vbProcedure="false">"c4472"</definedName>
    <definedName function="false" hidden="true" name="IQ_EST_NI_SBC_DIFF_CIQ" vbProcedure="false">"c5010"</definedName>
    <definedName function="false" hidden="true" name="IQ_EST_NI_SBC_DIFF_CIQ_COL" vbProcedure="false">"c11657"</definedName>
    <definedName function="false" hidden="true" name="IQ_EST_NI_SBC_GW_DIFF" vbProcedure="false">"c4476"</definedName>
    <definedName function="false" hidden="true" name="IQ_EST_NI_SBC_GW_DIFF_CIQ" vbProcedure="false">"c5014"</definedName>
    <definedName function="false" hidden="true" name="IQ_EST_NI_SBC_GW_DIFF_CIQ_COL" vbProcedure="false">"c11661"</definedName>
    <definedName function="false" hidden="true" name="IQ_EST_NI_SBC_GW_SURPRISE_PERCENT" vbProcedure="false">"c4485"</definedName>
    <definedName function="false" hidden="true" name="IQ_EST_NI_SBC_GW_SURPRISE_PERCENT_CIQ" vbProcedure="false">"c5023"</definedName>
    <definedName function="false" hidden="true" name="IQ_EST_NI_SBC_GW_SURPRISE_PERCENT_CIQ_COL" vbProcedure="false">"c11670"</definedName>
    <definedName function="false" hidden="true" name="IQ_EST_NI_SBC_SURPRISE_PERCENT" vbProcedure="false">"c4491"</definedName>
    <definedName function="false" hidden="true" name="IQ_EST_NI_SBC_SURPRISE_PERCENT_CIQ" vbProcedure="false">"c5029"</definedName>
    <definedName function="false" hidden="true" name="IQ_EST_NI_SBC_SURPRISE_PERCENT_CIQ_COL" vbProcedure="false">"c11676"</definedName>
    <definedName function="false" hidden="true" name="IQ_EST_NI_SURPRISE_PERCENT" vbProcedure="false">"c1886"</definedName>
    <definedName function="false" hidden="true" name="IQ_EST_NI_SURPRISE_PERCENT_CIQ" vbProcedure="false">"c4756"</definedName>
    <definedName function="false" hidden="true" name="IQ_EST_NI_SURPRISE_PERCENT_REUT" vbProcedure="false">"c5424"</definedName>
    <definedName function="false" hidden="true" name="IQ_EST_NI_SURPRISE_PERCENT_THOM" vbProcedure="false">"c5199"</definedName>
    <definedName function="false" hidden="true" name="IQ_EST_NUM_BUY" vbProcedure="false">"c1759"</definedName>
    <definedName function="false" hidden="true" name="IQ_EST_NUM_BUY_CIQ" vbProcedure="false">"c3700"</definedName>
    <definedName function="false" hidden="true" name="IQ_EST_NUM_BUY_REUT" vbProcedure="false">"c3869"</definedName>
    <definedName function="false" hidden="true" name="IQ_EST_NUM_BUY_THOM" vbProcedure="false">"c5165"</definedName>
    <definedName function="false" hidden="true" name="IQ_EST_NUM_HIGHEST_REC" vbProcedure="false">"c5648"</definedName>
    <definedName function="false" hidden="true" name="IQ_EST_NUM_HIGHEST_REC_CIQ" vbProcedure="false">"c3700"</definedName>
    <definedName function="false" hidden="true" name="IQ_EST_NUM_HIGHEST_REC_REUT" vbProcedure="false">"c3869"</definedName>
    <definedName function="false" hidden="true" name="IQ_EST_NUM_HIGHEST_REC_THOM" vbProcedure="false">"c5165"</definedName>
    <definedName function="false" hidden="true" name="IQ_EST_NUM_HIGH_REC" vbProcedure="false">"c5649"</definedName>
    <definedName function="false" hidden="true" name="IQ_EST_NUM_HIGH_REC_CIQ" vbProcedure="false">"c3701"</definedName>
    <definedName function="false" hidden="true" name="IQ_EST_NUM_HIGH_REC_REUT" vbProcedure="false">"c3870"</definedName>
    <definedName function="false" hidden="true" name="IQ_EST_NUM_HIGH_REC_THOM" vbProcedure="false">"c5166"</definedName>
    <definedName function="false" hidden="true" name="IQ_EST_NUM_HOLD" vbProcedure="false">"c1761"</definedName>
    <definedName function="false" hidden="true" name="IQ_EST_NUM_HOLD_CIQ" vbProcedure="false">"c3702"</definedName>
    <definedName function="false" hidden="true" name="IQ_EST_NUM_HOLD_REUT" vbProcedure="false">"c3871"</definedName>
    <definedName function="false" hidden="true" name="IQ_EST_NUM_HOLD_THOM" vbProcedure="false">"c5167"</definedName>
    <definedName function="false" hidden="true" name="IQ_EST_NUM_LOWEST_REC" vbProcedure="false">"c5652"</definedName>
    <definedName function="false" hidden="true" name="IQ_EST_NUM_LOWEST_REC_CIQ" vbProcedure="false">"c3704"</definedName>
    <definedName function="false" hidden="true" name="IQ_EST_NUM_LOWEST_REC_REUT" vbProcedure="false">"c3873"</definedName>
    <definedName function="false" hidden="true" name="IQ_EST_NUM_LOWEST_REC_THOM" vbProcedure="false">"c5169"</definedName>
    <definedName function="false" hidden="true" name="IQ_EST_NUM_LOW_REC" vbProcedure="false">"c5651"</definedName>
    <definedName function="false" hidden="true" name="IQ_EST_NUM_LOW_REC_CIQ" vbProcedure="false">"c3703"</definedName>
    <definedName function="false" hidden="true" name="IQ_EST_NUM_LOW_REC_REUT" vbProcedure="false">"c3872"</definedName>
    <definedName function="false" hidden="true" name="IQ_EST_NUM_LOW_REC_THOM" vbProcedure="false">"c5168"</definedName>
    <definedName function="false" hidden="true" name="IQ_EST_NUM_NEUTRAL_REC" vbProcedure="false">"c5650"</definedName>
    <definedName function="false" hidden="true" name="IQ_EST_NUM_NEUTRAL_REC_CIQ" vbProcedure="false">"c3702"</definedName>
    <definedName function="false" hidden="true" name="IQ_EST_NUM_NEUTRAL_REC_REUT" vbProcedure="false">"c3871"</definedName>
    <definedName function="false" hidden="true" name="IQ_EST_NUM_NEUTRAL_REC_THOM" vbProcedure="false">"c5167"</definedName>
    <definedName function="false" hidden="true" name="IQ_EST_NUM_NO_OPINION" vbProcedure="false">"c1758"</definedName>
    <definedName function="false" hidden="true" name="IQ_EST_NUM_NO_OPINION_CIQ" vbProcedure="false">"c3699"</definedName>
    <definedName function="false" hidden="true" name="IQ_EST_NUM_NO_OPINION_REUT" vbProcedure="false">"c3868"</definedName>
    <definedName function="false" hidden="true" name="IQ_EST_NUM_OUTPERFORM" vbProcedure="false">"c1760"</definedName>
    <definedName function="false" hidden="true" name="IQ_EST_NUM_OUTPERFORM_CIQ" vbProcedure="false">"c3701"</definedName>
    <definedName function="false" hidden="true" name="IQ_EST_NUM_OUTPERFORM_REUT" vbProcedure="false">"c3870"</definedName>
    <definedName function="false" hidden="true" name="IQ_EST_NUM_OUTPERFORM_THOM" vbProcedure="false">"c5166"</definedName>
    <definedName function="false" hidden="true" name="IQ_EST_NUM_SELL" vbProcedure="false">"c1763"</definedName>
    <definedName function="false" hidden="true" name="IQ_EST_NUM_SELL_CIQ" vbProcedure="false">"c3704"</definedName>
    <definedName function="false" hidden="true" name="IQ_EST_NUM_SELL_REUT" vbProcedure="false">"c3873"</definedName>
    <definedName function="false" hidden="true" name="IQ_EST_NUM_SELL_THOM" vbProcedure="false">"c5169"</definedName>
    <definedName function="false" hidden="true" name="IQ_EST_NUM_UNDERPERFORM" vbProcedure="false">"c1762"</definedName>
    <definedName function="false" hidden="true" name="IQ_EST_NUM_UNDERPERFORM_CIQ" vbProcedure="false">"c3703"</definedName>
    <definedName function="false" hidden="true" name="IQ_EST_NUM_UNDERPERFORM_REUT" vbProcedure="false">"c3872"</definedName>
    <definedName function="false" hidden="true" name="IQ_EST_NUM_UNDERPERFORM_THOM" vbProcedure="false">"c5168"</definedName>
    <definedName function="false" hidden="true" name="IQ_EST_OPER_INC_DIFF" vbProcedure="false">"c1877"</definedName>
    <definedName function="false" hidden="true" name="IQ_EST_OPER_INC_DIFF_CIQ" vbProcedure="false">"c12017"</definedName>
    <definedName function="false" hidden="true" name="IQ_EST_OPER_INC_DIFF_REUT" vbProcedure="false">"c5415"</definedName>
    <definedName function="false" hidden="true" name="IQ_EST_OPER_INC_DIFF_THOM" vbProcedure="false">"c5194"</definedName>
    <definedName function="false" hidden="true" name="IQ_EST_OPER_INC_SURPRISE_PERCENT" vbProcedure="false">"c1878"</definedName>
    <definedName function="false" hidden="true" name="IQ_EST_OPER_INC_SURPRISE_PERCENT_CIQ" vbProcedure="false">"c12018"</definedName>
    <definedName function="false" hidden="true" name="IQ_EST_OPER_INC_SURPRISE_PERCENT_REUT" vbProcedure="false">"c5416"</definedName>
    <definedName function="false" hidden="true" name="IQ_EST_OPER_INC_SURPRISE_PERCENT_THOM" vbProcedure="false">"c5195"</definedName>
    <definedName function="false" hidden="true" name="IQ_EST_PERIOD_ID" vbProcedure="false">"c13923"</definedName>
    <definedName function="false" hidden="true" name="IQ_EST_PRE_TAX_DIFF" vbProcedure="false">"c1879"</definedName>
    <definedName function="false" hidden="true" name="IQ_EST_PRE_TAX_DIFF_CIQ" vbProcedure="false">"c4749"</definedName>
    <definedName function="false" hidden="true" name="IQ_EST_PRE_TAX_DIFF_REUT" vbProcedure="false">"c5417"</definedName>
    <definedName function="false" hidden="true" name="IQ_EST_PRE_TAX_DIFF_THOM" vbProcedure="false">"c5196"</definedName>
    <definedName function="false" hidden="true" name="IQ_EST_PRE_TAX_GW_DIFF" vbProcedure="false">"c1881"</definedName>
    <definedName function="false" hidden="true" name="IQ_EST_PRE_TAX_GW_DIFF_CIQ" vbProcedure="false">"c4751"</definedName>
    <definedName function="false" hidden="true" name="IQ_EST_PRE_TAX_GW_DIFF_REUT" vbProcedure="false">"c5419"</definedName>
    <definedName function="false" hidden="true" name="IQ_EST_PRE_TAX_GW_SURPRISE_PERCENT" vbProcedure="false">"c1882"</definedName>
    <definedName function="false" hidden="true" name="IQ_EST_PRE_TAX_GW_SURPRISE_PERCENT_CIQ" vbProcedure="false">"c4752"</definedName>
    <definedName function="false" hidden="true" name="IQ_EST_PRE_TAX_GW_SURPRISE_PERCENT_REUT" vbProcedure="false">"c5420"</definedName>
    <definedName function="false" hidden="true" name="IQ_EST_PRE_TAX_REPORT_DIFF" vbProcedure="false">"c1883"</definedName>
    <definedName function="false" hidden="true" name="IQ_EST_PRE_TAX_REPORT_DIFF_CIQ" vbProcedure="false">"c4753"</definedName>
    <definedName function="false" hidden="true" name="IQ_EST_PRE_TAX_REPORT_DIFF_REUT" vbProcedure="false">"c5421"</definedName>
    <definedName function="false" hidden="true" name="IQ_EST_PRE_TAX_REPORT_SURPRISE_PERCENT" vbProcedure="false">"c1884"</definedName>
    <definedName function="false" hidden="true" name="IQ_EST_PRE_TAX_REPORT_SURPRISE_PERCENT_CIQ" vbProcedure="false">"c4754"</definedName>
    <definedName function="false" hidden="true" name="IQ_EST_PRE_TAX_REPORT_SURPRISE_PERCENT_REUT" vbProcedure="false">"c5422"</definedName>
    <definedName function="false" hidden="true" name="IQ_EST_PRE_TAX_SURPRISE_PERCENT" vbProcedure="false">"c1880"</definedName>
    <definedName function="false" hidden="true" name="IQ_EST_PRE_TAX_SURPRISE_PERCENT_CIQ" vbProcedure="false">"c4750"</definedName>
    <definedName function="false" hidden="true" name="IQ_EST_PRE_TAX_SURPRISE_PERCENT_REUT" vbProcedure="false">"c5418"</definedName>
    <definedName function="false" hidden="true" name="IQ_EST_PRE_TAX_SURPRISE_PERCENT_THOM" vbProcedure="false">"c5197"</definedName>
    <definedName function="false" hidden="true" name="IQ_EST_RECURRING_PROFIT_SHARE_DIFF" vbProcedure="false">"c4505"</definedName>
    <definedName function="false" hidden="true" name="IQ_EST_RECURRING_PROFIT_SHARE_DIFF_CIQ" vbProcedure="false">"c5043"</definedName>
    <definedName function="false" hidden="true" name="IQ_EST_RECURRING_PROFIT_SHARE_DIFF_CIQ_COL" vbProcedure="false">"c11690"</definedName>
    <definedName function="false" hidden="true" name="IQ_EST_RECURRING_PROFIT_SHARE_SURPRISE_PERCENT" vbProcedure="false">"c4515"</definedName>
    <definedName function="false" hidden="true" name="IQ_EST_RECURRING_PROFIT_SHARE_SURPRISE_PERCENT_CIQ" vbProcedure="false">"c5053"</definedName>
    <definedName function="false" hidden="true" name="IQ_EST_RECURRING_PROFIT_SHARE_SURPRISE_PERCENT_CIQ_COL" vbProcedure="false">"c11700"</definedName>
    <definedName function="false" hidden="true" name="IQ_EST_REV_DIFF" vbProcedure="false">"c1865"</definedName>
    <definedName function="false" hidden="true" name="IQ_EST_REV_DIFF_CIQ" vbProcedure="false">"c3717"</definedName>
    <definedName function="false" hidden="true" name="IQ_EST_REV_DIFF_REUT" vbProcedure="false">"c3886"</definedName>
    <definedName function="false" hidden="true" name="IQ_EST_REV_DIFF_THOM" vbProcedure="false">"c5182"</definedName>
    <definedName function="false" hidden="true" name="IQ_EST_REV_GROWTH_1YR" vbProcedure="false">"c1638"</definedName>
    <definedName function="false" hidden="true" name="IQ_EST_REV_GROWTH_1YR_CIQ" vbProcedure="false">"c3691"</definedName>
    <definedName function="false" hidden="true" name="IQ_EST_REV_GROWTH_1YR_REUT" vbProcedure="false">"c3860"</definedName>
    <definedName function="false" hidden="true" name="IQ_EST_REV_GROWTH_1YR_THOM" vbProcedure="false">"c5157"</definedName>
    <definedName function="false" hidden="true" name="IQ_EST_REV_GROWTH_2YR" vbProcedure="false">"c1639"</definedName>
    <definedName function="false" hidden="true" name="IQ_EST_REV_GROWTH_2YR_CIQ" vbProcedure="false">"c3692"</definedName>
    <definedName function="false" hidden="true" name="IQ_EST_REV_GROWTH_2YR_REUT" vbProcedure="false">"c3861"</definedName>
    <definedName function="false" hidden="true" name="IQ_EST_REV_GROWTH_2YR_THOM" vbProcedure="false">"c5158"</definedName>
    <definedName function="false" hidden="true" name="IQ_EST_REV_GROWTH_Q_1YR" vbProcedure="false">"c1640"</definedName>
    <definedName function="false" hidden="true" name="IQ_EST_REV_GROWTH_Q_1YR_CIQ" vbProcedure="false">"c3693"</definedName>
    <definedName function="false" hidden="true" name="IQ_EST_REV_GROWTH_Q_1YR_REUT" vbProcedure="false">"c3862"</definedName>
    <definedName function="false" hidden="true" name="IQ_EST_REV_GROWTH_Q_1YR_THOM" vbProcedure="false">"c5159"</definedName>
    <definedName function="false" hidden="true" name="IQ_EST_REV_SEQ_GROWTH_Q" vbProcedure="false">"c1765"</definedName>
    <definedName function="false" hidden="true" name="IQ_EST_REV_SEQ_GROWTH_Q_CIQ" vbProcedure="false">"c3694"</definedName>
    <definedName function="false" hidden="true" name="IQ_EST_REV_SEQ_GROWTH_Q_REUT" vbProcedure="false">"c3863"</definedName>
    <definedName function="false" hidden="true" name="IQ_EST_REV_SEQ_GROWTH_Q_THOM" vbProcedure="false">"c5160"</definedName>
    <definedName function="false" hidden="true" name="IQ_EST_REV_SURPRISE_PERCENT" vbProcedure="false">"c1866"</definedName>
    <definedName function="false" hidden="true" name="IQ_EST_REV_SURPRISE_PERCENT_CIQ" vbProcedure="false">"c3718"</definedName>
    <definedName function="false" hidden="true" name="IQ_EST_REV_SURPRISE_PERCENT_REUT" vbProcedure="false">"c3887"</definedName>
    <definedName function="false" hidden="true" name="IQ_EST_REV_SURPRISE_PERCENT_THOM" vbProcedure="false">"c5183"</definedName>
    <definedName function="false" hidden="true" name="IQ_EST_VENDOR" vbProcedure="false">"c5564"</definedName>
    <definedName function="false" hidden="true" name="IQ_EVAL_DATE" vbProcedure="false">"c2180"</definedName>
    <definedName function="false" hidden="true" name="IQ_EVENT_ADDRESS" vbProcedure="false">"c19167"</definedName>
    <definedName function="false" hidden="true" name="IQ_EVENT_ADVISORS" vbProcedure="false">"c19147"</definedName>
    <definedName function="false" hidden="true" name="IQ_EVENT_AGENDA" vbProcedure="false">"c19168"</definedName>
    <definedName function="false" hidden="true" name="IQ_EVENT_CALL_DESCRIPTION" vbProcedure="false">"c19154"</definedName>
    <definedName function="false" hidden="true" name="IQ_EVENT_CONTACT" vbProcedure="false">"c19160"</definedName>
    <definedName function="false" hidden="true" name="IQ_EVENT_DATE" vbProcedure="false">"c13819"</definedName>
    <definedName function="false" hidden="true" name="IQ_EVENT_EMAIL" vbProcedure="false">"c19162"</definedName>
    <definedName function="false" hidden="true" name="IQ_EVENT_ID" vbProcedure="false">"c13818"</definedName>
    <definedName function="false" hidden="true" name="IQ_EVENT_LIVE_AUDIO_DETAILS_WEBCAST_URL" vbProcedure="false">"c19153"</definedName>
    <definedName function="false" hidden="true" name="IQ_EVENT_LIVE_OTHER_PASSCODE" vbProcedure="false">"c19152"</definedName>
    <definedName function="false" hidden="true" name="IQ_EVENT_LIVE_OTHER_PHONE_NUMBER" vbProcedure="false">"c19151"</definedName>
    <definedName function="false" hidden="true" name="IQ_EVENT_LIVE_PASSCODE" vbProcedure="false">"c19150"</definedName>
    <definedName function="false" hidden="true" name="IQ_EVENT_LIVE_PHONE_NUMBER" vbProcedure="false">"c19149"</definedName>
    <definedName function="false" hidden="true" name="IQ_EVENT_MARKETINDICATOR" vbProcedure="false">"c19166"</definedName>
    <definedName function="false" hidden="true" name="IQ_EVENT_OTHER_CONTACT" vbProcedure="false">"c19163"</definedName>
    <definedName function="false" hidden="true" name="IQ_EVENT_OTHER_CONTACT_EMAIL" vbProcedure="false">"c19165"</definedName>
    <definedName function="false" hidden="true" name="IQ_EVENT_OTHER_CONTACT_PHONE" vbProcedure="false">"c19164"</definedName>
    <definedName function="false" hidden="true" name="IQ_EVENT_PHONE" vbProcedure="false">"c19161"</definedName>
    <definedName function="false" hidden="true" name="IQ_EVENT_REPLAY_AUDIO_DETAILS_WEBCAST_URL" vbProcedure="false">"c19159"</definedName>
    <definedName function="false" hidden="true" name="IQ_EVENT_REPLAY_BEGINS" vbProcedure="false">"c19157"</definedName>
    <definedName function="false" hidden="true" name="IQ_EVENT_REPLAY_ENDS" vbProcedure="false">"c19158"</definedName>
    <definedName function="false" hidden="true" name="IQ_EVENT_REPLAY_PASSCODE" vbProcedure="false">"c19156"</definedName>
    <definedName function="false" hidden="true" name="IQ_EVENT_REPLAY_PHONE_NUMBER" vbProcedure="false">"c19155"</definedName>
    <definedName function="false" hidden="true" name="IQ_EVENT_SITUATION" vbProcedure="false">"c19148"</definedName>
    <definedName function="false" hidden="true" name="IQ_EVENT_SOURCE" vbProcedure="false">"c19146"</definedName>
    <definedName function="false" hidden="true" name="IQ_EVENT_TIME" vbProcedure="false">"c13820"</definedName>
    <definedName function="false" hidden="true" name="IQ_EVENT_TYPE" vbProcedure="false">"c13821"</definedName>
    <definedName function="false" hidden="true" name="IQ_EV_OVER_EMPLOYEE" vbProcedure="false">"c1428"</definedName>
    <definedName function="false" hidden="true" name="IQ_EV_OVER_LTM_EBIT" vbProcedure="false">"c1426"</definedName>
    <definedName function="false" hidden="true" name="IQ_EV_OVER_LTM_EBITDA" vbProcedure="false">"c1427"</definedName>
    <definedName function="false" hidden="true" name="IQ_EV_OVER_LTM_REVENUE" vbProcedure="false">"c1429"</definedName>
    <definedName function="false" hidden="true" name="IQ_EV_OVER_REVENUE_EST" vbProcedure="false">"IQ_EV_OVER_REVENUE_EST"</definedName>
    <definedName function="false" hidden="true" name="IQ_EV_OVER_REVENUE_EST_1" vbProcedure="false">"IQ_EV_OVER_REVENUE_EST_1"</definedName>
    <definedName function="false" hidden="true" name="IQ_EXCEL_DATA_METHOD" vbProcedure="false">"c16229"</definedName>
    <definedName function="false" hidden="true" name="IQ_EXCHANGE" vbProcedure="false">"c405"</definedName>
    <definedName function="false" hidden="true" name="IQ_EXCISE_TAXES_EXCL_SALES" vbProcedure="false">"c5515"</definedName>
    <definedName function="false" hidden="true" name="IQ_EXCISE_TAXES_INCL_SALES" vbProcedure="false">"c5514"</definedName>
    <definedName function="false" hidden="true" name="IQ_EXERCISED" vbProcedure="false">"c406"</definedName>
    <definedName function="false" hidden="true" name="IQ_EXERCISE_PRICE" vbProcedure="false">"c1897"</definedName>
    <definedName function="false" hidden="true" name="IQ_EXPENSES_AP" vbProcedure="false">"c8875"</definedName>
    <definedName function="false" hidden="true" name="IQ_EXPENSES_AP_ABS" vbProcedure="false">"c8894"</definedName>
    <definedName function="false" hidden="true" name="IQ_EXPENSES_FIXED_ASSETS_FFIEC" vbProcedure="false">"c13024"</definedName>
    <definedName function="false" hidden="true" name="IQ_EXPENSES_NAME_AP" vbProcedure="false">"c8913"</definedName>
    <definedName function="false" hidden="true" name="IQ_EXPENSES_NAME_AP_ABS" vbProcedure="false">"c8932"</definedName>
    <definedName function="false" hidden="true" name="IQ_EXPENSE_REIMBURSEMENTS" vbProcedure="false">"c16020"</definedName>
    <definedName function="false" hidden="true" name="IQ_EXPLORATION_EXPENDITURE_ALUM" vbProcedure="false">"c9255"</definedName>
    <definedName function="false" hidden="true" name="IQ_EXPLORATION_EXPENDITURE_COAL" vbProcedure="false">"c9827"</definedName>
    <definedName function="false" hidden="true" name="IQ_EXPLORATION_EXPENDITURE_COP" vbProcedure="false">"c9202"</definedName>
    <definedName function="false" hidden="true" name="IQ_EXPLORATION_EXPENDITURE_DIAM" vbProcedure="false">"c9679"</definedName>
    <definedName function="false" hidden="true" name="IQ_EXPLORATION_EXPENDITURE_GOLD" vbProcedure="false">"c9040"</definedName>
    <definedName function="false" hidden="true" name="IQ_EXPLORATION_EXPENDITURE_IRON" vbProcedure="false">"c9414"</definedName>
    <definedName function="false" hidden="true" name="IQ_EXPLORATION_EXPENDITURE_LEAD" vbProcedure="false">"c9467"</definedName>
    <definedName function="false" hidden="true" name="IQ_EXPLORATION_EXPENDITURE_MANG" vbProcedure="false">"c9520"</definedName>
    <definedName function="false" hidden="true" name="IQ_EXPLORATION_EXPENDITURE_MOLYB" vbProcedure="false">"c9732"</definedName>
    <definedName function="false" hidden="true" name="IQ_EXPLORATION_EXPENDITURE_NICK" vbProcedure="false">"c9308"</definedName>
    <definedName function="false" hidden="true" name="IQ_EXPLORATION_EXPENDITURE_PLAT" vbProcedure="false">"c9146"</definedName>
    <definedName function="false" hidden="true" name="IQ_EXPLORATION_EXPENDITURE_SILVER" vbProcedure="false">"c9093"</definedName>
    <definedName function="false" hidden="true" name="IQ_EXPLORATION_EXPENDITURE_TITAN" vbProcedure="false">"c9573"</definedName>
    <definedName function="false" hidden="true" name="IQ_EXPLORATION_EXPENDITURE_URAN" vbProcedure="false">"c9626"</definedName>
    <definedName function="false" hidden="true" name="IQ_EXPLORATION_EXPENDITURE_ZINC" vbProcedure="false">"c9361"</definedName>
    <definedName function="false" hidden="true" name="IQ_EXPLORE_DRILL" vbProcedure="false">"c409"</definedName>
    <definedName function="false" hidden="true" name="IQ_EXPLORE_DRILL_EXP_TOTAL" vbProcedure="false">"c13850"</definedName>
    <definedName function="false" hidden="true" name="IQ_EXPORTS_APR_FC_UNUSED" vbProcedure="false">"c8401"</definedName>
    <definedName function="false" hidden="true" name="IQ_EXPORTS_APR_FC_UNUSED_UNUSED_UNUSED" vbProcedure="false">"c8401"</definedName>
    <definedName function="false" hidden="true" name="IQ_EXPORTS_APR_UNUSED" vbProcedure="false">"c7521"</definedName>
    <definedName function="false" hidden="true" name="IQ_EXPORTS_APR_UNUSED_UNUSED_UNUSED" vbProcedure="false">"c7521"</definedName>
    <definedName function="false" hidden="true" name="IQ_EXPORTS_FACTOR_SERVICES" vbProcedure="false">"c6862"</definedName>
    <definedName function="false" hidden="true" name="IQ_EXPORTS_FACTOR_SERVICES_APR" vbProcedure="false">"c7522"</definedName>
    <definedName function="false" hidden="true" name="IQ_EXPORTS_FACTOR_SERVICES_APR_FC" vbProcedure="false">"c8402"</definedName>
    <definedName function="false" hidden="true" name="IQ_EXPORTS_FACTOR_SERVICES_FC" vbProcedure="false">"c7742"</definedName>
    <definedName function="false" hidden="true" name="IQ_EXPORTS_FACTOR_SERVICES_POP" vbProcedure="false">"c7082"</definedName>
    <definedName function="false" hidden="true" name="IQ_EXPORTS_FACTOR_SERVICES_POP_FC" vbProcedure="false">"c7962"</definedName>
    <definedName function="false" hidden="true" name="IQ_EXPORTS_FACTOR_SERVICES_SAAR" vbProcedure="false">"c6863"</definedName>
    <definedName function="false" hidden="true" name="IQ_EXPORTS_FACTOR_SERVICES_SAAR_APR" vbProcedure="false">"c7523"</definedName>
    <definedName function="false" hidden="true" name="IQ_EXPORTS_FACTOR_SERVICES_SAAR_APR_FC" vbProcedure="false">"c8403"</definedName>
    <definedName function="false" hidden="true" name="IQ_EXPORTS_FACTOR_SERVICES_SAAR_FC" vbProcedure="false">"c7743"</definedName>
    <definedName function="false" hidden="true" name="IQ_EXPORTS_FACTOR_SERVICES_SAAR_POP" vbProcedure="false">"c7083"</definedName>
    <definedName function="false" hidden="true" name="IQ_EXPORTS_FACTOR_SERVICES_SAAR_POP_FC" vbProcedure="false">"c7963"</definedName>
    <definedName function="false" hidden="true" name="IQ_EXPORTS_FACTOR_SERVICES_SAAR_USD_APR_FC" vbProcedure="false">"c11817"</definedName>
    <definedName function="false" hidden="true" name="IQ_EXPORTS_FACTOR_SERVICES_SAAR_USD_FC" vbProcedure="false">"c11814"</definedName>
    <definedName function="false" hidden="true" name="IQ_EXPORTS_FACTOR_SERVICES_SAAR_USD_POP_FC" vbProcedure="false">"c11815"</definedName>
    <definedName function="false" hidden="true" name="IQ_EXPORTS_FACTOR_SERVICES_SAAR_USD_YOY_FC" vbProcedure="false">"c11816"</definedName>
    <definedName function="false" hidden="true" name="IQ_EXPORTS_FACTOR_SERVICES_SAAR_YOY" vbProcedure="false">"c7303"</definedName>
    <definedName function="false" hidden="true" name="IQ_EXPORTS_FACTOR_SERVICES_SAAR_YOY_FC" vbProcedure="false">"c8183"</definedName>
    <definedName function="false" hidden="true" name="IQ_EXPORTS_FACTOR_SERVICES_USD_APR_FC" vbProcedure="false">"c11813"</definedName>
    <definedName function="false" hidden="true" name="IQ_EXPORTS_FACTOR_SERVICES_USD_FC" vbProcedure="false">"c11810"</definedName>
    <definedName function="false" hidden="true" name="IQ_EXPORTS_FACTOR_SERVICES_USD_POP_FC" vbProcedure="false">"c11811"</definedName>
    <definedName function="false" hidden="true" name="IQ_EXPORTS_FACTOR_SERVICES_USD_YOY_FC" vbProcedure="false">"c11812"</definedName>
    <definedName function="false" hidden="true" name="IQ_EXPORTS_FACTOR_SERVICES_YOY" vbProcedure="false">"c7302"</definedName>
    <definedName function="false" hidden="true" name="IQ_EXPORTS_FACTOR_SERVICES_YOY_FC" vbProcedure="false">"c8182"</definedName>
    <definedName function="false" hidden="true" name="IQ_EXPORTS_FC_UNUSED" vbProcedure="false">"c7741"</definedName>
    <definedName function="false" hidden="true" name="IQ_EXPORTS_FC_UNUSED_UNUSED_UNUSED" vbProcedure="false">"c7741"</definedName>
    <definedName function="false" hidden="true" name="IQ_EXPORTS_GOODS" vbProcedure="false">"c6864"</definedName>
    <definedName function="false" hidden="true" name="IQ_EXPORTS_GOODS_APR" vbProcedure="false">"c7524"</definedName>
    <definedName function="false" hidden="true" name="IQ_EXPORTS_GOODS_APR_FC" vbProcedure="false">"c8404"</definedName>
    <definedName function="false" hidden="true" name="IQ_EXPORTS_GOODS_FC" vbProcedure="false">"c7744"</definedName>
    <definedName function="false" hidden="true" name="IQ_EXPORTS_GOODS_NONFACTOR_SERVICES" vbProcedure="false">"c6865"</definedName>
    <definedName function="false" hidden="true" name="IQ_EXPORTS_GOODS_NONFACTOR_SERVICES_APR" vbProcedure="false">"c7525"</definedName>
    <definedName function="false" hidden="true" name="IQ_EXPORTS_GOODS_NONFACTOR_SERVICES_APR_FC" vbProcedure="false">"c8405"</definedName>
    <definedName function="false" hidden="true" name="IQ_EXPORTS_GOODS_NONFACTOR_SERVICES_FC" vbProcedure="false">"c7745"</definedName>
    <definedName function="false" hidden="true" name="IQ_EXPORTS_GOODS_NONFACTOR_SERVICES_POP" vbProcedure="false">"c7085"</definedName>
    <definedName function="false" hidden="true" name="IQ_EXPORTS_GOODS_NONFACTOR_SERVICES_POP_FC" vbProcedure="false">"c7965"</definedName>
    <definedName function="false" hidden="true" name="IQ_EXPORTS_GOODS_NONFACTOR_SERVICES_YOY" vbProcedure="false">"c7305"</definedName>
    <definedName function="false" hidden="true" name="IQ_EXPORTS_GOODS_NONFACTOR_SERVICES_YOY_FC" vbProcedure="false">"c8185"</definedName>
    <definedName function="false" hidden="true" name="IQ_EXPORTS_GOODS_POP" vbProcedure="false">"c7084"</definedName>
    <definedName function="false" hidden="true" name="IQ_EXPORTS_GOODS_POP_FC" vbProcedure="false">"c7964"</definedName>
    <definedName function="false" hidden="true" name="IQ_EXPORTS_GOODS_REAL" vbProcedure="false">"c6973"</definedName>
    <definedName function="false" hidden="true" name="IQ_EXPORTS_GOODS_REAL_APR" vbProcedure="false">"c7633"</definedName>
    <definedName function="false" hidden="true" name="IQ_EXPORTS_GOODS_REAL_APR_FC" vbProcedure="false">"c8513"</definedName>
    <definedName function="false" hidden="true" name="IQ_EXPORTS_GOODS_REAL_FC" vbProcedure="false">"c7853"</definedName>
    <definedName function="false" hidden="true" name="IQ_EXPORTS_GOODS_REAL_POP" vbProcedure="false">"c7193"</definedName>
    <definedName function="false" hidden="true" name="IQ_EXPORTS_GOODS_REAL_POP_FC" vbProcedure="false">"c8073"</definedName>
    <definedName function="false" hidden="true" name="IQ_EXPORTS_GOODS_REAL_SAAR" vbProcedure="false">"c11930"</definedName>
    <definedName function="false" hidden="true" name="IQ_EXPORTS_GOODS_REAL_SAAR_APR" vbProcedure="false">"c11933"</definedName>
    <definedName function="false" hidden="true" name="IQ_EXPORTS_GOODS_REAL_SAAR_APR_FC_UNUSED" vbProcedure="false">"c8512"</definedName>
    <definedName function="false" hidden="true" name="IQ_EXPORTS_GOODS_REAL_SAAR_APR_FC_UNUSED_UNUSED_UNUSED" vbProcedure="false">"c8512"</definedName>
    <definedName function="false" hidden="true" name="IQ_EXPORTS_GOODS_REAL_SAAR_APR_UNUSED" vbProcedure="false">"c7632"</definedName>
    <definedName function="false" hidden="true" name="IQ_EXPORTS_GOODS_REAL_SAAR_APR_UNUSED_UNUSED_UNUSED" vbProcedure="false">"c7632"</definedName>
    <definedName function="false" hidden="true" name="IQ_EXPORTS_GOODS_REAL_SAAR_FC_UNUSED" vbProcedure="false">"c7852"</definedName>
    <definedName function="false" hidden="true" name="IQ_EXPORTS_GOODS_REAL_SAAR_FC_UNUSED_UNUSED_UNUSED" vbProcedure="false">"c7852"</definedName>
    <definedName function="false" hidden="true" name="IQ_EXPORTS_GOODS_REAL_SAAR_POP" vbProcedure="false">"c11931"</definedName>
    <definedName function="false" hidden="true" name="IQ_EXPORTS_GOODS_REAL_SAAR_POP_FC_UNUSED" vbProcedure="false">"c8072"</definedName>
    <definedName function="false" hidden="true" name="IQ_EXPORTS_GOODS_REAL_SAAR_POP_FC_UNUSED_UNUSED_UNUSED" vbProcedure="false">"c8072"</definedName>
    <definedName function="false" hidden="true" name="IQ_EXPORTS_GOODS_REAL_SAAR_POP_UNUSED" vbProcedure="false">"c7192"</definedName>
    <definedName function="false" hidden="true" name="IQ_EXPORTS_GOODS_REAL_SAAR_POP_UNUSED_UNUSED_UNUSED" vbProcedure="false">"c7192"</definedName>
    <definedName function="false" hidden="true" name="IQ_EXPORTS_GOODS_REAL_SAAR_UNUSED" vbProcedure="false">"c6972"</definedName>
    <definedName function="false" hidden="true" name="IQ_EXPORTS_GOODS_REAL_SAAR_UNUSED_UNUSED_UNUSED" vbProcedure="false">"c6972"</definedName>
    <definedName function="false" hidden="true" name="IQ_EXPORTS_GOODS_REAL_SAAR_YOY" vbProcedure="false">"c11932"</definedName>
    <definedName function="false" hidden="true" name="IQ_EXPORTS_GOODS_REAL_SAAR_YOY_FC_UNUSED" vbProcedure="false">"c8292"</definedName>
    <definedName function="false" hidden="true" name="IQ_EXPORTS_GOODS_REAL_SAAR_YOY_FC_UNUSED_UNUSED_UNUSED" vbProcedure="false">"c8292"</definedName>
    <definedName function="false" hidden="true" name="IQ_EXPORTS_GOODS_REAL_SAAR_YOY_UNUSED" vbProcedure="false">"c7412"</definedName>
    <definedName function="false" hidden="true" name="IQ_EXPORTS_GOODS_REAL_SAAR_YOY_UNUSED_UNUSED_UNUSED" vbProcedure="false">"c7412"</definedName>
    <definedName function="false" hidden="true" name="IQ_EXPORTS_GOODS_REAL_YOY" vbProcedure="false">"c7413"</definedName>
    <definedName function="false" hidden="true" name="IQ_EXPORTS_GOODS_REAL_YOY_FC" vbProcedure="false">"c8293"</definedName>
    <definedName function="false" hidden="true" name="IQ_EXPORTS_GOODS_SERVICES" vbProcedure="false">"c6866"</definedName>
    <definedName function="false" hidden="true" name="IQ_EXPORTS_GOODS_SERVICES_APR" vbProcedure="false">"c7526"</definedName>
    <definedName function="false" hidden="true" name="IQ_EXPORTS_GOODS_SERVICES_APR_FC" vbProcedure="false">"c8406"</definedName>
    <definedName function="false" hidden="true" name="IQ_EXPORTS_GOODS_SERVICES_FC" vbProcedure="false">"c7746"</definedName>
    <definedName function="false" hidden="true" name="IQ_EXPORTS_GOODS_SERVICES_POP" vbProcedure="false">"c7086"</definedName>
    <definedName function="false" hidden="true" name="IQ_EXPORTS_GOODS_SERVICES_POP_FC" vbProcedure="false">"c7966"</definedName>
    <definedName function="false" hidden="true" name="IQ_EXPORTS_GOODS_SERVICES_REAL" vbProcedure="false">"c6974"</definedName>
    <definedName function="false" hidden="true" name="IQ_EXPORTS_GOODS_SERVICES_REAL_APR" vbProcedure="false">"c7634"</definedName>
    <definedName function="false" hidden="true" name="IQ_EXPORTS_GOODS_SERVICES_REAL_APR_FC" vbProcedure="false">"c8514"</definedName>
    <definedName function="false" hidden="true" name="IQ_EXPORTS_GOODS_SERVICES_REAL_FC" vbProcedure="false">"c7854"</definedName>
    <definedName function="false" hidden="true" name="IQ_EXPORTS_GOODS_SERVICES_REAL_POP" vbProcedure="false">"c7194"</definedName>
    <definedName function="false" hidden="true" name="IQ_EXPORTS_GOODS_SERVICES_REAL_POP_FC" vbProcedure="false">"c8074"</definedName>
    <definedName function="false" hidden="true" name="IQ_EXPORTS_GOODS_SERVICES_REAL_SAAR" vbProcedure="false">"c6975"</definedName>
    <definedName function="false" hidden="true" name="IQ_EXPORTS_GOODS_SERVICES_REAL_SAAR_APR" vbProcedure="false">"c7635"</definedName>
    <definedName function="false" hidden="true" name="IQ_EXPORTS_GOODS_SERVICES_REAL_SAAR_APR_FC" vbProcedure="false">"c8515"</definedName>
    <definedName function="false" hidden="true" name="IQ_EXPORTS_GOODS_SERVICES_REAL_SAAR_FC" vbProcedure="false">"c7855"</definedName>
    <definedName function="false" hidden="true" name="IQ_EXPORTS_GOODS_SERVICES_REAL_SAAR_POP" vbProcedure="false">"c7195"</definedName>
    <definedName function="false" hidden="true" name="IQ_EXPORTS_GOODS_SERVICES_REAL_SAAR_POP_FC" vbProcedure="false">"c8075"</definedName>
    <definedName function="false" hidden="true" name="IQ_EXPORTS_GOODS_SERVICES_REAL_SAAR_YOY" vbProcedure="false">"c7415"</definedName>
    <definedName function="false" hidden="true" name="IQ_EXPORTS_GOODS_SERVICES_REAL_SAAR_YOY_FC" vbProcedure="false">"c8295"</definedName>
    <definedName function="false" hidden="true" name="IQ_EXPORTS_GOODS_SERVICES_REAL_USD" vbProcedure="false">"c11926"</definedName>
    <definedName function="false" hidden="true" name="IQ_EXPORTS_GOODS_SERVICES_REAL_USD_APR" vbProcedure="false">"c11929"</definedName>
    <definedName function="false" hidden="true" name="IQ_EXPORTS_GOODS_SERVICES_REAL_USD_POP" vbProcedure="false">"c11927"</definedName>
    <definedName function="false" hidden="true" name="IQ_EXPORTS_GOODS_SERVICES_REAL_USD_YOY" vbProcedure="false">"c11928"</definedName>
    <definedName function="false" hidden="true" name="IQ_EXPORTS_GOODS_SERVICES_REAL_YOY" vbProcedure="false">"c7414"</definedName>
    <definedName function="false" hidden="true" name="IQ_EXPORTS_GOODS_SERVICES_REAL_YOY_FC" vbProcedure="false">"c8294"</definedName>
    <definedName function="false" hidden="true" name="IQ_EXPORTS_GOODS_SERVICES_SAAR" vbProcedure="false">"c6867"</definedName>
    <definedName function="false" hidden="true" name="IQ_EXPORTS_GOODS_SERVICES_SAAR_APR" vbProcedure="false">"c7527"</definedName>
    <definedName function="false" hidden="true" name="IQ_EXPORTS_GOODS_SERVICES_SAAR_APR_FC" vbProcedure="false">"c8407"</definedName>
    <definedName function="false" hidden="true" name="IQ_EXPORTS_GOODS_SERVICES_SAAR_FC" vbProcedure="false">"c7747"</definedName>
    <definedName function="false" hidden="true" name="IQ_EXPORTS_GOODS_SERVICES_SAAR_POP" vbProcedure="false">"c7087"</definedName>
    <definedName function="false" hidden="true" name="IQ_EXPORTS_GOODS_SERVICES_SAAR_POP_FC" vbProcedure="false">"c7967"</definedName>
    <definedName function="false" hidden="true" name="IQ_EXPORTS_GOODS_SERVICES_SAAR_YOY" vbProcedure="false">"c7307"</definedName>
    <definedName function="false" hidden="true" name="IQ_EXPORTS_GOODS_SERVICES_SAAR_YOY_FC" vbProcedure="false">"c8187"</definedName>
    <definedName function="false" hidden="true" name="IQ_EXPORTS_GOODS_SERVICES_USD" vbProcedure="false">"c11822"</definedName>
    <definedName function="false" hidden="true" name="IQ_EXPORTS_GOODS_SERVICES_USD_APR" vbProcedure="false">"c11825"</definedName>
    <definedName function="false" hidden="true" name="IQ_EXPORTS_GOODS_SERVICES_USD_POP" vbProcedure="false">"c11823"</definedName>
    <definedName function="false" hidden="true" name="IQ_EXPORTS_GOODS_SERVICES_USD_YOY" vbProcedure="false">"c11824"</definedName>
    <definedName function="false" hidden="true" name="IQ_EXPORTS_GOODS_SERVICES_YOY" vbProcedure="false">"c7306"</definedName>
    <definedName function="false" hidden="true" name="IQ_EXPORTS_GOODS_SERVICES_YOY_FC" vbProcedure="false">"c8186"</definedName>
    <definedName function="false" hidden="true" name="IQ_EXPORTS_GOODS_USD" vbProcedure="false">"c11818"</definedName>
    <definedName function="false" hidden="true" name="IQ_EXPORTS_GOODS_USD_APR" vbProcedure="false">"c11821"</definedName>
    <definedName function="false" hidden="true" name="IQ_EXPORTS_GOODS_USD_POP" vbProcedure="false">"c11819"</definedName>
    <definedName function="false" hidden="true" name="IQ_EXPORTS_GOODS_USD_YOY" vbProcedure="false">"c11820"</definedName>
    <definedName function="false" hidden="true" name="IQ_EXPORTS_GOODS_YOY" vbProcedure="false">"c7304"</definedName>
    <definedName function="false" hidden="true" name="IQ_EXPORTS_GOODS_YOY_FC" vbProcedure="false">"c8184"</definedName>
    <definedName function="false" hidden="true" name="IQ_EXPORTS_NONFACTOR_SERVICES" vbProcedure="false">"c6868"</definedName>
    <definedName function="false" hidden="true" name="IQ_EXPORTS_NONFACTOR_SERVICES_APR" vbProcedure="false">"c7528"</definedName>
    <definedName function="false" hidden="true" name="IQ_EXPORTS_NONFACTOR_SERVICES_APR_FC" vbProcedure="false">"c8408"</definedName>
    <definedName function="false" hidden="true" name="IQ_EXPORTS_NONFACTOR_SERVICES_FC" vbProcedure="false">"c7748"</definedName>
    <definedName function="false" hidden="true" name="IQ_EXPORTS_NONFACTOR_SERVICES_POP" vbProcedure="false">"c7088"</definedName>
    <definedName function="false" hidden="true" name="IQ_EXPORTS_NONFACTOR_SERVICES_POP_FC" vbProcedure="false">"c7968"</definedName>
    <definedName function="false" hidden="true" name="IQ_EXPORTS_NONFACTOR_SERVICES_YOY" vbProcedure="false">"c7308"</definedName>
    <definedName function="false" hidden="true" name="IQ_EXPORTS_NONFACTOR_SERVICES_YOY_FC" vbProcedure="false">"c8188"</definedName>
    <definedName function="false" hidden="true" name="IQ_EXPORTS_POP_FC_UNUSED" vbProcedure="false">"c7961"</definedName>
    <definedName function="false" hidden="true" name="IQ_EXPORTS_POP_FC_UNUSED_UNUSED_UNUSED" vbProcedure="false">"c7961"</definedName>
    <definedName function="false" hidden="true" name="IQ_EXPORTS_POP_UNUSED" vbProcedure="false">"c7081"</definedName>
    <definedName function="false" hidden="true" name="IQ_EXPORTS_POP_UNUSED_UNUSED_UNUSED" vbProcedure="false">"c7081"</definedName>
    <definedName function="false" hidden="true" name="IQ_EXPORTS_SERVICES_REAL" vbProcedure="false">"c6977"</definedName>
    <definedName function="false" hidden="true" name="IQ_EXPORTS_SERVICES_REAL_APR" vbProcedure="false">"c7637"</definedName>
    <definedName function="false" hidden="true" name="IQ_EXPORTS_SERVICES_REAL_APR_FC" vbProcedure="false">"c8517"</definedName>
    <definedName function="false" hidden="true" name="IQ_EXPORTS_SERVICES_REAL_FC" vbProcedure="false">"c7857"</definedName>
    <definedName function="false" hidden="true" name="IQ_EXPORTS_SERVICES_REAL_POP" vbProcedure="false">"c7197"</definedName>
    <definedName function="false" hidden="true" name="IQ_EXPORTS_SERVICES_REAL_POP_FC" vbProcedure="false">"c8077"</definedName>
    <definedName function="false" hidden="true" name="IQ_EXPORTS_SERVICES_REAL_SAAR" vbProcedure="false">"c11934"</definedName>
    <definedName function="false" hidden="true" name="IQ_EXPORTS_SERVICES_REAL_SAAR_APR" vbProcedure="false">"c11937"</definedName>
    <definedName function="false" hidden="true" name="IQ_EXPORTS_SERVICES_REAL_SAAR_APR_FC_UNUSED" vbProcedure="false">"c8516"</definedName>
    <definedName function="false" hidden="true" name="IQ_EXPORTS_SERVICES_REAL_SAAR_APR_FC_UNUSED_UNUSED_UNUSED" vbProcedure="false">"c8516"</definedName>
    <definedName function="false" hidden="true" name="IQ_EXPORTS_SERVICES_REAL_SAAR_APR_UNUSED" vbProcedure="false">"c7636"</definedName>
    <definedName function="false" hidden="true" name="IQ_EXPORTS_SERVICES_REAL_SAAR_APR_UNUSED_UNUSED_UNUSED" vbProcedure="false">"c7636"</definedName>
    <definedName function="false" hidden="true" name="IQ_EXPORTS_SERVICES_REAL_SAAR_FC_UNUSED" vbProcedure="false">"c7856"</definedName>
    <definedName function="false" hidden="true" name="IQ_EXPORTS_SERVICES_REAL_SAAR_FC_UNUSED_UNUSED_UNUSED" vbProcedure="false">"c7856"</definedName>
    <definedName function="false" hidden="true" name="IQ_EXPORTS_SERVICES_REAL_SAAR_POP" vbProcedure="false">"c11935"</definedName>
    <definedName function="false" hidden="true" name="IQ_EXPORTS_SERVICES_REAL_SAAR_POP_FC_UNUSED" vbProcedure="false">"c8076"</definedName>
    <definedName function="false" hidden="true" name="IQ_EXPORTS_SERVICES_REAL_SAAR_POP_FC_UNUSED_UNUSED_UNUSED" vbProcedure="false">"c8076"</definedName>
    <definedName function="false" hidden="true" name="IQ_EXPORTS_SERVICES_REAL_SAAR_POP_UNUSED" vbProcedure="false">"c7196"</definedName>
    <definedName function="false" hidden="true" name="IQ_EXPORTS_SERVICES_REAL_SAAR_POP_UNUSED_UNUSED_UNUSED" vbProcedure="false">"c7196"</definedName>
    <definedName function="false" hidden="true" name="IQ_EXPORTS_SERVICES_REAL_SAAR_UNUSED" vbProcedure="false">"c6976"</definedName>
    <definedName function="false" hidden="true" name="IQ_EXPORTS_SERVICES_REAL_SAAR_UNUSED_UNUSED_UNUSED" vbProcedure="false">"c6976"</definedName>
    <definedName function="false" hidden="true" name="IQ_EXPORTS_SERVICES_REAL_SAAR_YOY" vbProcedure="false">"c11936"</definedName>
    <definedName function="false" hidden="true" name="IQ_EXPORTS_SERVICES_REAL_SAAR_YOY_FC_UNUSED" vbProcedure="false">"c8296"</definedName>
    <definedName function="false" hidden="true" name="IQ_EXPORTS_SERVICES_REAL_SAAR_YOY_FC_UNUSED_UNUSED_UNUSED" vbProcedure="false">"c8296"</definedName>
    <definedName function="false" hidden="true" name="IQ_EXPORTS_SERVICES_REAL_SAAR_YOY_UNUSED" vbProcedure="false">"c7416"</definedName>
    <definedName function="false" hidden="true" name="IQ_EXPORTS_SERVICES_REAL_SAAR_YOY_UNUSED_UNUSED_UNUSED" vbProcedure="false">"c7416"</definedName>
    <definedName function="false" hidden="true" name="IQ_EXPORTS_SERVICES_REAL_YOY" vbProcedure="false">"c7417"</definedName>
    <definedName function="false" hidden="true" name="IQ_EXPORTS_SERVICES_REAL_YOY_FC" vbProcedure="false">"c8297"</definedName>
    <definedName function="false" hidden="true" name="IQ_EXPORTS_UNUSED" vbProcedure="false">"c6861"</definedName>
    <definedName function="false" hidden="true" name="IQ_EXPORTS_UNUSED_UNUSED_UNUSED" vbProcedure="false">"c6861"</definedName>
    <definedName function="false" hidden="true" name="IQ_EXPORTS_USD" vbProcedure="false">"c11806"</definedName>
    <definedName function="false" hidden="true" name="IQ_EXPORTS_USD_APR" vbProcedure="false">"c11809"</definedName>
    <definedName function="false" hidden="true" name="IQ_EXPORTS_USD_POP" vbProcedure="false">"c11807"</definedName>
    <definedName function="false" hidden="true" name="IQ_EXPORTS_USD_YOY" vbProcedure="false">"c11808"</definedName>
    <definedName function="false" hidden="true" name="IQ_EXPORTS_YOY_FC_UNUSED" vbProcedure="false">"c8181"</definedName>
    <definedName function="false" hidden="true" name="IQ_EXPORTS_YOY_FC_UNUSED_UNUSED_UNUSED" vbProcedure="false">"c8181"</definedName>
    <definedName function="false" hidden="true" name="IQ_EXPORTS_YOY_UNUSED" vbProcedure="false">"c7301"</definedName>
    <definedName function="false" hidden="true" name="IQ_EXPORTS_YOY_UNUSED_UNUSED_UNUSED" vbProcedure="false">"c7301"</definedName>
    <definedName function="false" hidden="true" name="IQ_EXPORT_PRICE_INDEX" vbProcedure="false">"c6860"</definedName>
    <definedName function="false" hidden="true" name="IQ_EXPORT_PRICE_INDEX_APR" vbProcedure="false">"c7520"</definedName>
    <definedName function="false" hidden="true" name="IQ_EXPORT_PRICE_INDEX_APR_FC" vbProcedure="false">"c8400"</definedName>
    <definedName function="false" hidden="true" name="IQ_EXPORT_PRICE_INDEX_FC" vbProcedure="false">"c7740"</definedName>
    <definedName function="false" hidden="true" name="IQ_EXPORT_PRICE_INDEX_POP" vbProcedure="false">"c7080"</definedName>
    <definedName function="false" hidden="true" name="IQ_EXPORT_PRICE_INDEX_POP_FC" vbProcedure="false">"c7960"</definedName>
    <definedName function="false" hidden="true" name="IQ_EXPORT_PRICE_INDEX_YOY" vbProcedure="false">"c7300"</definedName>
    <definedName function="false" hidden="true" name="IQ_EXPORT_PRICE_INDEX_YOY_FC" vbProcedure="false">"c8180"</definedName>
    <definedName function="false" hidden="true" name="IQ_EXP_REIMBURSE_RENTAL_REVENUE" vbProcedure="false">"c16064"</definedName>
    <definedName function="false" hidden="true" name="IQ_EXP_RETURN_PENSION_DOMESTIC" vbProcedure="false">"c407"</definedName>
    <definedName function="false" hidden="true" name="IQ_EXP_RETURN_PENSION_FOREIGN" vbProcedure="false">"c408"</definedName>
    <definedName function="false" hidden="true" name="IQ_EXTRAORDINARY_GAINS_FDIC" vbProcedure="false">"c6586"</definedName>
    <definedName function="false" hidden="true" name="IQ_EXTRAORDINARY_ITEMS_FFIEC" vbProcedure="false">"c13033"</definedName>
    <definedName function="false" hidden="true" name="IQ_EXTRA_ACC_ITEMS" vbProcedure="false">"c410"</definedName>
    <definedName function="false" hidden="true" name="IQ_EXTRA_ACC_ITEMS_BNK" vbProcedure="false">"c411"</definedName>
    <definedName function="false" hidden="true" name="IQ_EXTRA_ACC_ITEMS_BR" vbProcedure="false">"c412"</definedName>
    <definedName function="false" hidden="true" name="IQ_EXTRA_ACC_ITEMS_FIN" vbProcedure="false">"c413"</definedName>
    <definedName function="false" hidden="true" name="IQ_EXTRA_ACC_ITEMS_INS" vbProcedure="false">"c414"</definedName>
    <definedName function="false" hidden="true" name="IQ_EXTRA_ACC_ITEMS_RE" vbProcedure="false">"c6216"</definedName>
    <definedName function="false" hidden="true" name="IQ_EXTRA_ACC_ITEMS_REIT" vbProcedure="false">"c415"</definedName>
    <definedName function="false" hidden="true" name="IQ_EXTRA_ACC_ITEMS_UTI" vbProcedure="false">"c416"</definedName>
    <definedName function="false" hidden="true" name="IQ_EXTRA_AVG_ASSETS_FFIEC" vbProcedure="false">"c13369"</definedName>
    <definedName function="false" hidden="true" name="IQ_EXTRA_ITEMS" vbProcedure="false">"c1459"</definedName>
    <definedName function="false" hidden="true" name="IQ_EXTRA_ITEMS_OTHER_ADJUSTMENTS_FOREIGN_FFIEC" vbProcedure="false">"c15392"</definedName>
    <definedName function="false" hidden="true" name="IQ_FAD" vbProcedure="false">"c8757"</definedName>
    <definedName function="false" hidden="true" name="IQ_FAD_PAYOUT_RATIO" vbProcedure="false">"c8872"</definedName>
    <definedName function="false" hidden="true" name="IQ_FAIR_VALUE_CHANGE_INCL_EARNINGS" vbProcedure="false">"c13849"</definedName>
    <definedName function="false" hidden="true" name="IQ_FAIR_VALUE_DEBT" vbProcedure="false">"c16007"</definedName>
    <definedName function="false" hidden="true" name="IQ_FAIR_VALUE_FDIC" vbProcedure="false">"c6427"</definedName>
    <definedName function="false" hidden="true" name="IQ_FAIR_VALUE_FIN_INSTRUMENTS_NAV" vbProcedure="false">"c16002"</definedName>
    <definedName function="false" hidden="true" name="IQ_FAIR_VALUE_FIN_INSTRUMENTS_NNAV" vbProcedure="false">"c16006"</definedName>
    <definedName function="false" hidden="true" name="IQ_FAIR_VALUE_TRADING_PROP" vbProcedure="false">"c16001"</definedName>
    <definedName function="false" hidden="true" name="IQ_FARMLAND_DOM_FFIEC" vbProcedure="false">"c15268"</definedName>
    <definedName function="false" hidden="true" name="IQ_FARMLAND_LOANS_FDIC" vbProcedure="false">"c6314"</definedName>
    <definedName function="false" hidden="true" name="IQ_FARM_LOANS_NET_FDIC" vbProcedure="false">"c6316"</definedName>
    <definedName function="false" hidden="true" name="IQ_FARM_LOANS_TOTAL_LOANS_FOREIGN_FDIC" vbProcedure="false">"c6450"</definedName>
    <definedName function="false" hidden="true" name="IQ_FARM_LOANS_TOT_LOANS_FFIEC" vbProcedure="false">"c13870"</definedName>
    <definedName function="false" hidden="true" name="IQ_FDIC" vbProcedure="false">"c417"</definedName>
    <definedName function="false" hidden="true" name="IQ_FDIC_CERT_NUMBER_FFIEC" vbProcedure="false">"c20507"</definedName>
    <definedName function="false" hidden="true" name="IQ_FDIC_DEPOSIT_INSURANCE_FFIEC" vbProcedure="false">"c13053"</definedName>
    <definedName function="false" hidden="true" name="IQ_FEDFUNDS_PURCHASED_RELATED" vbProcedure="false">"c19132"</definedName>
    <definedName function="false" hidden="true" name="IQ_FEDFUNDS_SOLD" vbProcedure="false">"c2256"</definedName>
    <definedName function="false" hidden="true" name="IQ_FEDFUNDS_SOLD_RELATED" vbProcedure="false">"c19130"</definedName>
    <definedName function="false" hidden="true" name="IQ_FED_BUDGET_RECEIPTS" vbProcedure="false">"c6869"</definedName>
    <definedName function="false" hidden="true" name="IQ_FED_BUDGET_RECEIPTS_APR" vbProcedure="false">"c7529"</definedName>
    <definedName function="false" hidden="true" name="IQ_FED_BUDGET_RECEIPTS_APR_FC" vbProcedure="false">"c8409"</definedName>
    <definedName function="false" hidden="true" name="IQ_FED_BUDGET_RECEIPTS_FC" vbProcedure="false">"c7749"</definedName>
    <definedName function="false" hidden="true" name="IQ_FED_BUDGET_RECEIPTS_POP" vbProcedure="false">"c7089"</definedName>
    <definedName function="false" hidden="true" name="IQ_FED_BUDGET_RECEIPTS_POP_FC" vbProcedure="false">"c7969"</definedName>
    <definedName function="false" hidden="true" name="IQ_FED_BUDGET_RECEIPTS_YOY" vbProcedure="false">"c7309"</definedName>
    <definedName function="false" hidden="true" name="IQ_FED_BUDGET_RECEIPTS_YOY_FC" vbProcedure="false">"c8189"</definedName>
    <definedName function="false" hidden="true" name="IQ_FED_FUNDS_AVAIL" vbProcedure="false">"c2523"</definedName>
    <definedName function="false" hidden="true" name="IQ_FED_FUNDS_PURCHASED_DOM_FFIEC" vbProcedure="false">"c12856"</definedName>
    <definedName function="false" hidden="true" name="IQ_FED_FUNDS_PURCHASED_FDIC" vbProcedure="false">"c6343"</definedName>
    <definedName function="false" hidden="true" name="IQ_FED_FUNDS_PURCHASED_QUARTERLY_AVG_FFIEC" vbProcedure="false">"c13090"</definedName>
    <definedName function="false" hidden="true" name="IQ_FED_FUNDS_PURCH_SEC_SOLD_FAIR_VALUE_TOT_FFIEC" vbProcedure="false">"c15406"</definedName>
    <definedName function="false" hidden="true" name="IQ_FED_FUNDS_PURCH_SEC_SOLD_LEVEL_1_FFIEC" vbProcedure="false">"c15428"</definedName>
    <definedName function="false" hidden="true" name="IQ_FED_FUNDS_PURCH_SEC_SOLD_LEVEL_2_FFIEC" vbProcedure="false">"c15441"</definedName>
    <definedName function="false" hidden="true" name="IQ_FED_FUNDS_PURCH_SEC_SOLD_LEVEL_3_FFIEC" vbProcedure="false">"c15454"</definedName>
    <definedName function="false" hidden="true" name="IQ_FED_FUNDS_SOLD_DOM_FFIEC" vbProcedure="false">"c12806"</definedName>
    <definedName function="false" hidden="true" name="IQ_FED_FUNDS_SOLD_FDIC" vbProcedure="false">"c6307"</definedName>
    <definedName function="false" hidden="true" name="IQ_FED_FUNDS_SOLD_QUARTERLY_AVG_FFIEC" vbProcedure="false">"c13080"</definedName>
    <definedName function="false" hidden="true" name="IQ_FED_FUNDS_SOLD_SEC_PURCH_FAIR_VALUE_TOT_FFIEC" vbProcedure="false">"c15402"</definedName>
    <definedName function="false" hidden="true" name="IQ_FED_FUNDS_SOLD_SEC_PURCH_LEVEL_1_FFIEC" vbProcedure="false">"c15424"</definedName>
    <definedName function="false" hidden="true" name="IQ_FED_FUNDS_SOLD_SEC_PURCH_LEVEL_2_FFIEC" vbProcedure="false">"c15437"</definedName>
    <definedName function="false" hidden="true" name="IQ_FED_FUNDS_SOLD_SEC_PURCH_LEVEL_3_FFIEC" vbProcedure="false">"c15450"</definedName>
    <definedName function="false" hidden="true" name="IQ_FED_FUND_PURCHASED_SEC_SOLD_REPURCHASE_FFIEC" vbProcedure="false">"c15489"</definedName>
    <definedName function="false" hidden="true" name="IQ_FED_FUND_SOLD_SEC_PURCHASED_RESELL_FFIEC" vbProcedure="false">"c15488"</definedName>
    <definedName function="false" hidden="true" name="IQ_FEES_COMMISSIONS_BROKERAGE_FFIEC" vbProcedure="false">"c13005"</definedName>
    <definedName function="false" hidden="true" name="IQ_FEES_OTHER_INCOME" vbProcedure="false">"c15257"</definedName>
    <definedName function="false" hidden="true" name="IQ_FFO" vbProcedure="false">"c1574"</definedName>
    <definedName function="false" hidden="true" name="IQ_FFO_ACT_OR_EST" vbProcedure="false">"c2216"</definedName>
    <definedName function="false" hidden="true" name="IQ_FFO_ADJ_ACT_OR_EST" vbProcedure="false">"c4435"</definedName>
    <definedName function="false" hidden="true" name="IQ_FFO_ADJ_ACT_OR_EST_CIQ" vbProcedure="false">"c4960"</definedName>
    <definedName function="false" hidden="true" name="IQ_FFO_ADJ_ACT_OR_EST_CIQ_COL" vbProcedure="false">"c11607"</definedName>
    <definedName function="false" hidden="true" name="IQ_FFO_ADJ_EST" vbProcedure="false">"c4434"</definedName>
    <definedName function="false" hidden="true" name="IQ_FFO_ADJ_EST_CIQ" vbProcedure="false">"c4959"</definedName>
    <definedName function="false" hidden="true" name="IQ_FFO_ADJ_GUIDANCE" vbProcedure="false">"c4436"</definedName>
    <definedName function="false" hidden="true" name="IQ_FFO_ADJ_GUIDANCE_CIQ" vbProcedure="false">"c4961"</definedName>
    <definedName function="false" hidden="true" name="IQ_FFO_ADJ_GUIDANCE_CIQ_COL" vbProcedure="false">"c11608"</definedName>
    <definedName function="false" hidden="true" name="IQ_FFO_ADJ_HIGH_EST" vbProcedure="false">"c4437"</definedName>
    <definedName function="false" hidden="true" name="IQ_FFO_ADJ_HIGH_EST_CIQ" vbProcedure="false">"c4962"</definedName>
    <definedName function="false" hidden="true" name="IQ_FFO_ADJ_HIGH_GUIDANCE" vbProcedure="false">"c4202"</definedName>
    <definedName function="false" hidden="true" name="IQ_FFO_ADJ_HIGH_GUIDANCE_CIQ" vbProcedure="false">"c4614"</definedName>
    <definedName function="false" hidden="true" name="IQ_FFO_ADJ_HIGH_GUIDANCE_CIQ_COL" vbProcedure="false">"c11263"</definedName>
    <definedName function="false" hidden="true" name="IQ_FFO_ADJ_LOW_EST" vbProcedure="false">"c4438"</definedName>
    <definedName function="false" hidden="true" name="IQ_FFO_ADJ_LOW_EST_CIQ" vbProcedure="false">"c4963"</definedName>
    <definedName function="false" hidden="true" name="IQ_FFO_ADJ_LOW_GUIDANCE" vbProcedure="false">"c4242"</definedName>
    <definedName function="false" hidden="true" name="IQ_FFO_ADJ_LOW_GUIDANCE_CIQ" vbProcedure="false">"c4654"</definedName>
    <definedName function="false" hidden="true" name="IQ_FFO_ADJ_LOW_GUIDANCE_CIQ_COL" vbProcedure="false">"c11303"</definedName>
    <definedName function="false" hidden="true" name="IQ_FFO_ADJ_MEDIAN_EST" vbProcedure="false">"c4439"</definedName>
    <definedName function="false" hidden="true" name="IQ_FFO_ADJ_MEDIAN_EST_CIQ" vbProcedure="false">"c4964"</definedName>
    <definedName function="false" hidden="true" name="IQ_FFO_ADJ_NUM_EST" vbProcedure="false">"c4440"</definedName>
    <definedName function="false" hidden="true" name="IQ_FFO_ADJ_NUM_EST_CIQ" vbProcedure="false">"c4965"</definedName>
    <definedName function="false" hidden="true" name="IQ_FFO_ADJ_STDDEV_EST" vbProcedure="false">"c4441"</definedName>
    <definedName function="false" hidden="true" name="IQ_FFO_ADJ_STDDEV_EST_CIQ" vbProcedure="false">"c4966"</definedName>
    <definedName function="false" hidden="true" name="IQ_FFO_DILUTED" vbProcedure="false">"c16186"</definedName>
    <definedName function="false" hidden="true" name="IQ_FFO_EST" vbProcedure="false">"c418"</definedName>
    <definedName function="false" hidden="true" name="IQ_FFO_EST_CIQ" vbProcedure="false">"c4970"</definedName>
    <definedName function="false" hidden="true" name="IQ_FFO_EST_CIQ_COL" vbProcedure="false">"c11617"</definedName>
    <definedName function="false" hidden="true" name="IQ_FFO_EST_DET_EST" vbProcedure="false">"c12059"</definedName>
    <definedName function="false" hidden="true" name="IQ_FFO_EST_DET_EST_CIQ" vbProcedure="false">"c12121"</definedName>
    <definedName function="false" hidden="true" name="IQ_FFO_EST_DET_EST_CURRENCY" vbProcedure="false">"c12466"</definedName>
    <definedName function="false" hidden="true" name="IQ_FFO_EST_DET_EST_CURRENCY_CIQ" vbProcedure="false">"c12512"</definedName>
    <definedName function="false" hidden="true" name="IQ_FFO_EST_DET_EST_CURRENCY_REUT" vbProcedure="false">"c12536"</definedName>
    <definedName function="false" hidden="true" name="IQ_FFO_EST_DET_EST_CURRENCY_THOM" vbProcedure="false">"c12487"</definedName>
    <definedName function="false" hidden="true" name="IQ_FFO_EST_DET_EST_DATE" vbProcedure="false">"c12212"</definedName>
    <definedName function="false" hidden="true" name="IQ_FFO_EST_DET_EST_DATE_CIQ" vbProcedure="false">"c12267"</definedName>
    <definedName function="false" hidden="true" name="IQ_FFO_EST_DET_EST_DATE_REUT" vbProcedure="false">"c12295"</definedName>
    <definedName function="false" hidden="true" name="IQ_FFO_EST_DET_EST_DATE_THOM" vbProcedure="false">"c12238"</definedName>
    <definedName function="false" hidden="true" name="IQ_FFO_EST_DET_EST_INCL" vbProcedure="false">"c12349"</definedName>
    <definedName function="false" hidden="true" name="IQ_FFO_EST_DET_EST_INCL_CIQ" vbProcedure="false">"c12395"</definedName>
    <definedName function="false" hidden="true" name="IQ_FFO_EST_DET_EST_INCL_REUT" vbProcedure="false">"c12419"</definedName>
    <definedName function="false" hidden="true" name="IQ_FFO_EST_DET_EST_INCL_THOM" vbProcedure="false">"c12370"</definedName>
    <definedName function="false" hidden="true" name="IQ_FFO_EST_DET_EST_ORIGIN" vbProcedure="false">"c12722"</definedName>
    <definedName function="false" hidden="true" name="IQ_FFO_EST_DET_EST_ORIGIN_CIQ" vbProcedure="false">"c12720"</definedName>
    <definedName function="false" hidden="true" name="IQ_FFO_EST_DET_EST_ORIGIN_REUT" vbProcedure="false">"c12724"</definedName>
    <definedName function="false" hidden="true" name="IQ_FFO_EST_DET_EST_ORIGIN_THOM" vbProcedure="false">"c12608"</definedName>
    <definedName function="false" hidden="true" name="IQ_FFO_EST_DET_EST_REUT" vbProcedure="false">"c12153"</definedName>
    <definedName function="false" hidden="true" name="IQ_FFO_EST_DET_EST_THOM" vbProcedure="false">"c12088"</definedName>
    <definedName function="false" hidden="true" name="IQ_FFO_EST_REUT" vbProcedure="false">"c3837"</definedName>
    <definedName function="false" hidden="true" name="IQ_FFO_EST_THOM" vbProcedure="false">"c3999"</definedName>
    <definedName function="false" hidden="true" name="IQ_FFO_GUIDANCE" vbProcedure="false">"c4443"</definedName>
    <definedName function="false" hidden="true" name="IQ_FFO_GUIDANCE_CIQ" vbProcedure="false">"c4968"</definedName>
    <definedName function="false" hidden="true" name="IQ_FFO_GUIDANCE_CIQ_COL" vbProcedure="false">"c11615"</definedName>
    <definedName function="false" hidden="true" name="IQ_FFO_HIGH_EST" vbProcedure="false">"c419"</definedName>
    <definedName function="false" hidden="true" name="IQ_FFO_HIGH_EST_CIQ" vbProcedure="false">"c4977"</definedName>
    <definedName function="false" hidden="true" name="IQ_FFO_HIGH_EST_CIQ_COL" vbProcedure="false">"c11624"</definedName>
    <definedName function="false" hidden="true" name="IQ_FFO_HIGH_EST_REUT" vbProcedure="false">"c3839"</definedName>
    <definedName function="false" hidden="true" name="IQ_FFO_HIGH_EST_THOM" vbProcedure="false">"c4001"</definedName>
    <definedName function="false" hidden="true" name="IQ_FFO_HIGH_GUIDANCE" vbProcedure="false">"c4184"</definedName>
    <definedName function="false" hidden="true" name="IQ_FFO_HIGH_GUIDANCE_CIQ" vbProcedure="false">"c4596"</definedName>
    <definedName function="false" hidden="true" name="IQ_FFO_HIGH_GUIDANCE_CIQ_COL" vbProcedure="false">"c11245"</definedName>
    <definedName function="false" hidden="true" name="IQ_FFO_LOW_EST" vbProcedure="false">"c420"</definedName>
    <definedName function="false" hidden="true" name="IQ_FFO_LOW_EST_CIQ" vbProcedure="false">"c4978"</definedName>
    <definedName function="false" hidden="true" name="IQ_FFO_LOW_EST_CIQ_COL" vbProcedure="false">"c11625"</definedName>
    <definedName function="false" hidden="true" name="IQ_FFO_LOW_EST_REUT" vbProcedure="false">"c3840"</definedName>
    <definedName function="false" hidden="true" name="IQ_FFO_LOW_EST_THOM" vbProcedure="false">"c4002"</definedName>
    <definedName function="false" hidden="true" name="IQ_FFO_LOW_GUIDANCE" vbProcedure="false">"c4224"</definedName>
    <definedName function="false" hidden="true" name="IQ_FFO_LOW_GUIDANCE_CIQ" vbProcedure="false">"c4636"</definedName>
    <definedName function="false" hidden="true" name="IQ_FFO_LOW_GUIDANCE_CIQ_COL" vbProcedure="false">"c11285"</definedName>
    <definedName function="false" hidden="true" name="IQ_FFO_MEDIAN_EST" vbProcedure="false">"c1665"</definedName>
    <definedName function="false" hidden="true" name="IQ_FFO_MEDIAN_EST_CIQ" vbProcedure="false">"c4979"</definedName>
    <definedName function="false" hidden="true" name="IQ_FFO_MEDIAN_EST_CIQ_COL" vbProcedure="false">"c11626"</definedName>
    <definedName function="false" hidden="true" name="IQ_FFO_MEDIAN_EST_REUT" vbProcedure="false">"c3838"</definedName>
    <definedName function="false" hidden="true" name="IQ_FFO_MEDIAN_EST_THOM" vbProcedure="false">"c4000"</definedName>
    <definedName function="false" hidden="true" name="IQ_FFO_NUM_EST" vbProcedure="false">"c421"</definedName>
    <definedName function="false" hidden="true" name="IQ_FFO_NUM_EST_CIQ" vbProcedure="false">"c4980"</definedName>
    <definedName function="false" hidden="true" name="IQ_FFO_NUM_EST_CIQ_COL" vbProcedure="false">"c11627"</definedName>
    <definedName function="false" hidden="true" name="IQ_FFO_NUM_EST_REUT" vbProcedure="false">"c3841"</definedName>
    <definedName function="false" hidden="true" name="IQ_FFO_NUM_EST_THOM" vbProcedure="false">"c4003"</definedName>
    <definedName function="false" hidden="true" name="IQ_FFO_PAYOUT_RATIO" vbProcedure="false">"c3492"</definedName>
    <definedName function="false" hidden="true" name="IQ_FFO_PER_SHARE_BASIC" vbProcedure="false">"c8867"</definedName>
    <definedName function="false" hidden="true" name="IQ_FFO_PER_SHARE_DILUTED" vbProcedure="false">"c8868"</definedName>
    <definedName function="false" hidden="true" name="IQ_FFO_SHARES_BASIC" vbProcedure="false">"c16185"</definedName>
    <definedName function="false" hidden="true" name="IQ_FFO_SHARES_DILUTED" vbProcedure="false">"c16187"</definedName>
    <definedName function="false" hidden="true" name="IQ_FFO_SHARE_ACT_OR_EST" vbProcedure="false">"c4446"</definedName>
    <definedName function="false" hidden="true" name="IQ_FFO_SHARE_ACT_OR_EST_CIQ" vbProcedure="false">"c4971"</definedName>
    <definedName function="false" hidden="true" name="IQ_FFO_SHARE_ACT_OR_EST_CIQ_COL" vbProcedure="false">"c11618"</definedName>
    <definedName function="false" hidden="true" name="IQ_FFO_SHARE_EST" vbProcedure="false">"c4445"</definedName>
    <definedName function="false" hidden="true" name="IQ_FFO_SHARE_EST_CIQ" vbProcedure="false">"c3668"</definedName>
    <definedName function="false" hidden="true" name="IQ_FFO_SHARE_EST_DET_EST" vbProcedure="false">"c12059"</definedName>
    <definedName function="false" hidden="true" name="IQ_FFO_SHARE_EST_DET_EST_CIQ" vbProcedure="false">"c12121"</definedName>
    <definedName function="false" hidden="true" name="IQ_FFO_SHARE_EST_DET_EST_CURRENCY" vbProcedure="false">"c12466"</definedName>
    <definedName function="false" hidden="true" name="IQ_FFO_SHARE_EST_DET_EST_CURRENCY_CIQ" vbProcedure="false">"c12512"</definedName>
    <definedName function="false" hidden="true" name="IQ_FFO_SHARE_EST_DET_EST_DATE" vbProcedure="false">"c12212"</definedName>
    <definedName function="false" hidden="true" name="IQ_FFO_SHARE_EST_DET_EST_DATE_CIQ" vbProcedure="false">"c12267"</definedName>
    <definedName function="false" hidden="true" name="IQ_FFO_SHARE_EST_DET_EST_INCL" vbProcedure="false">"c12349"</definedName>
    <definedName function="false" hidden="true" name="IQ_FFO_SHARE_EST_DET_EST_INCL_CIQ" vbProcedure="false">"c12395"</definedName>
    <definedName function="false" hidden="true" name="IQ_FFO_SHARE_EST_DET_EST_ORIGIN" vbProcedure="false">"c12722"</definedName>
    <definedName function="false" hidden="true" name="IQ_FFO_SHARE_EST_DET_EST_ORIGIN_CIQ" vbProcedure="false">"c12720"</definedName>
    <definedName function="false" hidden="true" name="IQ_FFO_SHARE_EST_DOWN_2MONTH" vbProcedure="false">"c16585"</definedName>
    <definedName function="false" hidden="true" name="IQ_FFO_SHARE_EST_DOWN_2MONTH_CIQ" vbProcedure="false">"c16849"</definedName>
    <definedName function="false" hidden="true" name="IQ_FFO_SHARE_EST_DOWN_3MONTH" vbProcedure="false">"c16589"</definedName>
    <definedName function="false" hidden="true" name="IQ_FFO_SHARE_EST_DOWN_3MONTH_CIQ" vbProcedure="false">"c16853"</definedName>
    <definedName function="false" hidden="true" name="IQ_FFO_SHARE_EST_DOWN_MONTH" vbProcedure="false">"c16581"</definedName>
    <definedName function="false" hidden="true" name="IQ_FFO_SHARE_EST_DOWN_MONTH_CIQ" vbProcedure="false">"c16845"</definedName>
    <definedName function="false" hidden="true" name="IQ_FFO_SHARE_EST_NUM_ANALYSTS_2MONTH" vbProcedure="false">"c16583"</definedName>
    <definedName function="false" hidden="true" name="IQ_FFO_SHARE_EST_NUM_ANALYSTS_2MONTH_CIQ" vbProcedure="false">"c16847"</definedName>
    <definedName function="false" hidden="true" name="IQ_FFO_SHARE_EST_NUM_ANALYSTS_3MONTH" vbProcedure="false">"c16587"</definedName>
    <definedName function="false" hidden="true" name="IQ_FFO_SHARE_EST_NUM_ANALYSTS_3MONTH_CIQ" vbProcedure="false">"c16851"</definedName>
    <definedName function="false" hidden="true" name="IQ_FFO_SHARE_EST_NUM_ANALYSTS_MONTH" vbProcedure="false">"c16579"</definedName>
    <definedName function="false" hidden="true" name="IQ_FFO_SHARE_EST_NUM_ANALYSTS_MONTH_CIQ" vbProcedure="false">"c16843"</definedName>
    <definedName function="false" hidden="true" name="IQ_FFO_SHARE_EST_TOTAL_REVISED_2MONTH" vbProcedure="false">"c16586"</definedName>
    <definedName function="false" hidden="true" name="IQ_FFO_SHARE_EST_TOTAL_REVISED_2MONTH_CIQ" vbProcedure="false">"c16850"</definedName>
    <definedName function="false" hidden="true" name="IQ_FFO_SHARE_EST_TOTAL_REVISED_3MONTH" vbProcedure="false">"c16590"</definedName>
    <definedName function="false" hidden="true" name="IQ_FFO_SHARE_EST_TOTAL_REVISED_3MONTH_CIQ" vbProcedure="false">"c16854"</definedName>
    <definedName function="false" hidden="true" name="IQ_FFO_SHARE_EST_TOTAL_REVISED_MONTH" vbProcedure="false">"c16582"</definedName>
    <definedName function="false" hidden="true" name="IQ_FFO_SHARE_EST_TOTAL_REVISED_MONTH_CIQ" vbProcedure="false">"c16846"</definedName>
    <definedName function="false" hidden="true" name="IQ_FFO_SHARE_EST_UP_2MONTH" vbProcedure="false">"c16584"</definedName>
    <definedName function="false" hidden="true" name="IQ_FFO_SHARE_EST_UP_2MONTH_CIQ" vbProcedure="false">"c16848"</definedName>
    <definedName function="false" hidden="true" name="IQ_FFO_SHARE_EST_UP_3MONTH" vbProcedure="false">"c16588"</definedName>
    <definedName function="false" hidden="true" name="IQ_FFO_SHARE_EST_UP_3MONTH_CIQ" vbProcedure="false">"c16852"</definedName>
    <definedName function="false" hidden="true" name="IQ_FFO_SHARE_EST_UP_MONTH" vbProcedure="false">"c16580"</definedName>
    <definedName function="false" hidden="true" name="IQ_FFO_SHARE_EST_UP_MONTH_CIQ" vbProcedure="false">"c16844"</definedName>
    <definedName function="false" hidden="true" name="IQ_FFO_SHARE_GUIDANCE" vbProcedure="false">"c4447"</definedName>
    <definedName function="false" hidden="true" name="IQ_FFO_SHARE_GUIDANCE_CIQ" vbProcedure="false">"c4976"</definedName>
    <definedName function="false" hidden="true" name="IQ_FFO_SHARE_GUIDANCE_CIQ_COL" vbProcedure="false">"c11623"</definedName>
    <definedName function="false" hidden="true" name="IQ_FFO_SHARE_HIGH_EST" vbProcedure="false">"c4448"</definedName>
    <definedName function="false" hidden="true" name="IQ_FFO_SHARE_HIGH_EST_CIQ" vbProcedure="false">"c3670"</definedName>
    <definedName function="false" hidden="true" name="IQ_FFO_SHARE_HIGH_GUIDANCE" vbProcedure="false">"c4203"</definedName>
    <definedName function="false" hidden="true" name="IQ_FFO_SHARE_HIGH_GUIDANCE_CIQ" vbProcedure="false">"c4615"</definedName>
    <definedName function="false" hidden="true" name="IQ_FFO_SHARE_HIGH_GUIDANCE_CIQ_COL" vbProcedure="false">"c11264"</definedName>
    <definedName function="false" hidden="true" name="IQ_FFO_SHARE_LOW_EST" vbProcedure="false">"c4449"</definedName>
    <definedName function="false" hidden="true" name="IQ_FFO_SHARE_LOW_EST_CIQ" vbProcedure="false">"c3671"</definedName>
    <definedName function="false" hidden="true" name="IQ_FFO_SHARE_LOW_GUIDANCE" vbProcedure="false">"c4243"</definedName>
    <definedName function="false" hidden="true" name="IQ_FFO_SHARE_LOW_GUIDANCE_CIQ" vbProcedure="false">"c4655"</definedName>
    <definedName function="false" hidden="true" name="IQ_FFO_SHARE_LOW_GUIDANCE_CIQ_COL" vbProcedure="false">"c11304"</definedName>
    <definedName function="false" hidden="true" name="IQ_FFO_SHARE_MEDIAN_EST" vbProcedure="false">"c4450"</definedName>
    <definedName function="false" hidden="true" name="IQ_FFO_SHARE_MEDIAN_EST_CIQ" vbProcedure="false">"c3669"</definedName>
    <definedName function="false" hidden="true" name="IQ_FFO_SHARE_NUM_EST" vbProcedure="false">"c4451"</definedName>
    <definedName function="false" hidden="true" name="IQ_FFO_SHARE_NUM_EST_CIQ" vbProcedure="false">"c3672"</definedName>
    <definedName function="false" hidden="true" name="IQ_FFO_SHARE_SHARE_EST_DET_EST" vbProcedure="false">"c12059"</definedName>
    <definedName function="false" hidden="true" name="IQ_FFO_SHARE_SHARE_EST_DET_EST_CIQ" vbProcedure="false">"c12121"</definedName>
    <definedName function="false" hidden="true" name="IQ_FFO_SHARE_SHARE_EST_DET_EST_CURRENCY" vbProcedure="false">"c12466"</definedName>
    <definedName function="false" hidden="true" name="IQ_FFO_SHARE_SHARE_EST_DET_EST_CURRENCY_CIQ" vbProcedure="false">"c12512"</definedName>
    <definedName function="false" hidden="true" name="IQ_FFO_SHARE_SHARE_EST_DET_EST_CURRENCY_THOM" vbProcedure="false">"c12487"</definedName>
    <definedName function="false" hidden="true" name="IQ_FFO_SHARE_SHARE_EST_DET_EST_DATE" vbProcedure="false">"c12212"</definedName>
    <definedName function="false" hidden="true" name="IQ_FFO_SHARE_SHARE_EST_DET_EST_DATE_CIQ" vbProcedure="false">"c12267"</definedName>
    <definedName function="false" hidden="true" name="IQ_FFO_SHARE_SHARE_EST_DET_EST_DATE_THOM" vbProcedure="false">"c12238"</definedName>
    <definedName function="false" hidden="true" name="IQ_FFO_SHARE_SHARE_EST_DET_EST_INCL" vbProcedure="false">"c12349"</definedName>
    <definedName function="false" hidden="true" name="IQ_FFO_SHARE_SHARE_EST_DET_EST_INCL_CIQ" vbProcedure="false">"c12395"</definedName>
    <definedName function="false" hidden="true" name="IQ_FFO_SHARE_SHARE_EST_DET_EST_INCL_THOM" vbProcedure="false">"c12370"</definedName>
    <definedName function="false" hidden="true" name="IQ_FFO_SHARE_SHARE_EST_DET_EST_ORIGIN" vbProcedure="false">"c12722"</definedName>
    <definedName function="false" hidden="true" name="IQ_FFO_SHARE_SHARE_EST_DET_EST_ORIGIN_CIQ" vbProcedure="false">"c12720"</definedName>
    <definedName function="false" hidden="true" name="IQ_FFO_SHARE_SHARE_EST_DET_EST_ORIGIN_THOM" vbProcedure="false">"c12608"</definedName>
    <definedName function="false" hidden="true" name="IQ_FFO_SHARE_SHARE_EST_DET_EST_THOM" vbProcedure="false">"c12088"</definedName>
    <definedName function="false" hidden="true" name="IQ_FFO_SHARE_SHARE_EST_REUT" vbProcedure="false">"c3837"</definedName>
    <definedName function="false" hidden="true" name="IQ_FFO_SHARE_SHARE_EST_THOM" vbProcedure="false">"c3999"</definedName>
    <definedName function="false" hidden="true" name="IQ_FFO_SHARE_SHARE_HIGH_EST_REUT" vbProcedure="false">"c3839"</definedName>
    <definedName function="false" hidden="true" name="IQ_FFO_SHARE_SHARE_HIGH_EST_THOM" vbProcedure="false">"c4001"</definedName>
    <definedName function="false" hidden="true" name="IQ_FFO_SHARE_SHARE_LOW_EST_REUT" vbProcedure="false">"c3840"</definedName>
    <definedName function="false" hidden="true" name="IQ_FFO_SHARE_SHARE_LOW_EST_THOM" vbProcedure="false">"c4002"</definedName>
    <definedName function="false" hidden="true" name="IQ_FFO_SHARE_SHARE_MEDIAN_EST_REUT" vbProcedure="false">"c3838"</definedName>
    <definedName function="false" hidden="true" name="IQ_FFO_SHARE_SHARE_MEDIAN_EST_THOM" vbProcedure="false">"c4000"</definedName>
    <definedName function="false" hidden="true" name="IQ_FFO_SHARE_SHARE_NUM_EST_REUT" vbProcedure="false">"c3841"</definedName>
    <definedName function="false" hidden="true" name="IQ_FFO_SHARE_SHARE_NUM_EST_THOM" vbProcedure="false">"c4003"</definedName>
    <definedName function="false" hidden="true" name="IQ_FFO_SHARE_SHARE_STDDEV_EST_REUT" vbProcedure="false">"c3842"</definedName>
    <definedName function="false" hidden="true" name="IQ_FFO_SHARE_SHARE_STDDEV_EST_THOM" vbProcedure="false">"c4004"</definedName>
    <definedName function="false" hidden="true" name="IQ_FFO_SHARE_STDDEV_EST" vbProcedure="false">"c4452"</definedName>
    <definedName function="false" hidden="true" name="IQ_FFO_SHARE_STDDEV_EST_CIQ" vbProcedure="false">"c3673"</definedName>
    <definedName function="false" hidden="true" name="IQ_FFO_STDDEV_EST" vbProcedure="false">"c422"</definedName>
    <definedName function="false" hidden="true" name="IQ_FFO_STDDEV_EST_CIQ" vbProcedure="false">"c4981"</definedName>
    <definedName function="false" hidden="true" name="IQ_FFO_STDDEV_EST_CIQ_COL" vbProcedure="false">"c11628"</definedName>
    <definedName function="false" hidden="true" name="IQ_FFO_STDDEV_EST_REUT" vbProcedure="false">"c3842"</definedName>
    <definedName function="false" hidden="true" name="IQ_FFO_STDDEV_EST_THOM" vbProcedure="false">"c4004"</definedName>
    <definedName function="false" hidden="true" name="IQ_FFO_TOTAL_REVENUE" vbProcedure="false">"c16060"</definedName>
    <definedName function="false" hidden="true" name="IQ_FH" vbProcedure="false">100000</definedName>
    <definedName function="false" hidden="true" name="IQ_FHLB_ADVANCES_FDIC" vbProcedure="false">"c6366"</definedName>
    <definedName function="false" hidden="true" name="IQ_FHLB_DEBT" vbProcedure="false">"c423"</definedName>
    <definedName function="false" hidden="true" name="IQ_FHLB_DUE_AFTER_FIVE" vbProcedure="false">"c2086"</definedName>
    <definedName function="false" hidden="true" name="IQ_FHLB_DUE_CY" vbProcedure="false">"c2080"</definedName>
    <definedName function="false" hidden="true" name="IQ_FHLB_DUE_CY1" vbProcedure="false">"c2081"</definedName>
    <definedName function="false" hidden="true" name="IQ_FHLB_DUE_CY2" vbProcedure="false">"c2082"</definedName>
    <definedName function="false" hidden="true" name="IQ_FHLB_DUE_CY3" vbProcedure="false">"c2083"</definedName>
    <definedName function="false" hidden="true" name="IQ_FHLB_DUE_CY4" vbProcedure="false">"c2084"</definedName>
    <definedName function="false" hidden="true" name="IQ_FHLB_DUE_NEXT_FIVE" vbProcedure="false">"c2085"</definedName>
    <definedName function="false" hidden="true" name="IQ_FIDUCIARY_ACTIVITIES_FDIC" vbProcedure="false">"c6571"</definedName>
    <definedName function="false" hidden="true" name="IQ_FIDUCIARY_INCOME_OPERATING_INC_FFIEC" vbProcedure="false">"c13383"</definedName>
    <definedName function="false" hidden="true" name="IQ_FIFETEEN_YEAR_FIXED_AND_FLOATING_RATE_FDIC" vbProcedure="false">"c6423"</definedName>
    <definedName function="false" hidden="true" name="IQ_FIFETEEN_YEAR_MORTGAGE_PASS_THROUGHS_FDIC" vbProcedure="false">"c6415"</definedName>
    <definedName function="false" hidden="true" name="IQ_FILINGDATE_BS" vbProcedure="false">"c424"</definedName>
    <definedName function="false" hidden="true" name="IQ_FILINGDATE_CF" vbProcedure="false">"c425"</definedName>
    <definedName function="false" hidden="true" name="IQ_FILINGDATE_IS" vbProcedure="false">"c426"</definedName>
    <definedName function="false" hidden="true" name="IQ_FILING_CURRENCY" vbProcedure="false">"c2129"</definedName>
    <definedName function="false" hidden="true" name="IQ_FILING_CURRENCY_AP" vbProcedure="false">"c11747"</definedName>
    <definedName function="false" hidden="true" name="IQ_FILM_RIGHTS" vbProcedure="false">"c2254"</definedName>
    <definedName function="false" hidden="true" name="IQ_FINANCIAL_LOC_FOREIGN_GUARANTEES_FFIEC" vbProcedure="false">"c13249"</definedName>
    <definedName function="false" hidden="true" name="IQ_FINANCIAL_SERVICING_ASSETS_FAIR_VALUE_TOT_FFIEC" vbProcedure="false">"c13212"</definedName>
    <definedName function="false" hidden="true" name="IQ_FINANCIAL_SERVICING_ASSETS_LEVEL_1_FFIEC" vbProcedure="false">"c13220"</definedName>
    <definedName function="false" hidden="true" name="IQ_FINANCIAL_SERVICING_ASSETS_LEVEL_2_FFIEC" vbProcedure="false">"c13228"</definedName>
    <definedName function="false" hidden="true" name="IQ_FINANCIAL_SERVICING_ASSETS_LEVEL_3_FFIEC" vbProcedure="false">"c13236"</definedName>
    <definedName function="false" hidden="true" name="IQ_FINANCIAL_SERVICING_LIAB_FAIR_VALUE_TOT_FFIEC" vbProcedure="false">"c13215"</definedName>
    <definedName function="false" hidden="true" name="IQ_FINANCIAL_SERVICING_LIAB_LEVEL_1_FFIEC" vbProcedure="false">"c13223"</definedName>
    <definedName function="false" hidden="true" name="IQ_FINANCIAL_SERVICING_LIAB_LEVEL_2_FFIEC" vbProcedure="false">"c13231"</definedName>
    <definedName function="false" hidden="true" name="IQ_FINANCIAL_SERVICING_LIAB_LEVEL_3_FFIEC" vbProcedure="false">"c13239"</definedName>
    <definedName function="false" hidden="true" name="IQ_FINANCING_CASH" vbProcedure="false">"c1405"</definedName>
    <definedName function="false" hidden="true" name="IQ_FINANCING_CASH_SUPPL" vbProcedure="false">"c1406"</definedName>
    <definedName function="false" hidden="true" name="IQ_FINANCING_OBLIG_CURRENT" vbProcedure="false">"c11753"</definedName>
    <definedName function="false" hidden="true" name="IQ_FINANCING_OBLIG_NON_CURRENT" vbProcedure="false">"c11754"</definedName>
    <definedName function="false" hidden="true" name="IQ_FINISHED_INV" vbProcedure="false">"c438"</definedName>
    <definedName function="false" hidden="true" name="IQ_FIN_ARCHITECTURE" vbProcedure="false">"c20386"</definedName>
    <definedName function="false" hidden="true" name="IQ_FIN_COLLECTION_ID" vbProcedure="false">"c13922"</definedName>
    <definedName function="false" hidden="true" name="IQ_FIN_DATA_SOURCE" vbProcedure="false">"c6788"</definedName>
    <definedName function="false" hidden="true" name="IQ_FIN_DIV_ASSETS_CURRENT" vbProcedure="false">"c427"</definedName>
    <definedName function="false" hidden="true" name="IQ_FIN_DIV_ASSETS_LT" vbProcedure="false">"c428"</definedName>
    <definedName function="false" hidden="true" name="IQ_FIN_DIV_CASH_EQUIV" vbProcedure="false">"c6289"</definedName>
    <definedName function="false" hidden="true" name="IQ_FIN_DIV_CURRENT_PORT_DEBT_TOTAL" vbProcedure="false">"c5524"</definedName>
    <definedName function="false" hidden="true" name="IQ_FIN_DIV_CURRENT_PORT_LEASES_TOTAL" vbProcedure="false">"c5523"</definedName>
    <definedName function="false" hidden="true" name="IQ_FIN_DIV_DEBT_CURRENT" vbProcedure="false">"c429"</definedName>
    <definedName function="false" hidden="true" name="IQ_FIN_DIV_DEBT_LT" vbProcedure="false">"c430"</definedName>
    <definedName function="false" hidden="true" name="IQ_FIN_DIV_DEBT_LT_TOTAL" vbProcedure="false">"c5526"</definedName>
    <definedName function="false" hidden="true" name="IQ_FIN_DIV_DEBT_TOTAL" vbProcedure="false">"c5656"</definedName>
    <definedName function="false" hidden="true" name="IQ_FIN_DIV_EXP" vbProcedure="false">"c431"</definedName>
    <definedName function="false" hidden="true" name="IQ_FIN_DIV_INT_EXP" vbProcedure="false">"c432"</definedName>
    <definedName function="false" hidden="true" name="IQ_FIN_DIV_LEASES_LT_TOTAL" vbProcedure="false">"c5525"</definedName>
    <definedName function="false" hidden="true" name="IQ_FIN_DIV_LIAB_CURRENT" vbProcedure="false">"c433"</definedName>
    <definedName function="false" hidden="true" name="IQ_FIN_DIV_LIAB_LT" vbProcedure="false">"c434"</definedName>
    <definedName function="false" hidden="true" name="IQ_FIN_DIV_LOANS_CURRENT" vbProcedure="false">"c435"</definedName>
    <definedName function="false" hidden="true" name="IQ_FIN_DIV_LOANS_LT" vbProcedure="false">"c436"</definedName>
    <definedName function="false" hidden="true" name="IQ_FIN_DIV_LT_DEBT_TOTAL" vbProcedure="false">"c5655"</definedName>
    <definedName function="false" hidden="true" name="IQ_FIN_DIV_NOTES_PAY_TOTAL" vbProcedure="false">"c5522"</definedName>
    <definedName function="false" hidden="true" name="IQ_FIN_DIV_REV" vbProcedure="false">"c437"</definedName>
    <definedName function="false" hidden="true" name="IQ_FIN_DIV_ST_DEBT_TOTAL" vbProcedure="false">"c5527"</definedName>
    <definedName function="false" hidden="true" name="IQ_FIN_DIV_ST_INVEST" vbProcedure="false">"c6288"</definedName>
    <definedName function="false" hidden="true" name="IQ_FIN_INSTANCE_ID" vbProcedure="false">"c13921"</definedName>
    <definedName function="false" hidden="true" name="IQ_FIN_PERIOD_ID" vbProcedure="false">"c13920"</definedName>
    <definedName function="false" hidden="true" name="IQ_FIRSTPRICINGDATE" vbProcedure="false">"c3050"</definedName>
    <definedName function="false" hidden="true" name="IQ_FIRST_INT_DATE" vbProcedure="false">"c2186"</definedName>
    <definedName function="false" hidden="true" name="IQ_FIRST_YEAR_LIFE" vbProcedure="false">"c439"</definedName>
    <definedName function="false" hidden="true" name="IQ_FIRST_YEAR_LIFE_PREM" vbProcedure="false">"c2787"</definedName>
    <definedName function="false" hidden="true" name="IQ_FIRST_YEAR_PREM" vbProcedure="false">"c2786"</definedName>
    <definedName function="false" hidden="true" name="IQ_FISCAL_Q" vbProcedure="false">"c440"</definedName>
    <definedName function="false" hidden="true" name="IQ_FISCAL_Q_EST" vbProcedure="false">"c6794"</definedName>
    <definedName function="false" hidden="true" name="IQ_FISCAL_Q_EST_CIQ" vbProcedure="false">"c6806"</definedName>
    <definedName function="false" hidden="true" name="IQ_FISCAL_Q_EST_CIQ_COL" vbProcedure="false">"c11741"</definedName>
    <definedName function="false" hidden="true" name="IQ_FISCAL_Q_EST_REUT" vbProcedure="false">"c6798"</definedName>
    <definedName function="false" hidden="true" name="IQ_FISCAL_Q_EST_THOM" vbProcedure="false">"c6802"</definedName>
    <definedName function="false" hidden="true" name="IQ_FISCAL_Y" vbProcedure="false">"c441"</definedName>
    <definedName function="false" hidden="true" name="IQ_FISCAL_Y_EST" vbProcedure="false">"c6795"</definedName>
    <definedName function="false" hidden="true" name="IQ_FISCAL_Y_EST_CIQ" vbProcedure="false">"c6807"</definedName>
    <definedName function="false" hidden="true" name="IQ_FISCAL_Y_EST_CIQ_COL" vbProcedure="false">"c11742"</definedName>
    <definedName function="false" hidden="true" name="IQ_FISCAL_Y_EST_REUT" vbProcedure="false">"c6799"</definedName>
    <definedName function="false" hidden="true" name="IQ_FISCAL_Y_EST_THOM" vbProcedure="false">"c6803"</definedName>
    <definedName function="false" hidden="true" name="IQ_FIVEPERCENT_OWNER" vbProcedure="false">"c239"</definedName>
    <definedName function="false" hidden="true" name="IQ_FIVEPERCENT_PERCENT" vbProcedure="false">"c443"</definedName>
    <definedName function="false" hidden="true" name="IQ_FIVEPERCENT_SHARES" vbProcedure="false">"c444"</definedName>
    <definedName function="false" hidden="true" name="IQ_FIVE_PERCENT_AMOUNT" vbProcedure="false">"c240"</definedName>
    <definedName function="false" hidden="true" name="IQ_FIVE_PERCENT_CIQID" vbProcedure="false">"c19094"</definedName>
    <definedName function="false" hidden="true" name="IQ_FIVE_PERCENT_DERIVATIVES" vbProcedure="false">"c19096"</definedName>
    <definedName function="false" hidden="true" name="IQ_FIVE_PERCENT_NAME" vbProcedure="false">"c19093"</definedName>
    <definedName function="false" hidden="true" name="IQ_FIVE_PERCENT_OWNER" vbProcedure="false">"c442"</definedName>
    <definedName function="false" hidden="true" name="IQ_FIVE_PERCENT_PERCENT" vbProcedure="false">"c19097"</definedName>
    <definedName function="false" hidden="true" name="IQ_FIVE_PERCENT_POSITION_DATE" vbProcedure="false">"c19099"</definedName>
    <definedName function="false" hidden="true" name="IQ_FIVE_PERCENT_SHARES" vbProcedure="false">"c19095"</definedName>
    <definedName function="false" hidden="true" name="IQ_FIVE_PERCENT_VALUE" vbProcedure="false">"c19098"</definedName>
    <definedName function="false" hidden="true" name="IQ_FIVE_YEAR_FIXED_AND_FLOATING_RATE_FDIC" vbProcedure="false">"c6422"</definedName>
    <definedName function="false" hidden="true" name="IQ_FIVE_YEAR_MORTGAGE_PASS_THROUGHS_FDIC" vbProcedure="false">"c6414"</definedName>
    <definedName function="false" hidden="true" name="IQ_FIXED_ASSET_TURNS" vbProcedure="false">"c445"</definedName>
    <definedName function="false" hidden="true" name="IQ_FIXED_INCOME_LIST" vbProcedure="false">"c13504"</definedName>
    <definedName function="false" hidden="true" name="IQ_FIXED_INVEST_APR_FC_UNUSED" vbProcedure="false">"c8410"</definedName>
    <definedName function="false" hidden="true" name="IQ_FIXED_INVEST_APR_FC_UNUSED_UNUSED_UNUSED" vbProcedure="false">"c8410"</definedName>
    <definedName function="false" hidden="true" name="IQ_FIXED_INVEST_APR_UNUSED" vbProcedure="false">"c7530"</definedName>
    <definedName function="false" hidden="true" name="IQ_FIXED_INVEST_APR_UNUSED_UNUSED_UNUSED" vbProcedure="false">"c7530"</definedName>
    <definedName function="false" hidden="true" name="IQ_FIXED_INVEST_FC_UNUSED" vbProcedure="false">"c7750"</definedName>
    <definedName function="false" hidden="true" name="IQ_FIXED_INVEST_FC_UNUSED_UNUSED_UNUSED" vbProcedure="false">"c7750"</definedName>
    <definedName function="false" hidden="true" name="IQ_FIXED_INVEST_MACH_EQUIP" vbProcedure="false">"c6871"</definedName>
    <definedName function="false" hidden="true" name="IQ_FIXED_INVEST_MACH_EQUIP_APR" vbProcedure="false">"c7531"</definedName>
    <definedName function="false" hidden="true" name="IQ_FIXED_INVEST_MACH_EQUIP_APR_FC" vbProcedure="false">"c8411"</definedName>
    <definedName function="false" hidden="true" name="IQ_FIXED_INVEST_MACH_EQUIP_FC" vbProcedure="false">"c7751"</definedName>
    <definedName function="false" hidden="true" name="IQ_FIXED_INVEST_MACH_EQUIP_POP" vbProcedure="false">"c7091"</definedName>
    <definedName function="false" hidden="true" name="IQ_FIXED_INVEST_MACH_EQUIP_POP_FC" vbProcedure="false">"c7971"</definedName>
    <definedName function="false" hidden="true" name="IQ_FIXED_INVEST_MACH_EQUIP_REAL" vbProcedure="false">"c6979"</definedName>
    <definedName function="false" hidden="true" name="IQ_FIXED_INVEST_MACH_EQUIP_REAL_APR" vbProcedure="false">"c7639"</definedName>
    <definedName function="false" hidden="true" name="IQ_FIXED_INVEST_MACH_EQUIP_REAL_APR_FC" vbProcedure="false">"c8519"</definedName>
    <definedName function="false" hidden="true" name="IQ_FIXED_INVEST_MACH_EQUIP_REAL_FC" vbProcedure="false">"c7859"</definedName>
    <definedName function="false" hidden="true" name="IQ_FIXED_INVEST_MACH_EQUIP_REAL_POP" vbProcedure="false">"c7199"</definedName>
    <definedName function="false" hidden="true" name="IQ_FIXED_INVEST_MACH_EQUIP_REAL_POP_FC" vbProcedure="false">"c8079"</definedName>
    <definedName function="false" hidden="true" name="IQ_FIXED_INVEST_MACH_EQUIP_REAL_YOY" vbProcedure="false">"c7419"</definedName>
    <definedName function="false" hidden="true" name="IQ_FIXED_INVEST_MACH_EQUIP_REAL_YOY_FC" vbProcedure="false">"c8299"</definedName>
    <definedName function="false" hidden="true" name="IQ_FIXED_INVEST_MACH_EQUIP_YOY" vbProcedure="false">"c7311"</definedName>
    <definedName function="false" hidden="true" name="IQ_FIXED_INVEST_MACH_EQUIP_YOY_FC" vbProcedure="false">"c8191"</definedName>
    <definedName function="false" hidden="true" name="IQ_FIXED_INVEST_POP_FC_UNUSED" vbProcedure="false">"c7970"</definedName>
    <definedName function="false" hidden="true" name="IQ_FIXED_INVEST_POP_FC_UNUSED_UNUSED_UNUSED" vbProcedure="false">"c7970"</definedName>
    <definedName function="false" hidden="true" name="IQ_FIXED_INVEST_POP_UNUSED" vbProcedure="false">"c7090"</definedName>
    <definedName function="false" hidden="true" name="IQ_FIXED_INVEST_POP_UNUSED_UNUSED_UNUSED" vbProcedure="false">"c7090"</definedName>
    <definedName function="false" hidden="true" name="IQ_FIXED_INVEST_REAL_APR_FC_UNUSED" vbProcedure="false">"c8518"</definedName>
    <definedName function="false" hidden="true" name="IQ_FIXED_INVEST_REAL_APR_FC_UNUSED_UNUSED_UNUSED" vbProcedure="false">"c8518"</definedName>
    <definedName function="false" hidden="true" name="IQ_FIXED_INVEST_REAL_APR_UNUSED" vbProcedure="false">"c7638"</definedName>
    <definedName function="false" hidden="true" name="IQ_FIXED_INVEST_REAL_APR_UNUSED_UNUSED_UNUSED" vbProcedure="false">"c7638"</definedName>
    <definedName function="false" hidden="true" name="IQ_FIXED_INVEST_REAL_FC_UNUSED" vbProcedure="false">"c7858"</definedName>
    <definedName function="false" hidden="true" name="IQ_FIXED_INVEST_REAL_FC_UNUSED_UNUSED_UNUSED" vbProcedure="false">"c7858"</definedName>
    <definedName function="false" hidden="true" name="IQ_FIXED_INVEST_REAL_POP_FC_UNUSED" vbProcedure="false">"c8078"</definedName>
    <definedName function="false" hidden="true" name="IQ_FIXED_INVEST_REAL_POP_FC_UNUSED_UNUSED_UNUSED" vbProcedure="false">"c8078"</definedName>
    <definedName function="false" hidden="true" name="IQ_FIXED_INVEST_REAL_POP_UNUSED" vbProcedure="false">"c7198"</definedName>
    <definedName function="false" hidden="true" name="IQ_FIXED_INVEST_REAL_POP_UNUSED_UNUSED_UNUSED" vbProcedure="false">"c7198"</definedName>
    <definedName function="false" hidden="true" name="IQ_FIXED_INVEST_REAL_SAAR" vbProcedure="false">"c6980"</definedName>
    <definedName function="false" hidden="true" name="IQ_FIXED_INVEST_REAL_SAAR_APR" vbProcedure="false">"c7640"</definedName>
    <definedName function="false" hidden="true" name="IQ_FIXED_INVEST_REAL_SAAR_APR_FC" vbProcedure="false">"c8520"</definedName>
    <definedName function="false" hidden="true" name="IQ_FIXED_INVEST_REAL_SAAR_FC" vbProcedure="false">"c7860"</definedName>
    <definedName function="false" hidden="true" name="IQ_FIXED_INVEST_REAL_SAAR_POP" vbProcedure="false">"c7200"</definedName>
    <definedName function="false" hidden="true" name="IQ_FIXED_INVEST_REAL_SAAR_POP_FC" vbProcedure="false">"c8080"</definedName>
    <definedName function="false" hidden="true" name="IQ_FIXED_INVEST_REAL_SAAR_USD_APR_FC" vbProcedure="false">"c11945"</definedName>
    <definedName function="false" hidden="true" name="IQ_FIXED_INVEST_REAL_SAAR_USD_FC" vbProcedure="false">"c11942"</definedName>
    <definedName function="false" hidden="true" name="IQ_FIXED_INVEST_REAL_SAAR_USD_POP_FC" vbProcedure="false">"c11943"</definedName>
    <definedName function="false" hidden="true" name="IQ_FIXED_INVEST_REAL_SAAR_USD_YOY_FC" vbProcedure="false">"c11944"</definedName>
    <definedName function="false" hidden="true" name="IQ_FIXED_INVEST_REAL_SAAR_YOY" vbProcedure="false">"c7420"</definedName>
    <definedName function="false" hidden="true" name="IQ_FIXED_INVEST_REAL_SAAR_YOY_FC" vbProcedure="false">"c8300"</definedName>
    <definedName function="false" hidden="true" name="IQ_FIXED_INVEST_REAL_UNUSED" vbProcedure="false">"c6978"</definedName>
    <definedName function="false" hidden="true" name="IQ_FIXED_INVEST_REAL_UNUSED_UNUSED_UNUSED" vbProcedure="false">"c6978"</definedName>
    <definedName function="false" hidden="true" name="IQ_FIXED_INVEST_REAL_USD_APR_FC" vbProcedure="false">"c11941"</definedName>
    <definedName function="false" hidden="true" name="IQ_FIXED_INVEST_REAL_USD_FC" vbProcedure="false">"c11938"</definedName>
    <definedName function="false" hidden="true" name="IQ_FIXED_INVEST_REAL_USD_POP_FC" vbProcedure="false">"c11939"</definedName>
    <definedName function="false" hidden="true" name="IQ_FIXED_INVEST_REAL_USD_YOY_FC" vbProcedure="false">"c11940"</definedName>
    <definedName function="false" hidden="true" name="IQ_FIXED_INVEST_REAL_YOY_FC_UNUSED" vbProcedure="false">"c8298"</definedName>
    <definedName function="false" hidden="true" name="IQ_FIXED_INVEST_REAL_YOY_FC_UNUSED_UNUSED_UNUSED" vbProcedure="false">"c8298"</definedName>
    <definedName function="false" hidden="true" name="IQ_FIXED_INVEST_REAL_YOY_UNUSED" vbProcedure="false">"c7418"</definedName>
    <definedName function="false" hidden="true" name="IQ_FIXED_INVEST_REAL_YOY_UNUSED_UNUSED_UNUSED" vbProcedure="false">"c7418"</definedName>
    <definedName function="false" hidden="true" name="IQ_FIXED_INVEST_SAAR" vbProcedure="false">"c6872"</definedName>
    <definedName function="false" hidden="true" name="IQ_FIXED_INVEST_SAAR_APR" vbProcedure="false">"c7532"</definedName>
    <definedName function="false" hidden="true" name="IQ_FIXED_INVEST_SAAR_APR_FC" vbProcedure="false">"c8412"</definedName>
    <definedName function="false" hidden="true" name="IQ_FIXED_INVEST_SAAR_FC" vbProcedure="false">"c7752"</definedName>
    <definedName function="false" hidden="true" name="IQ_FIXED_INVEST_SAAR_POP" vbProcedure="false">"c7092"</definedName>
    <definedName function="false" hidden="true" name="IQ_FIXED_INVEST_SAAR_POP_FC" vbProcedure="false">"c7972"</definedName>
    <definedName function="false" hidden="true" name="IQ_FIXED_INVEST_SAAR_USD_APR_FC" vbProcedure="false">"c11833"</definedName>
    <definedName function="false" hidden="true" name="IQ_FIXED_INVEST_SAAR_USD_FC" vbProcedure="false">"c11830"</definedName>
    <definedName function="false" hidden="true" name="IQ_FIXED_INVEST_SAAR_USD_POP_FC" vbProcedure="false">"c11831"</definedName>
    <definedName function="false" hidden="true" name="IQ_FIXED_INVEST_SAAR_USD_YOY_FC" vbProcedure="false">"c11832"</definedName>
    <definedName function="false" hidden="true" name="IQ_FIXED_INVEST_SAAR_YOY" vbProcedure="false">"c7312"</definedName>
    <definedName function="false" hidden="true" name="IQ_FIXED_INVEST_SAAR_YOY_FC" vbProcedure="false">"c8192"</definedName>
    <definedName function="false" hidden="true" name="IQ_FIXED_INVEST_UNUSED" vbProcedure="false">"c6870"</definedName>
    <definedName function="false" hidden="true" name="IQ_FIXED_INVEST_UNUSED_UNUSED_UNUSED" vbProcedure="false">"c6870"</definedName>
    <definedName function="false" hidden="true" name="IQ_FIXED_INVEST_USD_APR_FC" vbProcedure="false">"c11829"</definedName>
    <definedName function="false" hidden="true" name="IQ_FIXED_INVEST_USD_FC" vbProcedure="false">"c11826"</definedName>
    <definedName function="false" hidden="true" name="IQ_FIXED_INVEST_USD_POP_FC" vbProcedure="false">"c11827"</definedName>
    <definedName function="false" hidden="true" name="IQ_FIXED_INVEST_USD_YOY_FC" vbProcedure="false">"c11828"</definedName>
    <definedName function="false" hidden="true" name="IQ_FIXED_INVEST_YOY_FC_UNUSED" vbProcedure="false">"c8190"</definedName>
    <definedName function="false" hidden="true" name="IQ_FIXED_INVEST_YOY_FC_UNUSED_UNUSED_UNUSED" vbProcedure="false">"c8190"</definedName>
    <definedName function="false" hidden="true" name="IQ_FIXED_INVEST_YOY_UNUSED" vbProcedure="false">"c7310"</definedName>
    <definedName function="false" hidden="true" name="IQ_FIXED_INVEST_YOY_UNUSED_UNUSED_UNUSED" vbProcedure="false">"c7310"</definedName>
    <definedName function="false" hidden="true" name="IQ_FIX_FREQUENCY" vbProcedure="false">"c8964"</definedName>
    <definedName function="false" hidden="true" name="IQ_FLOAT" vbProcedure="false">"c17421"</definedName>
    <definedName function="false" hidden="true" name="IQ_FLOAT_PERCENT" vbProcedure="false">"c1575"</definedName>
    <definedName function="false" hidden="true" name="IQ_FNMA_FHLMC_FDIC" vbProcedure="false">"c6397"</definedName>
    <definedName function="false" hidden="true" name="IQ_FNMA_FHLMC_GNMA_FDIC" vbProcedure="false">"c6399"</definedName>
    <definedName function="false" hidden="true" name="IQ_FORECLOSED_PROPERTIES_FDIC" vbProcedure="false">"c6459"</definedName>
    <definedName function="false" hidden="true" name="IQ_FORECLOSED_PROP_GNMA_LOANS_FFIEC" vbProcedure="false">"c15272"</definedName>
    <definedName function="false" hidden="true" name="IQ_FOREIGN_BANKS_DEPOSITS_FOREIGN_FDIC" vbProcedure="false">"c6481"</definedName>
    <definedName function="false" hidden="true" name="IQ_FOREIGN_BANKS_DUE_30_89_FFIEC" vbProcedure="false">"c13269"</definedName>
    <definedName function="false" hidden="true" name="IQ_FOREIGN_BANKS_DUE_90_FFIEC" vbProcedure="false">"c13295"</definedName>
    <definedName function="false" hidden="true" name="IQ_FOREIGN_BANKS_LOAN_CHARG_OFFS_FDIC" vbProcedure="false">"c6645"</definedName>
    <definedName function="false" hidden="true" name="IQ_FOREIGN_BANKS_NET_CHARGE_OFFS_FDIC" vbProcedure="false">"c6647"</definedName>
    <definedName function="false" hidden="true" name="IQ_FOREIGN_BANKS_NONTRANSACTION_ACCOUNTS_FDIC" vbProcedure="false">"c6550"</definedName>
    <definedName function="false" hidden="true" name="IQ_FOREIGN_BANKS_NON_ACCRUAL_FFIEC" vbProcedure="false">"c13321"</definedName>
    <definedName function="false" hidden="true" name="IQ_FOREIGN_BANKS_RECOVERIES_FDIC" vbProcedure="false">"c6646"</definedName>
    <definedName function="false" hidden="true" name="IQ_FOREIGN_BANKS_TRANSACTION_ACCOUNTS_FDIC" vbProcedure="false">"c6542"</definedName>
    <definedName function="false" hidden="true" name="IQ_FOREIGN_BANK_LOANS_FDIC" vbProcedure="false">"c6437"</definedName>
    <definedName function="false" hidden="true" name="IQ_FOREIGN_BRANCHES_U.S._BANKS_LOANS_FDIC" vbProcedure="false">"c6438"</definedName>
    <definedName function="false" hidden="true" name="IQ_FOREIGN_BRANCHES_US_BANKS_FDIC" vbProcedure="false">"c6392"</definedName>
    <definedName function="false" hidden="true" name="IQ_FOREIGN_BRANCHES_US_BANKS_LOANS_FDIC" vbProcedure="false">"c6438"</definedName>
    <definedName function="false" hidden="true" name="IQ_FOREIGN_COUNTRIES_BANKS_TOTAL_LOANS_FOREIGN_FDIC" vbProcedure="false">"c6445"</definedName>
    <definedName function="false" hidden="true" name="IQ_FOREIGN_DEBT_SECURITIES_FDIC" vbProcedure="false">"c6303"</definedName>
    <definedName function="false" hidden="true" name="IQ_FOREIGN_DEPOSITS_ASSETS_TOT_FFIEC" vbProcedure="false">"c13445"</definedName>
    <definedName function="false" hidden="true" name="IQ_FOREIGN_DEPOSITS_NONTRANSACTION_ACCOUNTS_FDIC" vbProcedure="false">"c6549"</definedName>
    <definedName function="false" hidden="true" name="IQ_FOREIGN_DEPOSITS_TOTAL_DEPOSITS" vbProcedure="false">"c15719"</definedName>
    <definedName function="false" hidden="true" name="IQ_FOREIGN_DEPOSITS_TOT_FFIEC" vbProcedure="false">"c13486"</definedName>
    <definedName function="false" hidden="true" name="IQ_FOREIGN_DEPOSITS_TRANSACTION_ACCOUNTS_FDIC" vbProcedure="false">"c6541"</definedName>
    <definedName function="false" hidden="true" name="IQ_FOREIGN_DEP_IB" vbProcedure="false">"c446"</definedName>
    <definedName function="false" hidden="true" name="IQ_FOREIGN_DEP_NON_IB" vbProcedure="false">"c447"</definedName>
    <definedName function="false" hidden="true" name="IQ_FOREIGN_EXCHANGE" vbProcedure="false">"c1376"</definedName>
    <definedName function="false" hidden="true" name="IQ_FOREIGN_EXCHANGE_EXPOSURES_FDIC" vbProcedure="false">"c6663"</definedName>
    <definedName function="false" hidden="true" name="IQ_FOREIGN_GOVERNMENTS_CHARGE_OFFS_FDIC" vbProcedure="false">"c6600"</definedName>
    <definedName function="false" hidden="true" name="IQ_FOREIGN_GOVERNMENTS_DEPOSITS_FOREIGN_FDIC" vbProcedure="false">"c6482"</definedName>
    <definedName function="false" hidden="true" name="IQ_FOREIGN_GOVERNMENTS_NET_CHARGE_OFFS_FDIC" vbProcedure="false">"c6638"</definedName>
    <definedName function="false" hidden="true" name="IQ_FOREIGN_GOVERNMENTS_NONTRANSACTION_ACCOUNTS_FDIC" vbProcedure="false">"c6551"</definedName>
    <definedName function="false" hidden="true" name="IQ_FOREIGN_GOVERNMENTS_RECOVERIES_FDIC" vbProcedure="false">"c6619"</definedName>
    <definedName function="false" hidden="true" name="IQ_FOREIGN_GOVERNMENTS_TOTAL_DEPOSITS_FDIC" vbProcedure="false">"c6476"</definedName>
    <definedName function="false" hidden="true" name="IQ_FOREIGN_GOVERNMENTS_TRANSACTION_ACCOUNTS_FDIC" vbProcedure="false">"c6543"</definedName>
    <definedName function="false" hidden="true" name="IQ_FOREIGN_GOVERNMENT_LOANS_FDIC" vbProcedure="false">"c6430"</definedName>
    <definedName function="false" hidden="true" name="IQ_FOREIGN_GOVT_OFFICIAL_INST_FOREIGN_DEP_FFIEC" vbProcedure="false">"c15345"</definedName>
    <definedName function="false" hidden="true" name="IQ_FOREIGN_GOVT_OFFICIAL_INST_NON_TRANS_ACCTS_FFIEC" vbProcedure="false">"c15327"</definedName>
    <definedName function="false" hidden="true" name="IQ_FOREIGN_GOVT_OFFICIAL_INST_TRANS_ACCTS_FFIEC" vbProcedure="false">"c15319"</definedName>
    <definedName function="false" hidden="true" name="IQ_FOREIGN_LL_REC_FFIEC" vbProcedure="false">"c12892"</definedName>
    <definedName function="false" hidden="true" name="IQ_FOREIGN_LOANS" vbProcedure="false">"c448"</definedName>
    <definedName function="false" hidden="true" name="IQ_FOREIGN_LOANS_LEASES_FOREIGN_FFIEC" vbProcedure="false">"c13478"</definedName>
    <definedName function="false" hidden="true" name="IQ_FOREIGN_LOANS_TOTAL_LOANS" vbProcedure="false">"c15714"</definedName>
    <definedName function="false" hidden="true" name="IQ_FOUNDATION_OVER_TOTAL" vbProcedure="false">"c13769"</definedName>
    <definedName function="false" hidden="true" name="IQ_FQ" vbProcedure="false">500</definedName>
    <definedName function="false" hidden="true" name="IQ_FTOOL_CAPEX" vbProcedure="false">"c16212"</definedName>
    <definedName function="false" hidden="true" name="IQ_FTOOL_CASH" vbProcedure="false">"c16213"</definedName>
    <definedName function="false" hidden="true" name="IQ_FTOOL_CASH_INVEST" vbProcedure="false">"c16214"</definedName>
    <definedName function="false" hidden="true" name="IQ_FTOOL_EBT" vbProcedure="false">"c16215"</definedName>
    <definedName function="false" hidden="true" name="IQ_FTOOL_NI" vbProcedure="false">"c16216"</definedName>
    <definedName function="false" hidden="true" name="IQ_FTOOL_NI_CF" vbProcedure="false">"c16206"</definedName>
    <definedName function="false" hidden="true" name="IQ_FTOOL_NUMBER_SHAREHOLDERS" vbProcedure="false">"c16207"</definedName>
    <definedName function="false" hidden="true" name="IQ_FTOOL_SHARES_PER_DR" vbProcedure="false">"c16208"</definedName>
    <definedName function="false" hidden="true" name="IQ_FTOOL_TOTAL_ASSETS" vbProcedure="false">"c16209"</definedName>
    <definedName function="false" hidden="true" name="IQ_FTOOL_TOTAL_LIAB_EQUITY" vbProcedure="false">"c16210"</definedName>
    <definedName function="false" hidden="true" name="IQ_FTOOL_TOTAL_REV" vbProcedure="false">"c16211"</definedName>
    <definedName function="false" hidden="true" name="IQ_FUEL" vbProcedure="false">"c449"</definedName>
    <definedName function="false" hidden="true" name="IQ_FULLY_INSURED_BROKERED_DEPOSITS_FFIEC" vbProcedure="false">"c15305"</definedName>
    <definedName function="false" hidden="true" name="IQ_FULLY_INSURED_DEPOSITS_FDIC" vbProcedure="false">"c6487"</definedName>
    <definedName function="false" hidden="true" name="IQ_FULL_TIME" vbProcedure="false">"c450"</definedName>
    <definedName function="false" hidden="true" name="IQ_FUNDING_DEPENDENCE_FFIEC" vbProcedure="false">"c13336"</definedName>
    <definedName function="false" hidden="true" name="IQ_FUNDING_DEPENDENCE_ST_FFIEC" vbProcedure="false">"c13337"</definedName>
    <definedName function="false" hidden="true" name="IQ_FUNDS_PURCHASED_ASSETS_TOT_FFIEC" vbProcedure="false">"c13446"</definedName>
    <definedName function="false" hidden="true" name="IQ_FUND_ANALYSIS" vbProcedure="false">"c19198"</definedName>
    <definedName function="false" hidden="true" name="IQ_FUND_AUTHORIZED_SALE" vbProcedure="false">"c19199"</definedName>
    <definedName function="false" hidden="true" name="IQ_FUND_BENCHMARK" vbProcedure="false">"c19200"</definedName>
    <definedName function="false" hidden="true" name="IQ_FUND_BENCHMARK_ID" vbProcedure="false">"c19201"</definedName>
    <definedName function="false" hidden="true" name="IQ_FUND_DISCOUNT_OR_PREMIUM" vbProcedure="false">"c19242"</definedName>
    <definedName function="false" hidden="true" name="IQ_FUND_FEE_INC_NON_INT_INC_FFIEC" vbProcedure="false">"c13493"</definedName>
    <definedName function="false" hidden="true" name="IQ_FUND_GEOGRAPHIC_MANDATE" vbProcedure="false">"c19195"</definedName>
    <definedName function="false" hidden="true" name="IQ_FUND_MARKET_CAP_EMPHASIS" vbProcedure="false">"c19197"</definedName>
    <definedName function="false" hidden="true" name="IQ_FUND_NAV" vbProcedure="false">"c15225"</definedName>
    <definedName function="false" hidden="true" name="IQ_FUND_PRIMARY_ADVISOR" vbProcedure="false">"c19091"</definedName>
    <definedName function="false" hidden="true" name="IQ_FUND_SECTOR_EMPHASIS" vbProcedure="false">"c19196"</definedName>
    <definedName function="false" hidden="true" name="IQ_FUND_VEHICLE_TYPE" vbProcedure="false">"c19194"</definedName>
    <definedName function="false" hidden="true" name="IQ_FUTURES_FORWARD_CONTRACTS_NOTIONAL_AMOUNT_FDIC" vbProcedure="false">"c6518"</definedName>
    <definedName function="false" hidden="true" name="IQ_FUTURES_FORWARD_CONTRACTS_RATE_RISK_FDIC" vbProcedure="false">"c6508"</definedName>
    <definedName function="false" hidden="true" name="IQ_FWD" vbProcedure="false">"LTM"</definedName>
    <definedName function="false" hidden="true" name="IQ_FWD1" vbProcedure="false">"LTM"</definedName>
    <definedName function="false" hidden="true" name="IQ_FWD_CY" vbProcedure="false">10001</definedName>
    <definedName function="false" hidden="true" name="IQ_FWD_CY1" vbProcedure="false">10002</definedName>
    <definedName function="false" hidden="true" name="IQ_FWD_CY2" vbProcedure="false">10003</definedName>
    <definedName function="false" hidden="true" name="IQ_FWD_FY" vbProcedure="false">1001</definedName>
    <definedName function="false" hidden="true" name="IQ_FWD_FY1" vbProcedure="false">1002</definedName>
    <definedName function="false" hidden="true" name="IQ_FWD_FY2" vbProcedure="false">1003</definedName>
    <definedName function="false" hidden="true" name="IQ_FWD_Q" vbProcedure="false">501</definedName>
    <definedName function="false" hidden="true" name="IQ_FWD_Q1" vbProcedure="false">502</definedName>
    <definedName function="false" hidden="true" name="IQ_FWD_Q2" vbProcedure="false">503</definedName>
    <definedName function="false" hidden="true" name="IQ_FWD_Q3" vbProcedure="false">"504"</definedName>
    <definedName function="false" hidden="true" name="IQ_FWD_Q4" vbProcedure="false">"505"</definedName>
    <definedName function="false" hidden="true" name="IQ_FWD_Q5" vbProcedure="false">"506"</definedName>
    <definedName function="false" hidden="true" name="IQ_FWD_Q6" vbProcedure="false">"507"</definedName>
    <definedName function="false" hidden="true" name="IQ_FWD_Q7" vbProcedure="false">"508"</definedName>
    <definedName function="false" hidden="true" name="IQ_FX" vbProcedure="false">"c451"</definedName>
    <definedName function="false" hidden="true" name="IQ_FX_CONTRACTS_FDIC" vbProcedure="false">"c6517"</definedName>
    <definedName function="false" hidden="true" name="IQ_FX_CONTRACTS_FFIEC" vbProcedure="false">"c13125"</definedName>
    <definedName function="false" hidden="true" name="IQ_FX_CONTRACTS_SPOT_FDIC" vbProcedure="false">"c6356"</definedName>
    <definedName function="false" hidden="true" name="IQ_FX_EXPOSURE_FFIEC" vbProcedure="false">"c13059"</definedName>
    <definedName function="false" hidden="true" name="IQ_FY" vbProcedure="false">1000</definedName>
    <definedName function="false" hidden="true" name="IQ_FY_DATE" vbProcedure="false">"IQ_FY_DATE"</definedName>
    <definedName function="false" hidden="true" name="IQ_GAAP_BS" vbProcedure="false">"c6789"</definedName>
    <definedName function="false" hidden="true" name="IQ_GAAP_CF" vbProcedure="false">"c6790"</definedName>
    <definedName function="false" hidden="true" name="IQ_GAAP_COMBINED_RATIO" vbProcedure="false">"c2781"</definedName>
    <definedName function="false" hidden="true" name="IQ_GAAP_COMBINED_RATIO_EXCL_CL" vbProcedure="false">"c2782"</definedName>
    <definedName function="false" hidden="true" name="IQ_GAAP_EST_CIQ" vbProcedure="false">"c13924"</definedName>
    <definedName function="false" hidden="true" name="IQ_GAAP_EXPENSE_RATIO" vbProcedure="false">"c2780"</definedName>
    <definedName function="false" hidden="true" name="IQ_GAAP_IS" vbProcedure="false">"c6194"</definedName>
    <definedName function="false" hidden="true" name="IQ_GAAP_LOSS" vbProcedure="false">"c2779"</definedName>
    <definedName function="false" hidden="true" name="IQ_GAINS_AFS_AVG_ASSETS_FFIEC" vbProcedure="false">"c13364"</definedName>
    <definedName function="false" hidden="true" name="IQ_GAINS_ASSETS_TOT_FFIEC" vbProcedure="false">"c13073"</definedName>
    <definedName function="false" hidden="true" name="IQ_GAINS_AVAIL_SALE_EQUITY_SEC_T2_FFIEC" vbProcedure="false">"c13147"</definedName>
    <definedName function="false" hidden="true" name="IQ_GAINS_AVAIL_SALE_SEC_T1_FFIEC" vbProcedure="false">"c13131"</definedName>
    <definedName function="false" hidden="true" name="IQ_GAINS_CASH_FLOW_HEDGES_T1_FFIEC" vbProcedure="false">"c13133"</definedName>
    <definedName function="false" hidden="true" name="IQ_GAINS_HTM_AVG_ASSETS_FFIEC" vbProcedure="false">"c13363"</definedName>
    <definedName function="false" hidden="true" name="IQ_GAINS_INSTRUMENT_SPECIFIC_CREDIT_RISK_LIAB_FFIEC" vbProcedure="false">"c13076"</definedName>
    <definedName function="false" hidden="true" name="IQ_GAINS_INSTRUMENT_SPECIFIC_RISK_FFIEC" vbProcedure="false">"c13074"</definedName>
    <definedName function="false" hidden="true" name="IQ_GAINS_INSURANCE_ACTIVITIES_FFIEC" vbProcedure="false">"c13072"</definedName>
    <definedName function="false" hidden="true" name="IQ_GAINS_LIABILITIES_FFIEC" vbProcedure="false">"c13075"</definedName>
    <definedName function="false" hidden="true" name="IQ_GAINS_SALE_ASSETS_FDIC" vbProcedure="false">"c6675"</definedName>
    <definedName function="false" hidden="true" name="IQ_GAINS_SALE_LOANS_LEASES_FFIEC" vbProcedure="false">"c13013"</definedName>
    <definedName function="false" hidden="true" name="IQ_GAINS_SALE_OTHER_ASSETS_FFIEC" vbProcedure="false">"c13015"</definedName>
    <definedName function="false" hidden="true" name="IQ_GAINS_SALE_OTHER_RE_OWNED_FFIEC" vbProcedure="false">"c13014"</definedName>
    <definedName function="false" hidden="true" name="IQ_GAINS_SECURITIZATION_OPERATING_INC_FFIEC" vbProcedure="false">"c13391"</definedName>
    <definedName function="false" hidden="true" name="IQ_GAIN_ASSETS" vbProcedure="false">"c452"</definedName>
    <definedName function="false" hidden="true" name="IQ_GAIN_ASSETS_BNK" vbProcedure="false">"c453"</definedName>
    <definedName function="false" hidden="true" name="IQ_GAIN_ASSETS_BR" vbProcedure="false">"c454"</definedName>
    <definedName function="false" hidden="true" name="IQ_GAIN_ASSETS_CF" vbProcedure="false">"c455"</definedName>
    <definedName function="false" hidden="true" name="IQ_GAIN_ASSETS_CF_BNK" vbProcedure="false">"c456"</definedName>
    <definedName function="false" hidden="true" name="IQ_GAIN_ASSETS_CF_BR" vbProcedure="false">"c457"</definedName>
    <definedName function="false" hidden="true" name="IQ_GAIN_ASSETS_CF_FIN" vbProcedure="false">"c458"</definedName>
    <definedName function="false" hidden="true" name="IQ_GAIN_ASSETS_CF_INS" vbProcedure="false">"c459"</definedName>
    <definedName function="false" hidden="true" name="IQ_GAIN_ASSETS_CF_RE" vbProcedure="false">"c6217"</definedName>
    <definedName function="false" hidden="true" name="IQ_GAIN_ASSETS_CF_REIT" vbProcedure="false">"c460"</definedName>
    <definedName function="false" hidden="true" name="IQ_GAIN_ASSETS_CF_UTI" vbProcedure="false">"c461"</definedName>
    <definedName function="false" hidden="true" name="IQ_GAIN_ASSETS_FIN" vbProcedure="false">"c462"</definedName>
    <definedName function="false" hidden="true" name="IQ_GAIN_ASSETS_INS" vbProcedure="false">"c463"</definedName>
    <definedName function="false" hidden="true" name="IQ_GAIN_ASSETS_RE" vbProcedure="false">"c6218"</definedName>
    <definedName function="false" hidden="true" name="IQ_GAIN_ASSETS_REIT" vbProcedure="false">"c471"</definedName>
    <definedName function="false" hidden="true" name="IQ_GAIN_ASSETS_REV" vbProcedure="false">"c472"</definedName>
    <definedName function="false" hidden="true" name="IQ_GAIN_ASSETS_REV_BNK" vbProcedure="false">"c473"</definedName>
    <definedName function="false" hidden="true" name="IQ_GAIN_ASSETS_REV_BR" vbProcedure="false">"c474"</definedName>
    <definedName function="false" hidden="true" name="IQ_GAIN_ASSETS_REV_FIN" vbProcedure="false">"c475"</definedName>
    <definedName function="false" hidden="true" name="IQ_GAIN_ASSETS_REV_INS" vbProcedure="false">"c476"</definedName>
    <definedName function="false" hidden="true" name="IQ_GAIN_ASSETS_REV_RE" vbProcedure="false">"c6219"</definedName>
    <definedName function="false" hidden="true" name="IQ_GAIN_ASSETS_REV_REIT" vbProcedure="false">"c477"</definedName>
    <definedName function="false" hidden="true" name="IQ_GAIN_ASSETS_REV_UTI" vbProcedure="false">"c478"</definedName>
    <definedName function="false" hidden="true" name="IQ_GAIN_ASSETS_UTI" vbProcedure="false">"c479"</definedName>
    <definedName function="false" hidden="true" name="IQ_GAIN_CREDIT_DERIVATIVES_FFIEC" vbProcedure="false">"c13066"</definedName>
    <definedName function="false" hidden="true" name="IQ_GAIN_CREDIT_DERIVATIVES_NON_TRADING_FFIEC" vbProcedure="false">"c13067"</definedName>
    <definedName function="false" hidden="true" name="IQ_GAIN_INVEST" vbProcedure="false">"c1463"</definedName>
    <definedName function="false" hidden="true" name="IQ_GAIN_INVEST_BNK" vbProcedure="false">"c1582"</definedName>
    <definedName function="false" hidden="true" name="IQ_GAIN_INVEST_BR" vbProcedure="false">"c1464"</definedName>
    <definedName function="false" hidden="true" name="IQ_GAIN_INVEST_CF" vbProcedure="false">"c480"</definedName>
    <definedName function="false" hidden="true" name="IQ_GAIN_INVEST_CF_BNK" vbProcedure="false">"c481"</definedName>
    <definedName function="false" hidden="true" name="IQ_GAIN_INVEST_CF_BR" vbProcedure="false">"c482"</definedName>
    <definedName function="false" hidden="true" name="IQ_GAIN_INVEST_CF_FIN" vbProcedure="false">"c483"</definedName>
    <definedName function="false" hidden="true" name="IQ_GAIN_INVEST_CF_INS" vbProcedure="false">"c484"</definedName>
    <definedName function="false" hidden="true" name="IQ_GAIN_INVEST_CF_RE" vbProcedure="false">"c6220"</definedName>
    <definedName function="false" hidden="true" name="IQ_GAIN_INVEST_CF_REIT" vbProcedure="false">"c485"</definedName>
    <definedName function="false" hidden="true" name="IQ_GAIN_INVEST_CF_UTI" vbProcedure="false">"c486"</definedName>
    <definedName function="false" hidden="true" name="IQ_GAIN_INVEST_FIN" vbProcedure="false">"c1465"</definedName>
    <definedName function="false" hidden="true" name="IQ_GAIN_INVEST_INS" vbProcedure="false">"c1466"</definedName>
    <definedName function="false" hidden="true" name="IQ_GAIN_INVEST_RE" vbProcedure="false">"c6278"</definedName>
    <definedName function="false" hidden="true" name="IQ_GAIN_INVEST_REIT" vbProcedure="false">"c1467"</definedName>
    <definedName function="false" hidden="true" name="IQ_GAIN_INVEST_REV" vbProcedure="false">"c494"</definedName>
    <definedName function="false" hidden="true" name="IQ_GAIN_INVEST_REV_BNK" vbProcedure="false">"c495"</definedName>
    <definedName function="false" hidden="true" name="IQ_GAIN_INVEST_REV_BR" vbProcedure="false">"c496"</definedName>
    <definedName function="false" hidden="true" name="IQ_GAIN_INVEST_REV_FIN" vbProcedure="false">"c497"</definedName>
    <definedName function="false" hidden="true" name="IQ_GAIN_INVEST_REV_INS" vbProcedure="false">"c498"</definedName>
    <definedName function="false" hidden="true" name="IQ_GAIN_INVEST_REV_RE" vbProcedure="false">"c6221"</definedName>
    <definedName function="false" hidden="true" name="IQ_GAIN_INVEST_REV_REIT" vbProcedure="false">"c499"</definedName>
    <definedName function="false" hidden="true" name="IQ_GAIN_INVEST_REV_UTI" vbProcedure="false">"c500"</definedName>
    <definedName function="false" hidden="true" name="IQ_GAIN_INVEST_UTI" vbProcedure="false">"c1468"</definedName>
    <definedName function="false" hidden="true" name="IQ_GAIN_LOANS_REC" vbProcedure="false">"c501"</definedName>
    <definedName function="false" hidden="true" name="IQ_GAIN_LOANS_RECEIV" vbProcedure="false">"c502"</definedName>
    <definedName function="false" hidden="true" name="IQ_GAIN_LOANS_RECEIV_REV_FIN" vbProcedure="false">"c503"</definedName>
    <definedName function="false" hidden="true" name="IQ_GAIN_LOANS_REV" vbProcedure="false">"c504"</definedName>
    <definedName function="false" hidden="true" name="IQ_GAIN_LOSS_HTM_AFS_SECURITIES_FOREIGN_FFIEC" vbProcedure="false">"c15384"</definedName>
    <definedName function="false" hidden="true" name="IQ_GAIN_SALE_ASSETS" vbProcedure="false">"c1377"</definedName>
    <definedName function="false" hidden="true" name="IQ_GAIN_SALE_LOANS_FDIC" vbProcedure="false">"c6673"</definedName>
    <definedName function="false" hidden="true" name="IQ_GAIN_SALE_RE_FDIC" vbProcedure="false">"c6674"</definedName>
    <definedName function="false" hidden="true" name="IQ_GA_EXP" vbProcedure="false">"c2241"</definedName>
    <definedName function="false" hidden="true" name="IQ_GDP" vbProcedure="false">"c6874"</definedName>
    <definedName function="false" hidden="true" name="IQ_GDP_APR" vbProcedure="false">"c7534"</definedName>
    <definedName function="false" hidden="true" name="IQ_GDP_APR_FC" vbProcedure="false">"c8414"</definedName>
    <definedName function="false" hidden="true" name="IQ_GDP_FC" vbProcedure="false">"c7754"</definedName>
    <definedName function="false" hidden="true" name="IQ_GDP_POP" vbProcedure="false">"c7094"</definedName>
    <definedName function="false" hidden="true" name="IQ_GDP_POP_FC" vbProcedure="false">"c7974"</definedName>
    <definedName function="false" hidden="true" name="IQ_GDP_REAL" vbProcedure="false">"c6981"</definedName>
    <definedName function="false" hidden="true" name="IQ_GDP_REAL_APR" vbProcedure="false">"c7641"</definedName>
    <definedName function="false" hidden="true" name="IQ_GDP_REAL_APR_FC" vbProcedure="false">"c8521"</definedName>
    <definedName function="false" hidden="true" name="IQ_GDP_REAL_FC" vbProcedure="false">"c7861"</definedName>
    <definedName function="false" hidden="true" name="IQ_GDP_REAL_POP" vbProcedure="false">"c7201"</definedName>
    <definedName function="false" hidden="true" name="IQ_GDP_REAL_POP_FC" vbProcedure="false">"c8081"</definedName>
    <definedName function="false" hidden="true" name="IQ_GDP_REAL_SAAR" vbProcedure="false">"c6982"</definedName>
    <definedName function="false" hidden="true" name="IQ_GDP_REAL_SAAR_APR" vbProcedure="false">"c7642"</definedName>
    <definedName function="false" hidden="true" name="IQ_GDP_REAL_SAAR_APR_FC" vbProcedure="false">"c8522"</definedName>
    <definedName function="false" hidden="true" name="IQ_GDP_REAL_SAAR_FC" vbProcedure="false">"c7862"</definedName>
    <definedName function="false" hidden="true" name="IQ_GDP_REAL_SAAR_POP" vbProcedure="false">"c7202"</definedName>
    <definedName function="false" hidden="true" name="IQ_GDP_REAL_SAAR_POP_FC" vbProcedure="false">"c8082"</definedName>
    <definedName function="false" hidden="true" name="IQ_GDP_REAL_SAAR_YOY" vbProcedure="false">"c7422"</definedName>
    <definedName function="false" hidden="true" name="IQ_GDP_REAL_SAAR_YOY_FC" vbProcedure="false">"c8302"</definedName>
    <definedName function="false" hidden="true" name="IQ_GDP_REAL_USD" vbProcedure="false">"c11946"</definedName>
    <definedName function="false" hidden="true" name="IQ_GDP_REAL_USD_APR" vbProcedure="false">"c11949"</definedName>
    <definedName function="false" hidden="true" name="IQ_GDP_REAL_USD_POP" vbProcedure="false">"c11947"</definedName>
    <definedName function="false" hidden="true" name="IQ_GDP_REAL_USD_YOY" vbProcedure="false">"c11948"</definedName>
    <definedName function="false" hidden="true" name="IQ_GDP_REAL_YOY" vbProcedure="false">"c7421"</definedName>
    <definedName function="false" hidden="true" name="IQ_GDP_REAL_YOY_FC" vbProcedure="false">"c8301"</definedName>
    <definedName function="false" hidden="true" name="IQ_GDP_SAAR" vbProcedure="false">"c6875"</definedName>
    <definedName function="false" hidden="true" name="IQ_GDP_SAAR_APR" vbProcedure="false">"c7535"</definedName>
    <definedName function="false" hidden="true" name="IQ_GDP_SAAR_APR_FC" vbProcedure="false">"c8415"</definedName>
    <definedName function="false" hidden="true" name="IQ_GDP_SAAR_FC" vbProcedure="false">"c7755"</definedName>
    <definedName function="false" hidden="true" name="IQ_GDP_SAAR_POP" vbProcedure="false">"c7095"</definedName>
    <definedName function="false" hidden="true" name="IQ_GDP_SAAR_POP_FC" vbProcedure="false">"c7975"</definedName>
    <definedName function="false" hidden="true" name="IQ_GDP_SAAR_YOY" vbProcedure="false">"c7315"</definedName>
    <definedName function="false" hidden="true" name="IQ_GDP_SAAR_YOY_FC" vbProcedure="false">"c8195"</definedName>
    <definedName function="false" hidden="true" name="IQ_GDP_USD" vbProcedure="false">"c11834"</definedName>
    <definedName function="false" hidden="true" name="IQ_GDP_USD_APR" vbProcedure="false">"c11837"</definedName>
    <definedName function="false" hidden="true" name="IQ_GDP_USD_POP" vbProcedure="false">"c11835"</definedName>
    <definedName function="false" hidden="true" name="IQ_GDP_USD_YOY" vbProcedure="false">"c11836"</definedName>
    <definedName function="false" hidden="true" name="IQ_GDP_YOY" vbProcedure="false">"c7314"</definedName>
    <definedName function="false" hidden="true" name="IQ_GDP_YOY_FC" vbProcedure="false">"c8194"</definedName>
    <definedName function="false" hidden="true" name="IQ_GENERAL_ALLOWANCE" vbProcedure="false">"c15248"</definedName>
    <definedName function="false" hidden="true" name="IQ_GEO_SEG_ASSETS" vbProcedure="false">"c4069"</definedName>
    <definedName function="false" hidden="true" name="IQ_GEO_SEG_ASSETS_ABS" vbProcedure="false">"c4091"</definedName>
    <definedName function="false" hidden="true" name="IQ_GEO_SEG_ASSETS_TOTAL" vbProcedure="false">"c4123"</definedName>
    <definedName function="false" hidden="true" name="IQ_GEO_SEG_CAPEX" vbProcedure="false">"c4083"</definedName>
    <definedName function="false" hidden="true" name="IQ_GEO_SEG_CAPEX_ABS" vbProcedure="false">"c4105"</definedName>
    <definedName function="false" hidden="true" name="IQ_GEO_SEG_CAPEX_TOTAL" vbProcedure="false">"c4127"</definedName>
    <definedName function="false" hidden="true" name="IQ_GEO_SEG_DA" vbProcedure="false">"c4082"</definedName>
    <definedName function="false" hidden="true" name="IQ_GEO_SEG_DA_ABS" vbProcedure="false">"c4104"</definedName>
    <definedName function="false" hidden="true" name="IQ_GEO_SEG_DA_TOTAL" vbProcedure="false">"c4126"</definedName>
    <definedName function="false" hidden="true" name="IQ_GEO_SEG_EARNINGS_OP" vbProcedure="false">"c4073"</definedName>
    <definedName function="false" hidden="true" name="IQ_GEO_SEG_EARNINGS_OP_ABS" vbProcedure="false">"c4095"</definedName>
    <definedName function="false" hidden="true" name="IQ_GEO_SEG_EARNINGS_OP_TOTAL" vbProcedure="false">"c4119"</definedName>
    <definedName function="false" hidden="true" name="IQ_GEO_SEG_EBT" vbProcedure="false">"c4072"</definedName>
    <definedName function="false" hidden="true" name="IQ_GEO_SEG_EBT_ABS" vbProcedure="false">"c4094"</definedName>
    <definedName function="false" hidden="true" name="IQ_GEO_SEG_EBT_TOTAL" vbProcedure="false">"c4121"</definedName>
    <definedName function="false" hidden="true" name="IQ_GEO_SEG_GP" vbProcedure="false">"c4070"</definedName>
    <definedName function="false" hidden="true" name="IQ_GEO_SEG_GP_ABS" vbProcedure="false">"c4092"</definedName>
    <definedName function="false" hidden="true" name="IQ_GEO_SEG_GP_TOTAL" vbProcedure="false">"c4120"</definedName>
    <definedName function="false" hidden="true" name="IQ_GEO_SEG_INC_TAX" vbProcedure="false">"c4081"</definedName>
    <definedName function="false" hidden="true" name="IQ_GEO_SEG_INC_TAX_ABS" vbProcedure="false">"c4103"</definedName>
    <definedName function="false" hidden="true" name="IQ_GEO_SEG_INC_TAX_TOTAL" vbProcedure="false">"c4125"</definedName>
    <definedName function="false" hidden="true" name="IQ_GEO_SEG_INTEREST_EXP" vbProcedure="false">"c4080"</definedName>
    <definedName function="false" hidden="true" name="IQ_GEO_SEG_INTEREST_EXP_ABS" vbProcedure="false">"c4102"</definedName>
    <definedName function="false" hidden="true" name="IQ_GEO_SEG_INTEREST_EXP_TOTAL" vbProcedure="false">"c4124"</definedName>
    <definedName function="false" hidden="true" name="IQ_GEO_SEG_NAME" vbProcedure="false">"c5484"</definedName>
    <definedName function="false" hidden="true" name="IQ_GEO_SEG_NAME_ABS" vbProcedure="false">"c5485"</definedName>
    <definedName function="false" hidden="true" name="IQ_GEO_SEG_NI" vbProcedure="false">"c4071"</definedName>
    <definedName function="false" hidden="true" name="IQ_GEO_SEG_NI_ABS" vbProcedure="false">"c4093"</definedName>
    <definedName function="false" hidden="true" name="IQ_GEO_SEG_NI_TOTAL" vbProcedure="false">"c4122"</definedName>
    <definedName function="false" hidden="true" name="IQ_GEO_SEG_OPER_INC" vbProcedure="false">"c4075"</definedName>
    <definedName function="false" hidden="true" name="IQ_GEO_SEG_OPER_INC_ABS" vbProcedure="false">"c4097"</definedName>
    <definedName function="false" hidden="true" name="IQ_GEO_SEG_OPER_INC_TOTAL" vbProcedure="false">"c4118"</definedName>
    <definedName function="false" hidden="true" name="IQ_GEO_SEG_REV" vbProcedure="false">"c4074"</definedName>
    <definedName function="false" hidden="true" name="IQ_GEO_SEG_REV_ABS" vbProcedure="false">"c4096"</definedName>
    <definedName function="false" hidden="true" name="IQ_GEO_SEG_REV_TOTAL" vbProcedure="false">"c4117"</definedName>
    <definedName function="false" hidden="true" name="IQ_GICS_CODE" vbProcedure="false">"c16201"</definedName>
    <definedName function="false" hidden="true" name="IQ_GLA_PCT_LEASED_CONSOL" vbProcedure="false">"c8810"</definedName>
    <definedName function="false" hidden="true" name="IQ_GLA_PCT_LEASED_MANAGED" vbProcedure="false">"c8812"</definedName>
    <definedName function="false" hidden="true" name="IQ_GLA_PCT_LEASED_OTHER" vbProcedure="false">"c8813"</definedName>
    <definedName function="false" hidden="true" name="IQ_GLA_PCT_LEASED_TOTAL" vbProcedure="false">"c8814"</definedName>
    <definedName function="false" hidden="true" name="IQ_GLA_PCT_LEASED_UNCONSOL" vbProcedure="false">"c8811"</definedName>
    <definedName function="false" hidden="true" name="IQ_GLA_SQ_FT_CONSOL" vbProcedure="false">"c8790"</definedName>
    <definedName function="false" hidden="true" name="IQ_GLA_SQ_FT_MANAGED" vbProcedure="false">"c8792"</definedName>
    <definedName function="false" hidden="true" name="IQ_GLA_SQ_FT_OTHER" vbProcedure="false">"c8793"</definedName>
    <definedName function="false" hidden="true" name="IQ_GLA_SQ_FT_TOTAL" vbProcedure="false">"c8794"</definedName>
    <definedName function="false" hidden="true" name="IQ_GLA_SQ_FT_UNCONSOL" vbProcedure="false">"c8791"</definedName>
    <definedName function="false" hidden="true" name="IQ_GLA_SQ_METER_CONSOL" vbProcedure="false">"c8795"</definedName>
    <definedName function="false" hidden="true" name="IQ_GLA_SQ_METER_MANAGED" vbProcedure="false">"c8797"</definedName>
    <definedName function="false" hidden="true" name="IQ_GLA_SQ_METER_OTHER" vbProcedure="false">"c8798"</definedName>
    <definedName function="false" hidden="true" name="IQ_GLA_SQ_METER_TOTAL" vbProcedure="false">"c8799"</definedName>
    <definedName function="false" hidden="true" name="IQ_GLA_SQ_METER_UNCONSOL" vbProcedure="false">"c8796"</definedName>
    <definedName function="false" hidden="true" name="IQ_GNMA_FDIC" vbProcedure="false">"c6398"</definedName>
    <definedName function="false" hidden="true" name="IQ_GOODWILL_FDIC" vbProcedure="false">"c6334"</definedName>
    <definedName function="false" hidden="true" name="IQ_GOODWILL_FFIEC" vbProcedure="false">"c12836"</definedName>
    <definedName function="false" hidden="true" name="IQ_GOODWILL_IMPAIRMENT_FDIC" vbProcedure="false">"c6678"</definedName>
    <definedName function="false" hidden="true" name="IQ_GOODWILL_IMPAIRMENT_FFIEC" vbProcedure="false">"c13025"</definedName>
    <definedName function="false" hidden="true" name="IQ_GOODWILL_INTAN_FDIC" vbProcedure="false">"c6333"</definedName>
    <definedName function="false" hidden="true" name="IQ_GOODWILL_NET" vbProcedure="false">"c1380"</definedName>
    <definedName function="false" hidden="true" name="IQ_GOVT_PERSONAL_TAXES_RECEIPTS" vbProcedure="false">"c6876"</definedName>
    <definedName function="false" hidden="true" name="IQ_GOVT_PERSONAL_TAXES_RECEIPTS_APR" vbProcedure="false">"c7536"</definedName>
    <definedName function="false" hidden="true" name="IQ_GOVT_PERSONAL_TAXES_RECEIPTS_APR_FC" vbProcedure="false">"c8416"</definedName>
    <definedName function="false" hidden="true" name="IQ_GOVT_PERSONAL_TAXES_RECEIPTS_FC" vbProcedure="false">"c7756"</definedName>
    <definedName function="false" hidden="true" name="IQ_GOVT_PERSONAL_TAXES_RECEIPTS_POP" vbProcedure="false">"c7096"</definedName>
    <definedName function="false" hidden="true" name="IQ_GOVT_PERSONAL_TAXES_RECEIPTS_POP_FC" vbProcedure="false">"c7976"</definedName>
    <definedName function="false" hidden="true" name="IQ_GOVT_PERSONAL_TAXES_RECEIPTS_YOY" vbProcedure="false">"c7316"</definedName>
    <definedName function="false" hidden="true" name="IQ_GOVT_PERSONAL_TAXES_RECEIPTS_YOY_FC" vbProcedure="false">"c8196"</definedName>
    <definedName function="false" hidden="true" name="IQ_GOVT_RECEIPTS" vbProcedure="false">"c6877"</definedName>
    <definedName function="false" hidden="true" name="IQ_GOVT_RECEIPTS_APR" vbProcedure="false">"c7537"</definedName>
    <definedName function="false" hidden="true" name="IQ_GOVT_RECEIPTS_APR_FC" vbProcedure="false">"c8417"</definedName>
    <definedName function="false" hidden="true" name="IQ_GOVT_RECEIPTS_FC" vbProcedure="false">"c7757"</definedName>
    <definedName function="false" hidden="true" name="IQ_GOVT_RECEIPTS_POP" vbProcedure="false">"c7097"</definedName>
    <definedName function="false" hidden="true" name="IQ_GOVT_RECEIPTS_POP_FC" vbProcedure="false">"c7977"</definedName>
    <definedName function="false" hidden="true" name="IQ_GOVT_RECEIPTS_YOY" vbProcedure="false">"c7317"</definedName>
    <definedName function="false" hidden="true" name="IQ_GOVT_RECEIPTS_YOY_FC" vbProcedure="false">"c8197"</definedName>
    <definedName function="false" hidden="true" name="IQ_GP" vbProcedure="false">"c511"</definedName>
    <definedName function="false" hidden="true" name="IQ_GPPE" vbProcedure="false">"c518"</definedName>
    <definedName function="false" hidden="true" name="IQ_GP_10YR_ANN_CAGR" vbProcedure="false">"c6090"</definedName>
    <definedName function="false" hidden="true" name="IQ_GP_10YR_ANN_GROWTH" vbProcedure="false">"c512"</definedName>
    <definedName function="false" hidden="true" name="IQ_GP_1YR_ANN_GROWTH" vbProcedure="false">"c513"</definedName>
    <definedName function="false" hidden="true" name="IQ_GP_2YR_ANN_CAGR" vbProcedure="false">"c6091"</definedName>
    <definedName function="false" hidden="true" name="IQ_GP_2YR_ANN_GROWTH" vbProcedure="false">"c514"</definedName>
    <definedName function="false" hidden="true" name="IQ_GP_3YR_ANN_CAGR" vbProcedure="false">"c6092"</definedName>
    <definedName function="false" hidden="true" name="IQ_GP_3YR_ANN_GROWTH" vbProcedure="false">"c515"</definedName>
    <definedName function="false" hidden="true" name="IQ_GP_5YR_ANN_CAGR" vbProcedure="false">"c6093"</definedName>
    <definedName function="false" hidden="true" name="IQ_GP_5YR_ANN_GROWTH" vbProcedure="false">"c516"</definedName>
    <definedName function="false" hidden="true" name="IQ_GP_7YR_ANN_CAGR" vbProcedure="false">"c6094"</definedName>
    <definedName function="false" hidden="true" name="IQ_GP_7YR_ANN_GROWTH" vbProcedure="false">"c517"</definedName>
    <definedName function="false" hidden="true" name="IQ_GROSS_ADD_BASIC" vbProcedure="false">"c15776"</definedName>
    <definedName function="false" hidden="true" name="IQ_GROSS_ADD_BBAND" vbProcedure="false">"c15779"</definedName>
    <definedName function="false" hidden="true" name="IQ_GROSS_ADD_DIG" vbProcedure="false">"c15777"</definedName>
    <definedName function="false" hidden="true" name="IQ_GROSS_ADD_PHONE" vbProcedure="false">"c15780"</definedName>
    <definedName function="false" hidden="true" name="IQ_GROSS_ADD_POSTPAID_WIRELESS" vbProcedure="false">"c15750"</definedName>
    <definedName function="false" hidden="true" name="IQ_GROSS_ADD_PREPAID_WIRELESS" vbProcedure="false">"c15751"</definedName>
    <definedName function="false" hidden="true" name="IQ_GROSS_ADD_RESELL_WHOLESALE_WIRELESS" vbProcedure="false">"c15752"</definedName>
    <definedName function="false" hidden="true" name="IQ_GROSS_ADD_RGU" vbProcedure="false">"c15781"</definedName>
    <definedName function="false" hidden="true" name="IQ_GROSS_ADD_SATELLITE" vbProcedure="false">"c15778"</definedName>
    <definedName function="false" hidden="true" name="IQ_GROSS_ADD_TOTAL_WIRELESS" vbProcedure="false">"c15753"</definedName>
    <definedName function="false" hidden="true" name="IQ_GROSS_AH_EARNED" vbProcedure="false">"c2742"</definedName>
    <definedName function="false" hidden="true" name="IQ_GROSS_CLAIM_ADJ_EXP_RESERVE_BOP" vbProcedure="false">"c15874"</definedName>
    <definedName function="false" hidden="true" name="IQ_GROSS_CLAIM_EXP_INCUR" vbProcedure="false">"c2755"</definedName>
    <definedName function="false" hidden="true" name="IQ_GROSS_CLAIM_EXP_PAID" vbProcedure="false">"c2758"</definedName>
    <definedName function="false" hidden="true" name="IQ_GROSS_CLAIM_EXP_RES" vbProcedure="false">"c2752"</definedName>
    <definedName function="false" hidden="true" name="IQ_GROSS_DIVID" vbProcedure="false">"c1446"</definedName>
    <definedName function="false" hidden="true" name="IQ_GROSS_EARNED" vbProcedure="false">"c2732"</definedName>
    <definedName function="false" hidden="true" name="IQ_GROSS_LIFE_EARNED" vbProcedure="false">"c2737"</definedName>
    <definedName function="false" hidden="true" name="IQ_GROSS_LIFE_IN_FORCE" vbProcedure="false">"c2767"</definedName>
    <definedName function="false" hidden="true" name="IQ_GROSS_LOANS" vbProcedure="false">"c521"</definedName>
    <definedName function="false" hidden="true" name="IQ_GROSS_LOANS_10YR_ANN_CAGR" vbProcedure="false">"c6095"</definedName>
    <definedName function="false" hidden="true" name="IQ_GROSS_LOANS_10YR_ANN_GROWTH" vbProcedure="false">"c522"</definedName>
    <definedName function="false" hidden="true" name="IQ_GROSS_LOANS_1YR_ANN_GROWTH" vbProcedure="false">"c523"</definedName>
    <definedName function="false" hidden="true" name="IQ_GROSS_LOANS_2YR_ANN_CAGR" vbProcedure="false">"c6096"</definedName>
    <definedName function="false" hidden="true" name="IQ_GROSS_LOANS_2YR_ANN_GROWTH" vbProcedure="false">"c524"</definedName>
    <definedName function="false" hidden="true" name="IQ_GROSS_LOANS_3YR_ANN_CAGR" vbProcedure="false">"c6097"</definedName>
    <definedName function="false" hidden="true" name="IQ_GROSS_LOANS_3YR_ANN_GROWTH" vbProcedure="false">"c525"</definedName>
    <definedName function="false" hidden="true" name="IQ_GROSS_LOANS_5YR_ANN_CAGR" vbProcedure="false">"c6098"</definedName>
    <definedName function="false" hidden="true" name="IQ_GROSS_LOANS_5YR_ANN_GROWTH" vbProcedure="false">"c526"</definedName>
    <definedName function="false" hidden="true" name="IQ_GROSS_LOANS_7YR_ANN_CAGR" vbProcedure="false">"c6099"</definedName>
    <definedName function="false" hidden="true" name="IQ_GROSS_LOANS_7YR_ANN_GROWTH" vbProcedure="false">"c527"</definedName>
    <definedName function="false" hidden="true" name="IQ_GROSS_LOANS_TOTAL_DEPOSITS" vbProcedure="false">"c528"</definedName>
    <definedName function="false" hidden="true" name="IQ_GROSS_LOSSES" vbProcedure="false">"c15871"</definedName>
    <definedName function="false" hidden="true" name="IQ_GROSS_LOSSES_AVG_LOANS_FFIEC" vbProcedure="false">"c13475"</definedName>
    <definedName function="false" hidden="true" name="IQ_GROSS_MARGIN" vbProcedure="false">"c529"</definedName>
    <definedName function="false" hidden="true" name="IQ_GROSS_MARGIN_ACT_OR_EST" vbProcedure="false">"c5554"</definedName>
    <definedName function="false" hidden="true" name="IQ_GROSS_MARGIN_ACT_OR_EST_THOM" vbProcedure="false">"c5562"</definedName>
    <definedName function="false" hidden="true" name="IQ_GROSS_MARGIN_DET_EST_DATE_THOM" vbProcedure="false">"c12239"</definedName>
    <definedName function="false" hidden="true" name="IQ_GROSS_MARGIN_DET_EST_INCL_THOM" vbProcedure="false">"c12371"</definedName>
    <definedName function="false" hidden="true" name="IQ_GROSS_MARGIN_DET_EST_ORIGIN_THOM" vbProcedure="false">"c12609"</definedName>
    <definedName function="false" hidden="true" name="IQ_GROSS_MARGIN_DET_EST_THOM" vbProcedure="false">"c12089"</definedName>
    <definedName function="false" hidden="true" name="IQ_GROSS_MARGIN_EST" vbProcedure="false">"c5547"</definedName>
    <definedName function="false" hidden="true" name="IQ_GROSS_MARGIN_EST_DOWN_2MONTH" vbProcedure="false">"c16381"</definedName>
    <definedName function="false" hidden="true" name="IQ_GROSS_MARGIN_EST_DOWN_3MONTH" vbProcedure="false">"c16385"</definedName>
    <definedName function="false" hidden="true" name="IQ_GROSS_MARGIN_EST_DOWN_MONTH" vbProcedure="false">"c16377"</definedName>
    <definedName function="false" hidden="true" name="IQ_GROSS_MARGIN_EST_NUM_ANALYSTS_2MONTH" vbProcedure="false">"c16379"</definedName>
    <definedName function="false" hidden="true" name="IQ_GROSS_MARGIN_EST_NUM_ANALYSTS_3MONTH" vbProcedure="false">"c16383"</definedName>
    <definedName function="false" hidden="true" name="IQ_GROSS_MARGIN_EST_NUM_ANALYSTS_MONTH" vbProcedure="false">"c16375"</definedName>
    <definedName function="false" hidden="true" name="IQ_GROSS_MARGIN_EST_THOM" vbProcedure="false">"c5555"</definedName>
    <definedName function="false" hidden="true" name="IQ_GROSS_MARGIN_EST_TOTAL_REVISED_2MONTH" vbProcedure="false">"c16382"</definedName>
    <definedName function="false" hidden="true" name="IQ_GROSS_MARGIN_EST_TOTAL_REVISED_3MONTH" vbProcedure="false">"c16386"</definedName>
    <definedName function="false" hidden="true" name="IQ_GROSS_MARGIN_EST_TOTAL_REVISED_MONTH" vbProcedure="false">"c16378"</definedName>
    <definedName function="false" hidden="true" name="IQ_GROSS_MARGIN_EST_UP_2MONTH" vbProcedure="false">"c16380"</definedName>
    <definedName function="false" hidden="true" name="IQ_GROSS_MARGIN_EST_UP_3MONTH" vbProcedure="false">"c16384"</definedName>
    <definedName function="false" hidden="true" name="IQ_GROSS_MARGIN_EST_UP_MONTH" vbProcedure="false">"c16376"</definedName>
    <definedName function="false" hidden="true" name="IQ_GROSS_MARGIN_HIGH_EST" vbProcedure="false">"c5549"</definedName>
    <definedName function="false" hidden="true" name="IQ_GROSS_MARGIN_HIGH_EST_THOM" vbProcedure="false">"c5557"</definedName>
    <definedName function="false" hidden="true" name="IQ_GROSS_MARGIN_LOW_EST" vbProcedure="false">"c5550"</definedName>
    <definedName function="false" hidden="true" name="IQ_GROSS_MARGIN_LOW_EST_THOM" vbProcedure="false">"c5558"</definedName>
    <definedName function="false" hidden="true" name="IQ_GROSS_MARGIN_MEDIAN_EST" vbProcedure="false">"c5548"</definedName>
    <definedName function="false" hidden="true" name="IQ_GROSS_MARGIN_MEDIAN_EST_THOM" vbProcedure="false">"c5556"</definedName>
    <definedName function="false" hidden="true" name="IQ_GROSS_MARGIN_NUM_EST" vbProcedure="false">"c5551"</definedName>
    <definedName function="false" hidden="true" name="IQ_GROSS_MARGIN_NUM_EST_THOM" vbProcedure="false">"c5559"</definedName>
    <definedName function="false" hidden="true" name="IQ_GROSS_MARGIN_STDDEV_EST" vbProcedure="false">"c5552"</definedName>
    <definedName function="false" hidden="true" name="IQ_GROSS_MARGIN_STDDEV_EST_THOM" vbProcedure="false">"c5560"</definedName>
    <definedName function="false" hidden="true" name="IQ_GROSS_PC_EARNED" vbProcedure="false">"c2747"</definedName>
    <definedName function="false" hidden="true" name="IQ_GROSS_PREMIUMS_WRITTEN_AVG_ASSETS" vbProcedure="false">"c15893"</definedName>
    <definedName function="false" hidden="true" name="IQ_GROSS_PREMIUMS_WRITTEN_AVG_EQUITY" vbProcedure="false">"c15892"</definedName>
    <definedName function="false" hidden="true" name="IQ_GROSS_PREMIUMS_WRITTEN_AVG_STATUTORY_SURPLUS" vbProcedure="false">"c15894"</definedName>
    <definedName function="false" hidden="true" name="IQ_GROSS_PROFIT" vbProcedure="false">"c1378"</definedName>
    <definedName function="false" hidden="true" name="IQ_GROSS_SPRD" vbProcedure="false">"c2155"</definedName>
    <definedName function="false" hidden="true" name="IQ_GROSS_WRITTEN" vbProcedure="false">"c2726"</definedName>
    <definedName function="false" hidden="true" name="IQ_GROUP_EMBEDDED_VALUE_ASSET_MANAGEMENT" vbProcedure="false">"c9955"</definedName>
    <definedName function="false" hidden="true" name="IQ_GROUP_EMBEDDED_VALUE_HEALTH" vbProcedure="false">"c9954"</definedName>
    <definedName function="false" hidden="true" name="IQ_GROUP_EMBEDDED_VALUE_LIFE" vbProcedure="false">"c9953"</definedName>
    <definedName function="false" hidden="true" name="IQ_GROUP_EMBEDDED_VALUE_LIFE_OTHER" vbProcedure="false">"c9956"</definedName>
    <definedName function="false" hidden="true" name="IQ_GVKEY" vbProcedure="false">"c15590"</definedName>
    <definedName function="false" hidden="true" name="IQ_GVKEY_OTHER" vbProcedure="false">"c15633"</definedName>
    <definedName function="false" hidden="true" name="IQ_GW" vbProcedure="false">"c530"</definedName>
    <definedName function="false" hidden="true" name="IQ_GW_AMORT_BR" vbProcedure="false">"c532"</definedName>
    <definedName function="false" hidden="true" name="IQ_GW_AMORT_FIN" vbProcedure="false">"c540"</definedName>
    <definedName function="false" hidden="true" name="IQ_GW_AMORT_INS" vbProcedure="false">"c541"</definedName>
    <definedName function="false" hidden="true" name="IQ_GW_AMORT_REIT" vbProcedure="false">"c542"</definedName>
    <definedName function="false" hidden="true" name="IQ_GW_AMORT_UTI" vbProcedure="false">"c543"</definedName>
    <definedName function="false" hidden="true" name="IQ_GW_INTAN" vbProcedure="false">"c19145"</definedName>
    <definedName function="false" hidden="true" name="IQ_GW_INTAN_AMORT" vbProcedure="false">"c1469"</definedName>
    <definedName function="false" hidden="true" name="IQ_GW_INTAN_AMORT_BNK" vbProcedure="false">"c544"</definedName>
    <definedName function="false" hidden="true" name="IQ_GW_INTAN_AMORT_BR" vbProcedure="false">"c1470"</definedName>
    <definedName function="false" hidden="true" name="IQ_GW_INTAN_AMORT_CF" vbProcedure="false">"c1471"</definedName>
    <definedName function="false" hidden="true" name="IQ_GW_INTAN_AMORT_CF_BNK" vbProcedure="false">"c1472"</definedName>
    <definedName function="false" hidden="true" name="IQ_GW_INTAN_AMORT_CF_BR" vbProcedure="false">"c1473"</definedName>
    <definedName function="false" hidden="true" name="IQ_GW_INTAN_AMORT_CF_FIN" vbProcedure="false">"c1474"</definedName>
    <definedName function="false" hidden="true" name="IQ_GW_INTAN_AMORT_CF_INS" vbProcedure="false">"c1475"</definedName>
    <definedName function="false" hidden="true" name="IQ_GW_INTAN_AMORT_CF_RE" vbProcedure="false">"c6279"</definedName>
    <definedName function="false" hidden="true" name="IQ_GW_INTAN_AMORT_CF_REIT" vbProcedure="false">"c1476"</definedName>
    <definedName function="false" hidden="true" name="IQ_GW_INTAN_AMORT_CF_UTI" vbProcedure="false">"c1477"</definedName>
    <definedName function="false" hidden="true" name="IQ_GW_INTAN_AMORT_FIN" vbProcedure="false">"c1478"</definedName>
    <definedName function="false" hidden="true" name="IQ_GW_INTAN_AMORT_INS" vbProcedure="false">"c1479"</definedName>
    <definedName function="false" hidden="true" name="IQ_GW_INTAN_AMORT_RE" vbProcedure="false">"c6280"</definedName>
    <definedName function="false" hidden="true" name="IQ_GW_INTAN_AMORT_REIT" vbProcedure="false">"c1480"</definedName>
    <definedName function="false" hidden="true" name="IQ_GW_INTAN_AMORT_UTI" vbProcedure="false">"c1481"</definedName>
    <definedName function="false" hidden="true" name="IQ_HC_ADJUSTED_DISCHARGES" vbProcedure="false">"c9977"</definedName>
    <definedName function="false" hidden="true" name="IQ_HC_ADMISSIONS" vbProcedure="false">"c5953"</definedName>
    <definedName function="false" hidden="true" name="IQ_HC_ADMISSIONS_GROWTH" vbProcedure="false">"c5997"</definedName>
    <definedName function="false" hidden="true" name="IQ_HC_ADMISSIONS_MANAGED_CARE" vbProcedure="false">"c5956"</definedName>
    <definedName function="false" hidden="true" name="IQ_HC_ADMISSIONS_MEDICAID" vbProcedure="false">"c5955"</definedName>
    <definedName function="false" hidden="true" name="IQ_HC_ADMISSIONS_MEDICARE" vbProcedure="false">"c5954"</definedName>
    <definedName function="false" hidden="true" name="IQ_HC_ADMISSIONS_OTHER" vbProcedure="false">"c5957"</definedName>
    <definedName function="false" hidden="true" name="IQ_HC_ADMISSIONS_SF" vbProcedure="false">"c6006"</definedName>
    <definedName function="false" hidden="true" name="IQ_HC_ALFS" vbProcedure="false">"c5952"</definedName>
    <definedName function="false" hidden="true" name="IQ_HC_ASO_COVERED_LIVES" vbProcedure="false">"c9982"</definedName>
    <definedName function="false" hidden="true" name="IQ_HC_ASO_MEMBERSHIP" vbProcedure="false">"c9985"</definedName>
    <definedName function="false" hidden="true" name="IQ_HC_AVG_BEDS_SVC" vbProcedure="false">"c5951"</definedName>
    <definedName function="false" hidden="true" name="IQ_HC_AVG_DAILY_CENSUS" vbProcedure="false">"c5965"</definedName>
    <definedName function="false" hidden="true" name="IQ_HC_AVG_LICENSED_BEDS" vbProcedure="false">"c5949"</definedName>
    <definedName function="false" hidden="true" name="IQ_HC_AVG_LICENSED_BEDS_SF" vbProcedure="false">"c6004"</definedName>
    <definedName function="false" hidden="true" name="IQ_HC_AVG_STAY" vbProcedure="false">"c5966"</definedName>
    <definedName function="false" hidden="true" name="IQ_HC_AVG_STAY_SF" vbProcedure="false">"c6016"</definedName>
    <definedName function="false" hidden="true" name="IQ_HC_BEDS_SVC" vbProcedure="false">"c5950"</definedName>
    <definedName function="false" hidden="true" name="IQ_HC_CASES" vbProcedure="false">"c9978"</definedName>
    <definedName function="false" hidden="true" name="IQ_HC_CLAIMS_RESERVES" vbProcedure="false">"c9989"</definedName>
    <definedName function="false" hidden="true" name="IQ_HC_DAYS_REV_OUT" vbProcedure="false">"c5993"</definedName>
    <definedName function="false" hidden="true" name="IQ_HC_DISCHARGES" vbProcedure="false">"c9976"</definedName>
    <definedName function="false" hidden="true" name="IQ_HC_EQUIVALENT_ADMISSIONS" vbProcedure="false">"c5958"</definedName>
    <definedName function="false" hidden="true" name="IQ_HC_EQUIVALENT_ADMISSIONS_SF" vbProcedure="false">"c6007"</definedName>
    <definedName function="false" hidden="true" name="IQ_HC_EQUIVALENT_PATIENT_DAYS" vbProcedure="false">"c9980"</definedName>
    <definedName function="false" hidden="true" name="IQ_HC_EQUIV_ADMISSIONS_GROWTH" vbProcedure="false">"c5998"</definedName>
    <definedName function="false" hidden="true" name="IQ_HC_ER_VISITS" vbProcedure="false">"c5964"</definedName>
    <definedName function="false" hidden="true" name="IQ_HC_ER_VISITS_SF" vbProcedure="false">"c6017"</definedName>
    <definedName function="false" hidden="true" name="IQ_HC_GROSS_INPATIENT_REV" vbProcedure="false">"c5987"</definedName>
    <definedName function="false" hidden="true" name="IQ_HC_GROSS_OUTPATIENT_REV" vbProcedure="false">"c5988"</definedName>
    <definedName function="false" hidden="true" name="IQ_HC_GROSS_PATIENT_REV" vbProcedure="false">"c5989"</definedName>
    <definedName function="false" hidden="true" name="IQ_HC_HOSP_FACILITIES_CONSOL" vbProcedure="false">"c5945"</definedName>
    <definedName function="false" hidden="true" name="IQ_HC_HOSP_FACILITIES_CONSOL_SF" vbProcedure="false">"c6000"</definedName>
    <definedName function="false" hidden="true" name="IQ_HC_HOSP_FACILITIES_NON_CONSOL" vbProcedure="false">"c5946"</definedName>
    <definedName function="false" hidden="true" name="IQ_HC_HOSP_FACILITIES_NON_CONSOL_SF" vbProcedure="false">"c6001"</definedName>
    <definedName function="false" hidden="true" name="IQ_HC_HOSP_FACILITIES_TOTAL" vbProcedure="false">"c5947"</definedName>
    <definedName function="false" hidden="true" name="IQ_HC_HOSP_FACILITIES_TOTAL_SF" vbProcedure="false">"c6002"</definedName>
    <definedName function="false" hidden="true" name="IQ_HC_INPATIENT_PROCEDURES" vbProcedure="false">"c5961"</definedName>
    <definedName function="false" hidden="true" name="IQ_HC_INPATIENT_PROCEDURES_SF" vbProcedure="false">"c6011"</definedName>
    <definedName function="false" hidden="true" name="IQ_HC_INPATIENT_REV_PER_ADMISSION" vbProcedure="false">"c5994"</definedName>
    <definedName function="false" hidden="true" name="IQ_HC_INTPATIENT_SVCS_PCT_REV" vbProcedure="false">"c5975"</definedName>
    <definedName function="false" hidden="true" name="IQ_HC_INTPATIENT_SVCS_PCT_REV_SF" vbProcedure="false">"c6015"</definedName>
    <definedName function="false" hidden="true" name="IQ_HC_LICENSED_BEDS" vbProcedure="false">"c5948"</definedName>
    <definedName function="false" hidden="true" name="IQ_HC_LICENSED_BEDS_SF" vbProcedure="false">"c6003"</definedName>
    <definedName function="false" hidden="true" name="IQ_HC_MANAGED_CARE_PCT_ADMISSIONS" vbProcedure="false">"c5982"</definedName>
    <definedName function="false" hidden="true" name="IQ_HC_MANAGED_CARE_PCT_REV" vbProcedure="false">"c5978"</definedName>
    <definedName function="false" hidden="true" name="IQ_HC_MEDICAID_PCT_ADMISSIONS" vbProcedure="false">"c5981"</definedName>
    <definedName function="false" hidden="true" name="IQ_HC_MEDICAID_PCT_REV" vbProcedure="false">"c5977"</definedName>
    <definedName function="false" hidden="true" name="IQ_HC_MEDICAL_EXPENSE_RATIO" vbProcedure="false">"c9987"</definedName>
    <definedName function="false" hidden="true" name="IQ_HC_MEDICARE_PCT_ADMISSIONS" vbProcedure="false">"c5980"</definedName>
    <definedName function="false" hidden="true" name="IQ_HC_MEDICARE_PCT_REV" vbProcedure="false">"c5976"</definedName>
    <definedName function="false" hidden="true" name="IQ_HC_NET_INPATIENT_REV" vbProcedure="false">"c5984"</definedName>
    <definedName function="false" hidden="true" name="IQ_HC_NET_OUTPATIENT_REV" vbProcedure="false">"c5985"</definedName>
    <definedName function="false" hidden="true" name="IQ_HC_NET_PATIENT_REV" vbProcedure="false">"c5986"</definedName>
    <definedName function="false" hidden="true" name="IQ_HC_NET_PATIENT_REV_SF" vbProcedure="false">"c6005"</definedName>
    <definedName function="false" hidden="true" name="IQ_HC_OCC_RATE" vbProcedure="false">"c5967"</definedName>
    <definedName function="false" hidden="true" name="IQ_HC_OCC_RATE_LICENSED_BEDS" vbProcedure="false">"c5968"</definedName>
    <definedName function="false" hidden="true" name="IQ_HC_OCC_RATE_SF" vbProcedure="false">"c6009"</definedName>
    <definedName function="false" hidden="true" name="IQ_HC_OPEX_SUPPLIES" vbProcedure="false">"c5990"</definedName>
    <definedName function="false" hidden="true" name="IQ_HC_OTHER_OPEX_PCT_REV" vbProcedure="false">"c5973"</definedName>
    <definedName function="false" hidden="true" name="IQ_HC_OUTPATIENT_PROCEDURES" vbProcedure="false">"c5962"</definedName>
    <definedName function="false" hidden="true" name="IQ_HC_OUTPATIENT_PROCEDURES_SF" vbProcedure="false">"c6012"</definedName>
    <definedName function="false" hidden="true" name="IQ_HC_OUTPATIENT_REV_PER_ADMISSION" vbProcedure="false">"c5995"</definedName>
    <definedName function="false" hidden="true" name="IQ_HC_OUTPATIENT_SVCS_PCT_REV" vbProcedure="false">"c5974"</definedName>
    <definedName function="false" hidden="true" name="IQ_HC_OUTPATIENT_SVCS_PCT_REV_SF" vbProcedure="false">"c6014"</definedName>
    <definedName function="false" hidden="true" name="IQ_HC_PATIENT_DAYS" vbProcedure="false">"c5960"</definedName>
    <definedName function="false" hidden="true" name="IQ_HC_PATIENT_DAYS_SF" vbProcedure="false">"c6010"</definedName>
    <definedName function="false" hidden="true" name="IQ_HC_PROF_GEN_LIAB_CLAIM_PAID" vbProcedure="false">"c5991"</definedName>
    <definedName function="false" hidden="true" name="IQ_HC_PROF_GEN_LIAB_EXP_BENEFIT" vbProcedure="false">"c5992"</definedName>
    <definedName function="false" hidden="true" name="IQ_HC_PROVISION_DOUBTFUL_PCT_REV" vbProcedure="false">"c5972"</definedName>
    <definedName function="false" hidden="true" name="IQ_HC_REV_GROWTH" vbProcedure="false">"c5996"</definedName>
    <definedName function="false" hidden="true" name="IQ_HC_REV_PER_CASE" vbProcedure="false">"c9979"</definedName>
    <definedName function="false" hidden="true" name="IQ_HC_REV_PER_DISCHARGE" vbProcedure="false">"c9990"</definedName>
    <definedName function="false" hidden="true" name="IQ_HC_REV_PER_EQUIV_ADMISSION" vbProcedure="false">"c5959"</definedName>
    <definedName function="false" hidden="true" name="IQ_HC_REV_PER_EQUIV_ADMISSIONS_GROWTH" vbProcedure="false">"c5999"</definedName>
    <definedName function="false" hidden="true" name="IQ_HC_REV_PER_EQUIV_ADMISSION_SF" vbProcedure="false">"c6008"</definedName>
    <definedName function="false" hidden="true" name="IQ_HC_REV_PER_PATIENT_DAY" vbProcedure="false">"c5969"</definedName>
    <definedName function="false" hidden="true" name="IQ_HC_REV_PER_PATIENT_DAY_SF" vbProcedure="false">"c6018"</definedName>
    <definedName function="false" hidden="true" name="IQ_HC_RISK_COVERED_LIVES" vbProcedure="false">"c9981"</definedName>
    <definedName function="false" hidden="true" name="IQ_HC_RISK_MEMBERSHIP" vbProcedure="false">"c9984"</definedName>
    <definedName function="false" hidden="true" name="IQ_HC_SALARIES_PCT_REV" vbProcedure="false">"c5970"</definedName>
    <definedName function="false" hidden="true" name="IQ_HC_SGA_MARGIN" vbProcedure="false">"c9988"</definedName>
    <definedName function="false" hidden="true" name="IQ_HC_SUPPLIES_PCT_REV" vbProcedure="false">"c5971"</definedName>
    <definedName function="false" hidden="true" name="IQ_HC_TOTAL_COVERED_LIVES" vbProcedure="false">"c9983"</definedName>
    <definedName function="false" hidden="true" name="IQ_HC_TOTAL_MEMBERSHIP" vbProcedure="false">"c9986"</definedName>
    <definedName function="false" hidden="true" name="IQ_HC_TOTAL_PROCEDURES" vbProcedure="false">"c5963"</definedName>
    <definedName function="false" hidden="true" name="IQ_HC_TOTAL_PROCEDURES_SF" vbProcedure="false">"c6013"</definedName>
    <definedName function="false" hidden="true" name="IQ_HC_UNINSURED_PCT_ADMISSIONS" vbProcedure="false">"c5983"</definedName>
    <definedName function="false" hidden="true" name="IQ_HC_UNINSURED_PCT_REV" vbProcedure="false">"c5979"</definedName>
    <definedName function="false" hidden="true" name="IQ_HEDGEFUND_OVER_TOTAL" vbProcedure="false">"c13771"</definedName>
    <definedName function="false" hidden="true" name="IQ_HELD_MATURITY_FDIC" vbProcedure="false">"c6408"</definedName>
    <definedName function="false" hidden="true" name="IQ_HG_ACQUIRED_FRANCHISE_HOTEL_PROPERTIES" vbProcedure="false">"c8584"</definedName>
    <definedName function="false" hidden="true" name="IQ_HG_ACQUIRED_FRANCHISE_ROOMS" vbProcedure="false">"c8614"</definedName>
    <definedName function="false" hidden="true" name="IQ_HG_ACQUIRED_HOTEL_PROPERTIES" vbProcedure="false">"c8572"</definedName>
    <definedName function="false" hidden="true" name="IQ_HG_ACQUIRED_MANAGED_HOTEL_PROPERTIES" vbProcedure="false">"c8590"</definedName>
    <definedName function="false" hidden="true" name="IQ_HG_ACQUIRED_MANAGED_ROOMS" vbProcedure="false">"c8620"</definedName>
    <definedName function="false" hidden="true" name="IQ_HG_ACQUIRED_OTHER_HOTEL_PROPERTIES" vbProcedure="false">"c8596"</definedName>
    <definedName function="false" hidden="true" name="IQ_HG_ACQUIRED_OTHER_ROOMS" vbProcedure="false">"c8626"</definedName>
    <definedName function="false" hidden="true" name="IQ_HG_ACQUIRED_OWNED_HOTEL_PROPERTIES" vbProcedure="false">"c8578"</definedName>
    <definedName function="false" hidden="true" name="IQ_HG_ACQUIRED_OWNED_ROOMS" vbProcedure="false">"c8608"</definedName>
    <definedName function="false" hidden="true" name="IQ_HG_ACQUIRED_ROOMS" vbProcedure="false">"c8602"</definedName>
    <definedName function="false" hidden="true" name="IQ_HG_ADR_CHANGE_FRANCHISE" vbProcedure="false">"c8684"</definedName>
    <definedName function="false" hidden="true" name="IQ_HG_ADR_CHANGE_MANAGED" vbProcedure="false">"c8685"</definedName>
    <definedName function="false" hidden="true" name="IQ_HG_ADR_CHANGE_OTHER" vbProcedure="false">"c8686"</definedName>
    <definedName function="false" hidden="true" name="IQ_HG_ADR_CHANGE_OWNED" vbProcedure="false">"c8683"</definedName>
    <definedName function="false" hidden="true" name="IQ_HG_ADR_CHANGE_OWNED_COMP" vbProcedure="false">"c8709"</definedName>
    <definedName function="false" hidden="true" name="IQ_HG_ADR_CHANGE_TOTAL" vbProcedure="false">"c8687"</definedName>
    <definedName function="false" hidden="true" name="IQ_HG_ADR_CHANGE_TOTAL_COMP" vbProcedure="false">"c8710"</definedName>
    <definedName function="false" hidden="true" name="IQ_HG_ADR_FRANCHISE" vbProcedure="false">"c8664"</definedName>
    <definedName function="false" hidden="true" name="IQ_HG_ADR_MANAGED" vbProcedure="false">"c8665"</definedName>
    <definedName function="false" hidden="true" name="IQ_HG_ADR_OTHER" vbProcedure="false">"c8666"</definedName>
    <definedName function="false" hidden="true" name="IQ_HG_ADR_OWNED" vbProcedure="false">"c8663"</definedName>
    <definedName function="false" hidden="true" name="IQ_HG_ADR_OWNED_COMP" vbProcedure="false">"c8701"</definedName>
    <definedName function="false" hidden="true" name="IQ_HG_ADR_TOTAL" vbProcedure="false">"c8667"</definedName>
    <definedName function="false" hidden="true" name="IQ_HG_ADR_TOTAL_COMP" vbProcedure="false">"c8702"</definedName>
    <definedName function="false" hidden="true" name="IQ_HG_CASINOS_JV" vbProcedure="false">"c8631"</definedName>
    <definedName function="false" hidden="true" name="IQ_HG_CASINOS_MANAGED" vbProcedure="false">"c8632"</definedName>
    <definedName function="false" hidden="true" name="IQ_HG_CASINOS_OWNED" vbProcedure="false">"c8630"</definedName>
    <definedName function="false" hidden="true" name="IQ_HG_CASINOS_TOTAL" vbProcedure="false">"c8633"</definedName>
    <definedName function="false" hidden="true" name="IQ_HG_CASINO_EXP_DIRECT_OPERATING_EXP" vbProcedure="false">"c15981"</definedName>
    <definedName function="false" hidden="true" name="IQ_HG_CASINO_GROSS_PROFIT" vbProcedure="false">"c15974"</definedName>
    <definedName function="false" hidden="true" name="IQ_HG_CASINO_MARGIN" vbProcedure="false">"c15976"</definedName>
    <definedName function="false" hidden="true" name="IQ_HG_CASINO_OPERATING_MARGIN" vbProcedure="false">"c15977"</definedName>
    <definedName function="false" hidden="true" name="IQ_HG_CLOSED_FRANCHISE_HOTEL_PROPERTIES" vbProcedure="false">"c8586"</definedName>
    <definedName function="false" hidden="true" name="IQ_HG_CLOSED_FRANCHISE_ROOMS" vbProcedure="false">"c8616"</definedName>
    <definedName function="false" hidden="true" name="IQ_HG_CLOSED_HOTEL_PROPERTIES" vbProcedure="false">"c8574"</definedName>
    <definedName function="false" hidden="true" name="IQ_HG_CLOSED_MANAGED_HOTEL_PROPERTIES" vbProcedure="false">"c8592"</definedName>
    <definedName function="false" hidden="true" name="IQ_HG_CLOSED_MANAGED_ROOMS" vbProcedure="false">"c8622"</definedName>
    <definedName function="false" hidden="true" name="IQ_HG_CLOSED_OTHER_HOTEL_PROPERTIES" vbProcedure="false">"c8598"</definedName>
    <definedName function="false" hidden="true" name="IQ_HG_CLOSED_OTHER_ROOMS" vbProcedure="false">"c8628"</definedName>
    <definedName function="false" hidden="true" name="IQ_HG_CLOSED_OWNED_HOTEL_PROPERTIES" vbProcedure="false">"c8580"</definedName>
    <definedName function="false" hidden="true" name="IQ_HG_CLOSED_OWNED_ROOMS" vbProcedure="false">"c8610"</definedName>
    <definedName function="false" hidden="true" name="IQ_HG_CLOSED_ROOMS" vbProcedure="false">"c8604"</definedName>
    <definedName function="false" hidden="true" name="IQ_HG_CONFERENCE_SPACE" vbProcedure="false">"c15971"</definedName>
    <definedName function="false" hidden="true" name="IQ_HG_EXP_CASINO" vbProcedure="false">"c8733"</definedName>
    <definedName function="false" hidden="true" name="IQ_HG_EXP_DEVELOPMENT" vbProcedure="false">"c8738"</definedName>
    <definedName function="false" hidden="true" name="IQ_HG_EXP_DIRECT_CASINO_GAMING" vbProcedure="false">"c15994"</definedName>
    <definedName function="false" hidden="true" name="IQ_HG_EXP_ENTERTAINMENT" vbProcedure="false">"c8736"</definedName>
    <definedName function="false" hidden="true" name="IQ_HG_EXP_FOOD_BEV" vbProcedure="false">"c8734"</definedName>
    <definedName function="false" hidden="true" name="IQ_HG_EXP_FRANCHISE_MANAGEMENT" vbProcedure="false">"c8744"</definedName>
    <definedName function="false" hidden="true" name="IQ_HG_EXP_OTHER_DIRECT_HOTEL_MOTEL" vbProcedure="false">"c15995"</definedName>
    <definedName function="false" hidden="true" name="IQ_HG_EXP_OTHER_MNGD_FRANCHISE_PROP" vbProcedure="false">"c8742"</definedName>
    <definedName function="false" hidden="true" name="IQ_HG_EXP_OWNED_LEASED_CONSOL_JV" vbProcedure="false">"c8740"</definedName>
    <definedName function="false" hidden="true" name="IQ_HG_EXP_REIMBURSEMENTS" vbProcedure="false">"c8743"</definedName>
    <definedName function="false" hidden="true" name="IQ_HG_EXP_RETAIL" vbProcedure="false">"c8737"</definedName>
    <definedName function="false" hidden="true" name="IQ_HG_EXP_ROOMS" vbProcedure="false">"c8735"</definedName>
    <definedName function="false" hidden="true" name="IQ_HG_EXP_THEATRE_CONCESSION" vbProcedure="false">"c8739"</definedName>
    <definedName function="false" hidden="true" name="IQ_HG_EXP_VACA_OWNERSHIP_RES" vbProcedure="false">"c8741"</definedName>
    <definedName function="false" hidden="true" name="IQ_HG_FOOD_BEV_EXP_DIRECT_OPERATING_EXP" vbProcedure="false">"c15980"</definedName>
    <definedName function="false" hidden="true" name="IQ_HG_FOOD_BEV_REV_TOTAL_REV" vbProcedure="false">"c15983"</definedName>
    <definedName function="false" hidden="true" name="IQ_HG_FOOD_PROM_COSTS" vbProcedure="false">"c8746"</definedName>
    <definedName function="false" hidden="true" name="IQ_HG_FRANCHISE_HOTEL_PROPERTIES_BEG" vbProcedure="false">"c8582"</definedName>
    <definedName function="false" hidden="true" name="IQ_HG_FRANCHISE_ROOMS_BEG" vbProcedure="false">"c8612"</definedName>
    <definedName function="false" hidden="true" name="IQ_HG_GAMING_SPACE_JV" vbProcedure="false">"c8635"</definedName>
    <definedName function="false" hidden="true" name="IQ_HG_GAMING_SPACE_MANAGED" vbProcedure="false">"c8636"</definedName>
    <definedName function="false" hidden="true" name="IQ_HG_GAMING_SPACE_OWNED" vbProcedure="false">"c8634"</definedName>
    <definedName function="false" hidden="true" name="IQ_HG_GAMING_SPACE_TOTAL" vbProcedure="false">"c8637"</definedName>
    <definedName function="false" hidden="true" name="IQ_HG_HOTEL_PROPERTIES_BEG" vbProcedure="false">"c8570"</definedName>
    <definedName function="false" hidden="true" name="IQ_HG_LAND_AVAIL_JV" vbProcedure="false">"c8647"</definedName>
    <definedName function="false" hidden="true" name="IQ_HG_LAND_AVAIL_MANAGED" vbProcedure="false">"c8648"</definedName>
    <definedName function="false" hidden="true" name="IQ_HG_LAND_AVAIL_OWNED" vbProcedure="false">"c8646"</definedName>
    <definedName function="false" hidden="true" name="IQ_HG_LAND_AVAIL_TOTAL" vbProcedure="false">"c8649"</definedName>
    <definedName function="false" hidden="true" name="IQ_HG_LAND_JV" vbProcedure="false">"c8651"</definedName>
    <definedName function="false" hidden="true" name="IQ_HG_LAND_MANAGED" vbProcedure="false">"c8652"</definedName>
    <definedName function="false" hidden="true" name="IQ_HG_LAND_OWNED" vbProcedure="false">"c8650"</definedName>
    <definedName function="false" hidden="true" name="IQ_HG_LAND_TOTAL" vbProcedure="false">"c8653"</definedName>
    <definedName function="false" hidden="true" name="IQ_HG_MANAGED_HOTEL_PROPERTIES_BEG" vbProcedure="false">"c8588"</definedName>
    <definedName function="false" hidden="true" name="IQ_HG_MANAGED_ROOMS_BEG" vbProcedure="false">"c8618"</definedName>
    <definedName function="false" hidden="true" name="IQ_HG_NUMBER_SUITES" vbProcedure="false">"c15970"</definedName>
    <definedName function="false" hidden="true" name="IQ_HG_NUMBER_TABLES_AVG" vbProcedure="false">"c15973"</definedName>
    <definedName function="false" hidden="true" name="IQ_HG_OCCUPANCY_CHANGE_FRANCHISE" vbProcedure="false">"c8675"</definedName>
    <definedName function="false" hidden="true" name="IQ_HG_OCCUPANCY_CHANGE_MANAGED" vbProcedure="false">"c8677"</definedName>
    <definedName function="false" hidden="true" name="IQ_HG_OCCUPANCY_CHANGE_OTHER" vbProcedure="false">"c8679"</definedName>
    <definedName function="false" hidden="true" name="IQ_HG_OCCUPANCY_CHANGE_OWNED" vbProcedure="false">"c8673"</definedName>
    <definedName function="false" hidden="true" name="IQ_HG_OCCUPANCY_CHANGE_OWNED_COMP" vbProcedure="false">"c8705"</definedName>
    <definedName function="false" hidden="true" name="IQ_HG_OCCUPANCY_CHANGE_TOTAL" vbProcedure="false">"c8681"</definedName>
    <definedName function="false" hidden="true" name="IQ_HG_OCCUPANCY_CHANGE_TOTAL_COMP" vbProcedure="false">"c8707"</definedName>
    <definedName function="false" hidden="true" name="IQ_HG_OCCUPANCY_FRANCHISE" vbProcedure="false">"c8659"</definedName>
    <definedName function="false" hidden="true" name="IQ_HG_OCCUPANCY_INCDEC_FRANCHISE" vbProcedure="false">"c8676"</definedName>
    <definedName function="false" hidden="true" name="IQ_HG_OCCUPANCY_INCDEC_MANAGED" vbProcedure="false">"c8678"</definedName>
    <definedName function="false" hidden="true" name="IQ_HG_OCCUPANCY_INCDEC_OTHER" vbProcedure="false">"c8680"</definedName>
    <definedName function="false" hidden="true" name="IQ_HG_OCCUPANCY_INCDEC_OWNED" vbProcedure="false">"c8674"</definedName>
    <definedName function="false" hidden="true" name="IQ_HG_OCCUPANCY_INCDEC_OWNED_COMP" vbProcedure="false">"c8706"</definedName>
    <definedName function="false" hidden="true" name="IQ_HG_OCCUPANCY_INCDEC_TOTAL" vbProcedure="false">"c8682"</definedName>
    <definedName function="false" hidden="true" name="IQ_HG_OCCUPANCY_INCDEC_TOTAL_COMP" vbProcedure="false">"c8708"</definedName>
    <definedName function="false" hidden="true" name="IQ_HG_OCCUPANCY_MANAGED" vbProcedure="false">"c8660"</definedName>
    <definedName function="false" hidden="true" name="IQ_HG_OCCUPANCY_OTHER" vbProcedure="false">"c8661"</definedName>
    <definedName function="false" hidden="true" name="IQ_HG_OCCUPANCY_OWNED" vbProcedure="false">"c8658"</definedName>
    <definedName function="false" hidden="true" name="IQ_HG_OCCUPANCY_OWNED_COMP" vbProcedure="false">"c8699"</definedName>
    <definedName function="false" hidden="true" name="IQ_HG_OCCUPANCY_TOTAL" vbProcedure="false">"c8662"</definedName>
    <definedName function="false" hidden="true" name="IQ_HG_OCCUPANCY_TOTAL_COMP" vbProcedure="false">"c8700"</definedName>
    <definedName function="false" hidden="true" name="IQ_HG_OPENED_FRANCHISE_HOTEL_PROPERTIES" vbProcedure="false">"c8583"</definedName>
    <definedName function="false" hidden="true" name="IQ_HG_OPENED_FRANCHISE_ROOMS" vbProcedure="false">"c8613"</definedName>
    <definedName function="false" hidden="true" name="IQ_HG_OPENED_HOTEL_PROPERTIES" vbProcedure="false">"c8571"</definedName>
    <definedName function="false" hidden="true" name="IQ_HG_OPENED_MANAGED_HOTEL_PROPERTIES" vbProcedure="false">"c8589"</definedName>
    <definedName function="false" hidden="true" name="IQ_HG_OPENED_MANAGED_ROOMS" vbProcedure="false">"c8619"</definedName>
    <definedName function="false" hidden="true" name="IQ_HG_OPENED_OTHER_HOTEL_PROPERTIES" vbProcedure="false">"c8595"</definedName>
    <definedName function="false" hidden="true" name="IQ_HG_OPENED_OTHER_ROOMS" vbProcedure="false">"c8625"</definedName>
    <definedName function="false" hidden="true" name="IQ_HG_OPENED_OWNED_HOTEL_PROPERTIES" vbProcedure="false">"c8577"</definedName>
    <definedName function="false" hidden="true" name="IQ_HG_OPENED_OWNED_ROOMS" vbProcedure="false">"c8607"</definedName>
    <definedName function="false" hidden="true" name="IQ_HG_OPENED_ROOMS" vbProcedure="false">"c8601"</definedName>
    <definedName function="false" hidden="true" name="IQ_HG_OTHER_HOTEL_PROPERTIES_BEG" vbProcedure="false">"c8594"</definedName>
    <definedName function="false" hidden="true" name="IQ_HG_OTHER_PROM_COSTS" vbProcedure="false">"c8747"</definedName>
    <definedName function="false" hidden="true" name="IQ_HG_OTHER_ROOMS_BEG" vbProcedure="false">"c8624"</definedName>
    <definedName function="false" hidden="true" name="IQ_HG_OWNED_HOTEL_PROPERTIES_BEG" vbProcedure="false">"c8576"</definedName>
    <definedName function="false" hidden="true" name="IQ_HG_OWNED_ROOMS_BEG" vbProcedure="false">"c8606"</definedName>
    <definedName function="false" hidden="true" name="IQ_HG_PARKING_SPACES_JV" vbProcedure="false">"c8655"</definedName>
    <definedName function="false" hidden="true" name="IQ_HG_PARKING_SPACES_MANAGED" vbProcedure="false">"c8656"</definedName>
    <definedName function="false" hidden="true" name="IQ_HG_PARKING_SPACES_OWNED" vbProcedure="false">"c8654"</definedName>
    <definedName function="false" hidden="true" name="IQ_HG_PARKING_SPACES_TOTAL" vbProcedure="false">"c8657"</definedName>
    <definedName function="false" hidden="true" name="IQ_HG_PROMO_ALLOW_GROSS_OPERATING_REV" vbProcedure="false">"c15979"</definedName>
    <definedName function="false" hidden="true" name="IQ_HG_REVENUES_CHANGE_OWNED_COMP" vbProcedure="false">"c8697"</definedName>
    <definedName function="false" hidden="true" name="IQ_HG_REVENUES_CHANGE_TOTAL_COMP" vbProcedure="false">"c8698"</definedName>
    <definedName function="false" hidden="true" name="IQ_HG_REVPAR_CHANGE_MANAGED" vbProcedure="false">"c8690"</definedName>
    <definedName function="false" hidden="true" name="IQ_HG_REVPAR_CHANGE_OTHER" vbProcedure="false">"c8691"</definedName>
    <definedName function="false" hidden="true" name="IQ_HG_REVPAR_CHANGE_OWNED" vbProcedure="false">"c8688"</definedName>
    <definedName function="false" hidden="true" name="IQ_HG_REVPAR_CHANGE_OWNED_COMP" vbProcedure="false">"c8711"</definedName>
    <definedName function="false" hidden="true" name="IQ_HG_REVPAR_CHANGE_TOTAL" vbProcedure="false">"c8692"</definedName>
    <definedName function="false" hidden="true" name="IQ_HG_REVPAR_CHANGE_TOTAL_COMP" vbProcedure="false">"c8712"</definedName>
    <definedName function="false" hidden="true" name="IQ_HG_REVPAR_CHNAGE_FRANCHISE" vbProcedure="false">"c8689"</definedName>
    <definedName function="false" hidden="true" name="IQ_HG_REVPAR_FRANCHISE" vbProcedure="false">"c8669"</definedName>
    <definedName function="false" hidden="true" name="IQ_HG_REVPAR_MANAGED" vbProcedure="false">"c8670"</definedName>
    <definedName function="false" hidden="true" name="IQ_HG_REVPAR_OTHER" vbProcedure="false">"c8671"</definedName>
    <definedName function="false" hidden="true" name="IQ_HG_REVPAR_OWNED" vbProcedure="false">"c8668"</definedName>
    <definedName function="false" hidden="true" name="IQ_HG_REVPAR_OWNED_COMP" vbProcedure="false">"c8703"</definedName>
    <definedName function="false" hidden="true" name="IQ_HG_REVPAR_TOTAL" vbProcedure="false">"c8672"</definedName>
    <definedName function="false" hidden="true" name="IQ_HG_REVPAR_TOTAL_COMP" vbProcedure="false">"c8704"</definedName>
    <definedName function="false" hidden="true" name="IQ_HG_REV_BASE_MANAGEMENT_FEES" vbProcedure="false">"c8726"</definedName>
    <definedName function="false" hidden="true" name="IQ_HG_REV_CASINO" vbProcedure="false">"c8713"</definedName>
    <definedName function="false" hidden="true" name="IQ_HG_REV_COST_REIMBURSEMENT" vbProcedure="false">"c8728"</definedName>
    <definedName function="false" hidden="true" name="IQ_HG_REV_ENTERTAINMENT" vbProcedure="false">"c8716"</definedName>
    <definedName function="false" hidden="true" name="IQ_HG_REV_FOOD_BEV" vbProcedure="false">"c8714"</definedName>
    <definedName function="false" hidden="true" name="IQ_HG_REV_FRANCHISE" vbProcedure="false">"c8725"</definedName>
    <definedName function="false" hidden="true" name="IQ_HG_REV_GROSS_OPERATING" vbProcedure="false">"c15993"</definedName>
    <definedName function="false" hidden="true" name="IQ_HG_REV_INCENTIVE_MANAGEMENT_FEES" vbProcedure="false">"c8727"</definedName>
    <definedName function="false" hidden="true" name="IQ_HG_REV_MANAGEMENT_FEES" vbProcedure="false">"c8718"</definedName>
    <definedName function="false" hidden="true" name="IQ_HG_REV_OTHER_CASINO" vbProcedure="false">"c15992"</definedName>
    <definedName function="false" hidden="true" name="IQ_HG_REV_OTHER_MNGD_FRANCHISE_PROP" vbProcedure="false">"c8730"</definedName>
    <definedName function="false" hidden="true" name="IQ_HG_REV_OTHER_OP_SEGMENT" vbProcedure="false">"c8721"</definedName>
    <definedName function="false" hidden="true" name="IQ_HG_REV_OTHER_OWNERSHIP_MIX" vbProcedure="false">"c8731"</definedName>
    <definedName function="false" hidden="true" name="IQ_HG_REV_OWNED_LEASED_CONSOL_JV_HOTELS" vbProcedure="false">"c8724"</definedName>
    <definedName function="false" hidden="true" name="IQ_HG_REV_PROMOTIONAL_ALLOWANCE" vbProcedure="false">"c8722"</definedName>
    <definedName function="false" hidden="true" name="IQ_HG_REV_RACING" vbProcedure="false">"c8719"</definedName>
    <definedName function="false" hidden="true" name="IQ_HG_REV_RETAIL" vbProcedure="false">"c8717"</definedName>
    <definedName function="false" hidden="true" name="IQ_HG_REV_ROOMS" vbProcedure="false">"c8715"</definedName>
    <definedName function="false" hidden="true" name="IQ_HG_REV_SLOT_MACHINE" vbProcedure="false">"c15990"</definedName>
    <definedName function="false" hidden="true" name="IQ_HG_REV_TABLE" vbProcedure="false">"c15991"</definedName>
    <definedName function="false" hidden="true" name="IQ_HG_REV_THEATRE_CONCESSION" vbProcedure="false">"c8720"</definedName>
    <definedName function="false" hidden="true" name="IQ_HG_REV_TOTAL_OP_SEGMENT" vbProcedure="false">"c8723"</definedName>
    <definedName function="false" hidden="true" name="IQ_HG_REV_TOTAL_OWNERSHIP_MIX" vbProcedure="false">"c8732"</definedName>
    <definedName function="false" hidden="true" name="IQ_HG_REV_VACA_OWNERSHIP_RES_SALES_SVCS" vbProcedure="false">"c8729"</definedName>
    <definedName function="false" hidden="true" name="IQ_HG_ROOMS_BEG" vbProcedure="false">"c8600"</definedName>
    <definedName function="false" hidden="true" name="IQ_HG_ROOM_EXP_DIRECT_OPERATING_EXP" vbProcedure="false">"c15982"</definedName>
    <definedName function="false" hidden="true" name="IQ_HG_ROOM_GROSS_PROFIT" vbProcedure="false">"c15975"</definedName>
    <definedName function="false" hidden="true" name="IQ_HG_ROOM_MARGIN" vbProcedure="false">"c15978"</definedName>
    <definedName function="false" hidden="true" name="IQ_HG_ROOM_PROM_COSTS" vbProcedure="false">"c8745"</definedName>
    <definedName function="false" hidden="true" name="IQ_HG_ROOM_REV_TOTAL_REV" vbProcedure="false">"c15984"</definedName>
    <definedName function="false" hidden="true" name="IQ_HG_SAME_PROPERTIES_CASINO_REV_CHANGE" vbProcedure="false">"c15987"</definedName>
    <definedName function="false" hidden="true" name="IQ_HG_SAME_PROPERTIES_FOOD_BEV_REV_CHANGE" vbProcedure="false">"c15989"</definedName>
    <definedName function="false" hidden="true" name="IQ_HG_SAME_PROPERTIES_ROOM_REV_CHANGE" vbProcedure="false">"c15988"</definedName>
    <definedName function="false" hidden="true" name="IQ_HG_SAME_PROPERTIES_SLOT_MACHINE_REV_CHANGE" vbProcedure="false">"c15985"</definedName>
    <definedName function="false" hidden="true" name="IQ_HG_SAME_PROPERTIES_TABLE_REV_CHANGE" vbProcedure="false">"c15986"</definedName>
    <definedName function="false" hidden="true" name="IQ_HG_SLOT_MACHINES_AVG" vbProcedure="false">"c15972"</definedName>
    <definedName function="false" hidden="true" name="IQ_HG_SLOT_MACHINES_JV" vbProcedure="false">"c8639"</definedName>
    <definedName function="false" hidden="true" name="IQ_HG_SLOT_MACHINES_MANAGED" vbProcedure="false">"c8640"</definedName>
    <definedName function="false" hidden="true" name="IQ_HG_SLOT_MACHINES_OWNED" vbProcedure="false">"c8638"</definedName>
    <definedName function="false" hidden="true" name="IQ_HG_SLOT_MACHINES_TOTAL" vbProcedure="false">"c8641"</definedName>
    <definedName function="false" hidden="true" name="IQ_HG_SOLD_FRANCHISE_HOTEL_PROPERTIES" vbProcedure="false">"c8585"</definedName>
    <definedName function="false" hidden="true" name="IQ_HG_SOLD_FRANCHISE_ROOMS" vbProcedure="false">"c8615"</definedName>
    <definedName function="false" hidden="true" name="IQ_HG_SOLD_HOTEL_PROPERTIES" vbProcedure="false">"c8573"</definedName>
    <definedName function="false" hidden="true" name="IQ_HG_SOLD_MANAGED_HOTEL_PROPERTIES" vbProcedure="false">"c8591"</definedName>
    <definedName function="false" hidden="true" name="IQ_HG_SOLD_MANAGED_ROOMS" vbProcedure="false">"c8621"</definedName>
    <definedName function="false" hidden="true" name="IQ_HG_SOLD_OTHER_HOTEL_PROPERTIES" vbProcedure="false">"c8597"</definedName>
    <definedName function="false" hidden="true" name="IQ_HG_SOLD_OTHER_ROOMS" vbProcedure="false">"c8627"</definedName>
    <definedName function="false" hidden="true" name="IQ_HG_SOLD_OWNED_HOTEL_PROPERTIES" vbProcedure="false">"c8579"</definedName>
    <definedName function="false" hidden="true" name="IQ_HG_SOLD_OWNED_ROOMS" vbProcedure="false">"c8609"</definedName>
    <definedName function="false" hidden="true" name="IQ_HG_SOLD_ROOMS" vbProcedure="false">"c8603"</definedName>
    <definedName function="false" hidden="true" name="IQ_HG_TABLES_JV" vbProcedure="false">"c8643"</definedName>
    <definedName function="false" hidden="true" name="IQ_HG_TABLES_MANAGED" vbProcedure="false">"c8644"</definedName>
    <definedName function="false" hidden="true" name="IQ_HG_TABLES_OWNED" vbProcedure="false">"c8642"</definedName>
    <definedName function="false" hidden="true" name="IQ_HG_TABLES_TOTAL" vbProcedure="false">"c8645"</definedName>
    <definedName function="false" hidden="true" name="IQ_HG_TABLE_GAMES_JV" vbProcedure="false">"c8643"</definedName>
    <definedName function="false" hidden="true" name="IQ_HG_TABLE_GAMES_MANAGED" vbProcedure="false">"c8644"</definedName>
    <definedName function="false" hidden="true" name="IQ_HG_TABLE_GAMES_OWNED" vbProcedure="false">"c8642"</definedName>
    <definedName function="false" hidden="true" name="IQ_HG_TABLE_GAMES_TOTAL" vbProcedure="false">"c8645"</definedName>
    <definedName function="false" hidden="true" name="IQ_HG_TOTAL_FRANCHISE_HOTEL_PROPERTIES" vbProcedure="false">"c8587"</definedName>
    <definedName function="false" hidden="true" name="IQ_HG_TOTAL_FRANCHISE_ROOMS" vbProcedure="false">"c8617"</definedName>
    <definedName function="false" hidden="true" name="IQ_HG_TOTAL_HOTEL_PROPERTIES" vbProcedure="false">"c8575"</definedName>
    <definedName function="false" hidden="true" name="IQ_HG_TOTAL_MANAGED_HOTEL_PROPERTIES" vbProcedure="false">"c8593"</definedName>
    <definedName function="false" hidden="true" name="IQ_HG_TOTAL_MANAGED_ROOMS" vbProcedure="false">"c8623"</definedName>
    <definedName function="false" hidden="true" name="IQ_HG_TOTAL_OTHER_HOTEL_PROPERTIES" vbProcedure="false">"c8599"</definedName>
    <definedName function="false" hidden="true" name="IQ_HG_TOTAL_OTHER_ROOMS" vbProcedure="false">"c8629"</definedName>
    <definedName function="false" hidden="true" name="IQ_HG_TOTAL_OWNED_HOTEL_PROPERTIES" vbProcedure="false">"c8581"</definedName>
    <definedName function="false" hidden="true" name="IQ_HG_TOTAL_OWNED_PROPERTIES_COMP" vbProcedure="false">"c8693"</definedName>
    <definedName function="false" hidden="true" name="IQ_HG_TOTAL_OWNED_ROOMS" vbProcedure="false">"c8611"</definedName>
    <definedName function="false" hidden="true" name="IQ_HG_TOTAL_OWNED_ROOMS_COMP" vbProcedure="false">"c8695"</definedName>
    <definedName function="false" hidden="true" name="IQ_HG_TOTAL_PROM_COSTS" vbProcedure="false">"c8748"</definedName>
    <definedName function="false" hidden="true" name="IQ_HG_TOTAL_PROPERTIES_COMP" vbProcedure="false">"c8694"</definedName>
    <definedName function="false" hidden="true" name="IQ_HG_TOTAL_ROOMS" vbProcedure="false">"c8605"</definedName>
    <definedName function="false" hidden="true" name="IQ_HG_TOTAL_ROOMS_COMP" vbProcedure="false">"c8696"</definedName>
    <definedName function="false" hidden="true" name="IQ_HIGHPRICE" vbProcedure="false">"c545"</definedName>
    <definedName function="false" hidden="true" name="IQ_HIGH_LOW_CLOSEPRICE_DATE" vbProcedure="false">"c1204"</definedName>
    <definedName function="false" hidden="true" name="IQ_HIGH_SULFURE_RESERVES_TO_TOTAL_RESERVES_COAL" vbProcedure="false">"c15963"</definedName>
    <definedName function="false" hidden="true" name="IQ_HIGH_SULFUR_CONTENT_RESERVES_COAL" vbProcedure="false">"c15928"</definedName>
    <definedName function="false" hidden="true" name="IQ_HIGH_TARGET_PRICE" vbProcedure="false">"c1651"</definedName>
    <definedName function="false" hidden="true" name="IQ_HIGH_TARGET_PRICE_CIQ" vbProcedure="false">"c4659"</definedName>
    <definedName function="false" hidden="true" name="IQ_HIGH_TARGET_PRICE_REUT" vbProcedure="false">"c5317"</definedName>
    <definedName function="false" hidden="true" name="IQ_HIGH_TARGET_PRICE_THOM" vbProcedure="false">"c5096"</definedName>
    <definedName function="false" hidden="true" name="IQ_HOLDER_CIQID" vbProcedure="false">"c13787"</definedName>
    <definedName function="false" hidden="true" name="IQ_HOLDER_CIQID_SECURITY" vbProcedure="false">"c13794"</definedName>
    <definedName function="false" hidden="true" name="IQ_HOLDER_DERIVATIVES" vbProcedure="false">"c13789"</definedName>
    <definedName function="false" hidden="true" name="IQ_HOLDER_DERIVATIVES_SECURITY" vbProcedure="false">"c13796"</definedName>
    <definedName function="false" hidden="true" name="IQ_HOLDER_FUND_CIQID" vbProcedure="false">"c19084"</definedName>
    <definedName function="false" hidden="true" name="IQ_HOLDER_FUND_DERIVATIVES" vbProcedure="false">"c19115"</definedName>
    <definedName function="false" hidden="true" name="IQ_HOLDER_FUND_NAME" vbProcedure="false">"c19083"</definedName>
    <definedName function="false" hidden="true" name="IQ_HOLDER_FUND_NUMBER" vbProcedure="false">"c19090"</definedName>
    <definedName function="false" hidden="true" name="IQ_HOLDER_FUND_PERCENT" vbProcedure="false">"c19085"</definedName>
    <definedName function="false" hidden="true" name="IQ_HOLDER_FUND_POSITION_DATE" vbProcedure="false">"c19088"</definedName>
    <definedName function="false" hidden="true" name="IQ_HOLDER_FUND_PRIMARY_ADVISOR" vbProcedure="false">"c19089"</definedName>
    <definedName function="false" hidden="true" name="IQ_HOLDER_FUND_SHARES" vbProcedure="false">"c19086"</definedName>
    <definedName function="false" hidden="true" name="IQ_HOLDER_FUND_VALUE" vbProcedure="false">"c19087"</definedName>
    <definedName function="false" hidden="true" name="IQ_HOLDER_NAME" vbProcedure="false">"c13786"</definedName>
    <definedName function="false" hidden="true" name="IQ_HOLDER_NAME_SECURITY" vbProcedure="false">"c13793"</definedName>
    <definedName function="false" hidden="true" name="IQ_HOLDER_PERCENT" vbProcedure="false">"c13790"</definedName>
    <definedName function="false" hidden="true" name="IQ_HOLDER_PERCENT_SECURITY" vbProcedure="false">"c13831"</definedName>
    <definedName function="false" hidden="true" name="IQ_HOLDER_POSITION_DATE" vbProcedure="false">"c13792"</definedName>
    <definedName function="false" hidden="true" name="IQ_HOLDER_POSITION_DATE_SECURITY" vbProcedure="false">"c13798"</definedName>
    <definedName function="false" hidden="true" name="IQ_HOLDER_SHARES" vbProcedure="false">"c13788"</definedName>
    <definedName function="false" hidden="true" name="IQ_HOLDER_SHARES_SECURITY" vbProcedure="false">"c13795"</definedName>
    <definedName function="false" hidden="true" name="IQ_HOLDER_VALUE" vbProcedure="false">"c13791"</definedName>
    <definedName function="false" hidden="true" name="IQ_HOLDER_VALUE_SECURITY" vbProcedure="false">"c13797"</definedName>
    <definedName function="false" hidden="true" name="IQ_HOLDINGS_AFRICA_MIDEAST_PERCENT" vbProcedure="false">"c19235"</definedName>
    <definedName function="false" hidden="true" name="IQ_HOLDINGS_AFRICA_MIDEAST_VALUE" vbProcedure="false">"c19234"</definedName>
    <definedName function="false" hidden="true" name="IQ_HOLDINGS_ASIA_PERCENT" vbProcedure="false">"c19233"</definedName>
    <definedName function="false" hidden="true" name="IQ_HOLDINGS_ASIA_VALUE" vbProcedure="false">"c19232"</definedName>
    <definedName function="false" hidden="true" name="IQ_HOLDINGS_CONSUMER_DISCRETIONARY_PERCENT" vbProcedure="false">"c19213"</definedName>
    <definedName function="false" hidden="true" name="IQ_HOLDINGS_CONSUMER_DISCRETIONARY_VALUE" vbProcedure="false">"c19212"</definedName>
    <definedName function="false" hidden="true" name="IQ_HOLDINGS_CONSUMER_STAPLES_PERCENT" vbProcedure="false">"c19219"</definedName>
    <definedName function="false" hidden="true" name="IQ_HOLDINGS_CONSUMER_STAPLES_VALUE" vbProcedure="false">"c19218"</definedName>
    <definedName function="false" hidden="true" name="IQ_HOLDINGS_ENERGY_PERCENT" vbProcedure="false">"c19215"</definedName>
    <definedName function="false" hidden="true" name="IQ_HOLDINGS_ENERGY_VALUE" vbProcedure="false">"c19214"</definedName>
    <definedName function="false" hidden="true" name="IQ_HOLDINGS_EUROPE_PERCENT" vbProcedure="false">"c19229"</definedName>
    <definedName function="false" hidden="true" name="IQ_HOLDINGS_EUROPE_VALUE" vbProcedure="false">"c19228"</definedName>
    <definedName function="false" hidden="true" name="IQ_HOLDINGS_FINANCIALS_PERCENT" vbProcedure="false">"c19209"</definedName>
    <definedName function="false" hidden="true" name="IQ_HOLDINGS_FINANCIALS_VALUE" vbProcedure="false">"c19208"</definedName>
    <definedName function="false" hidden="true" name="IQ_HOLDINGS_HEALTHCARE_PERCENT" vbProcedure="false">"c19211"</definedName>
    <definedName function="false" hidden="true" name="IQ_HOLDINGS_HEALTHCARE_VALUE" vbProcedure="false">"c19210"</definedName>
    <definedName function="false" hidden="true" name="IQ_HOLDINGS_INDUSTRIALS_PERCENT" vbProcedure="false">"c19217"</definedName>
    <definedName function="false" hidden="true" name="IQ_HOLDINGS_INDUSTRIALS_VALUE" vbProcedure="false">"c19216"</definedName>
    <definedName function="false" hidden="true" name="IQ_HOLDINGS_IT_PERCENT" vbProcedure="false">"c19207"</definedName>
    <definedName function="false" hidden="true" name="IQ_HOLDINGS_IT_VALUE" vbProcedure="false">"c19206"</definedName>
    <definedName function="false" hidden="true" name="IQ_HOLDINGS_LATIN_CARIBBEAN_PERCENT" vbProcedure="false">"c19231"</definedName>
    <definedName function="false" hidden="true" name="IQ_HOLDINGS_LATIN_CARIBBEAN_VALUE" vbProcedure="false">"c19230"</definedName>
    <definedName function="false" hidden="true" name="IQ_HOLDINGS_MATERIALS_PERCENT" vbProcedure="false">"c19223"</definedName>
    <definedName function="false" hidden="true" name="IQ_HOLDINGS_MATERIALS_VALUE" vbProcedure="false">"c19222"</definedName>
    <definedName function="false" hidden="true" name="IQ_HOLDINGS_TELECOMM_PERCENT" vbProcedure="false">"c19221"</definedName>
    <definedName function="false" hidden="true" name="IQ_HOLDINGS_TELECOMM_VALUE" vbProcedure="false">"c19220"</definedName>
    <definedName function="false" hidden="true" name="IQ_HOLDINGS_US_CANADA_PERCENT" vbProcedure="false">"c19227"</definedName>
    <definedName function="false" hidden="true" name="IQ_HOLDINGS_US_CANADA_VALUE" vbProcedure="false">"c19226"</definedName>
    <definedName function="false" hidden="true" name="IQ_HOLDINGS_UTILITIES_PERCENT" vbProcedure="false">"c19225"</definedName>
    <definedName function="false" hidden="true" name="IQ_HOLDINGS_UTILITIES_VALUE" vbProcedure="false">"c19224"</definedName>
    <definedName function="false" hidden="true" name="IQ_HOLDING_CIQID" vbProcedure="false">"c13802"</definedName>
    <definedName function="false" hidden="true" name="IQ_HOLDING_NAME" vbProcedure="false">"c13799"</definedName>
    <definedName function="false" hidden="true" name="IQ_HOLDING_PERCENT" vbProcedure="false">"c13805"</definedName>
    <definedName function="false" hidden="true" name="IQ_HOLDING_PERCENT_PORTFOLIO" vbProcedure="false">"c13806"</definedName>
    <definedName function="false" hidden="true" name="IQ_HOLDING_POSITION_DATE" vbProcedure="false">"c13808"</definedName>
    <definedName function="false" hidden="true" name="IQ_HOLDING_SECURITY_TYPE" vbProcedure="false">"c13803"</definedName>
    <definedName function="false" hidden="true" name="IQ_HOLDING_SHARES" vbProcedure="false">"c13804"</definedName>
    <definedName function="false" hidden="true" name="IQ_HOLDING_TICKER" vbProcedure="false">"c13800"</definedName>
    <definedName function="false" hidden="true" name="IQ_HOLDING_TRADING_ITEM_CIQID" vbProcedure="false">"c13801"</definedName>
    <definedName function="false" hidden="true" name="IQ_HOLDING_VALUE" vbProcedure="false">"c13807"</definedName>
    <definedName function="false" hidden="true" name="IQ_HOMEBUILDING_COGS_SALES" vbProcedure="false">"c15813"</definedName>
    <definedName function="false" hidden="true" name="IQ_HOMEBUILDING_INV_TURN" vbProcedure="false">"c15819"</definedName>
    <definedName function="false" hidden="true" name="IQ_HOMEBUILDING_TURN" vbProcedure="false">"c15820"</definedName>
    <definedName function="false" hidden="true" name="IQ_HOMEOWNERS_WRITTEN" vbProcedure="false">"c546"</definedName>
    <definedName function="false" hidden="true" name="IQ_HOME_AVG_LOAN_SIZE" vbProcedure="false">"c5911"</definedName>
    <definedName function="false" hidden="true" name="IQ_HOME_BACKLOG" vbProcedure="false">"c5844"</definedName>
    <definedName function="false" hidden="true" name="IQ_HOME_BACKLOG_AVG_JV" vbProcedure="false">"c5848"</definedName>
    <definedName function="false" hidden="true" name="IQ_HOME_BACKLOG_AVG_JV_GROWTH" vbProcedure="false">"c5928"</definedName>
    <definedName function="false" hidden="true" name="IQ_HOME_BACKLOG_AVG_JV_INC" vbProcedure="false">"c5851"</definedName>
    <definedName function="false" hidden="true" name="IQ_HOME_BACKLOG_AVG_JV_INC_GROWTH" vbProcedure="false">"c5931"</definedName>
    <definedName function="false" hidden="true" name="IQ_HOME_BACKLOG_AVG_PRICE" vbProcedure="false">"c5845"</definedName>
    <definedName function="false" hidden="true" name="IQ_HOME_BACKLOG_AVG_PRICE_GROWTH" vbProcedure="false">"c5925"</definedName>
    <definedName function="false" hidden="true" name="IQ_HOME_BACKLOG_GROWTH" vbProcedure="false">"c5924"</definedName>
    <definedName function="false" hidden="true" name="IQ_HOME_BACKLOG_JV" vbProcedure="false">"c5847"</definedName>
    <definedName function="false" hidden="true" name="IQ_HOME_BACKLOG_JV_GROWTH" vbProcedure="false">"c5927"</definedName>
    <definedName function="false" hidden="true" name="IQ_HOME_BACKLOG_JV_INC" vbProcedure="false">"c5850"</definedName>
    <definedName function="false" hidden="true" name="IQ_HOME_BACKLOG_JV_INC_GROWTH" vbProcedure="false">"c5930"</definedName>
    <definedName function="false" hidden="true" name="IQ_HOME_BACKLOG_VALUE" vbProcedure="false">"c5846"</definedName>
    <definedName function="false" hidden="true" name="IQ_HOME_BACKLOG_VALUE_GROWTH" vbProcedure="false">"c5926"</definedName>
    <definedName function="false" hidden="true" name="IQ_HOME_BACKLOG_VALUE_JV" vbProcedure="false">"c5849"</definedName>
    <definedName function="false" hidden="true" name="IQ_HOME_BACKLOG_VALUE_JV_GROWTH" vbProcedure="false">"c5929"</definedName>
    <definedName function="false" hidden="true" name="IQ_HOME_BACKLOG_VALUE_JV_INC" vbProcedure="false">"c5852"</definedName>
    <definedName function="false" hidden="true" name="IQ_HOME_BACKLOG_VALUE_JV_INC_GROWTH" vbProcedure="false">"c5932"</definedName>
    <definedName function="false" hidden="true" name="IQ_HOME_CANCELLATION_RATE" vbProcedure="false">"c16192"</definedName>
    <definedName function="false" hidden="true" name="IQ_HOME_CANCELLATION_RATE_INCL_JV" vbProcedure="false">"c16194"</definedName>
    <definedName function="false" hidden="true" name="IQ_HOME_CANCELLATION_RATE_JV" vbProcedure="false">"c16193"</definedName>
    <definedName function="false" hidden="true" name="IQ_HOME_COMMUNITIES_ACTIVE" vbProcedure="false">"c5862"</definedName>
    <definedName function="false" hidden="true" name="IQ_HOME_COMMUNITIES_ACTIVE_GROWTH" vbProcedure="false">"c5942"</definedName>
    <definedName function="false" hidden="true" name="IQ_HOME_COMMUNITIES_ACTIVE_JV" vbProcedure="false">"c5863"</definedName>
    <definedName function="false" hidden="true" name="IQ_HOME_COMMUNITIES_ACTIVE_JV_GROWTH" vbProcedure="false">"c5943"</definedName>
    <definedName function="false" hidden="true" name="IQ_HOME_COMMUNITIES_ACTIVE_JV_INC" vbProcedure="false">"c5864"</definedName>
    <definedName function="false" hidden="true" name="IQ_HOME_COMMUNITIES_ACTIVE_JV_INC_GROWTH" vbProcedure="false">"c5944"</definedName>
    <definedName function="false" hidden="true" name="IQ_HOME_COST_CONSTRUCTION_SVCS" vbProcedure="false">"c5882"</definedName>
    <definedName function="false" hidden="true" name="IQ_HOME_COST_ELIMINATIONS_OTHER" vbProcedure="false">"c5883"</definedName>
    <definedName function="false" hidden="true" name="IQ_HOME_COST_FINANCIAL_SVCS" vbProcedure="false">"c5881"</definedName>
    <definedName function="false" hidden="true" name="IQ_HOME_COST_HOUSING" vbProcedure="false">"c5877"</definedName>
    <definedName function="false" hidden="true" name="IQ_HOME_COST_LAND_LOT" vbProcedure="false">"c5878"</definedName>
    <definedName function="false" hidden="true" name="IQ_HOME_COST_OTHER_HOMEBUILDING" vbProcedure="false">"c5879"</definedName>
    <definedName function="false" hidden="true" name="IQ_HOME_COST_TOTAL" vbProcedure="false">"c5884"</definedName>
    <definedName function="false" hidden="true" name="IQ_HOME_COST_TOTAL_HOMEBUILDING" vbProcedure="false">"c5880"</definedName>
    <definedName function="false" hidden="true" name="IQ_HOME_DELIVERED" vbProcedure="false">"c5835"</definedName>
    <definedName function="false" hidden="true" name="IQ_HOME_DELIVERED_AVG_PRICE" vbProcedure="false">"c5836"</definedName>
    <definedName function="false" hidden="true" name="IQ_HOME_DELIVERED_AVG_PRICE_GROWTH" vbProcedure="false">"c5916"</definedName>
    <definedName function="false" hidden="true" name="IQ_HOME_DELIVERED_AVG_PRICE_JV" vbProcedure="false">"c5839"</definedName>
    <definedName function="false" hidden="true" name="IQ_HOME_DELIVERED_AVG_PRICE_JV_GROWTH" vbProcedure="false">"c5919"</definedName>
    <definedName function="false" hidden="true" name="IQ_HOME_DELIVERED_AVG_PRICE_JV_INC" vbProcedure="false">"c5842"</definedName>
    <definedName function="false" hidden="true" name="IQ_HOME_DELIVERED_AVG_PRICE_JV_INC_GROWTH" vbProcedure="false">"c5922"</definedName>
    <definedName function="false" hidden="true" name="IQ_HOME_DELIVERED_GROWTH" vbProcedure="false">"c5915"</definedName>
    <definedName function="false" hidden="true" name="IQ_HOME_DELIVERED_JV" vbProcedure="false">"c5838"</definedName>
    <definedName function="false" hidden="true" name="IQ_HOME_DELIVERED_JV_GROWTH" vbProcedure="false">"c5918"</definedName>
    <definedName function="false" hidden="true" name="IQ_HOME_DELIVERED_JV_INC" vbProcedure="false">"c5841"</definedName>
    <definedName function="false" hidden="true" name="IQ_HOME_DELIVERED_JV_INC_GROWTH" vbProcedure="false">"c5921"</definedName>
    <definedName function="false" hidden="true" name="IQ_HOME_DELIVERED_VALUE" vbProcedure="false">"c5837"</definedName>
    <definedName function="false" hidden="true" name="IQ_HOME_DELIVERED_VALUE_GROWTH" vbProcedure="false">"c5917"</definedName>
    <definedName function="false" hidden="true" name="IQ_HOME_DELIVERED_VALUE_JV" vbProcedure="false">"c5840"</definedName>
    <definedName function="false" hidden="true" name="IQ_HOME_DELIVERED_VALUE_JV_GROWTH" vbProcedure="false">"c5920"</definedName>
    <definedName function="false" hidden="true" name="IQ_HOME_DELIVERED_VALUE_JV_INC" vbProcedure="false">"c5843"</definedName>
    <definedName function="false" hidden="true" name="IQ_HOME_DELIVERED_VALUE_JV_INC_GROWTH" vbProcedure="false">"c5923"</definedName>
    <definedName function="false" hidden="true" name="IQ_HOME_EQUITY_LOANS_TOT_LOANS_FFIEC" vbProcedure="false">"c13867"</definedName>
    <definedName function="false" hidden="true" name="IQ_HOME_EQUITY_LOC_NET_CHARGE_OFFS_FDIC" vbProcedure="false">"c6644"</definedName>
    <definedName function="false" hidden="true" name="IQ_HOME_EQUITY_LOC_TOTAL_CHARGE_OFFS_FDIC" vbProcedure="false">"c6606"</definedName>
    <definedName function="false" hidden="true" name="IQ_HOME_EQUITY_LOC_TOTAL_RECOVERIES_FDIC" vbProcedure="false">"c6625"</definedName>
    <definedName function="false" hidden="true" name="IQ_HOME_FINISHED_HOMES_CIP" vbProcedure="false">"c5865"</definedName>
    <definedName function="false" hidden="true" name="IQ_HOME_FIRSTLIEN_MORT_ORIGINATED" vbProcedure="false">"c5905"</definedName>
    <definedName function="false" hidden="true" name="IQ_HOME_FIRSTLIEN_MORT_ORIGINATED_VOL" vbProcedure="false">"c5908"</definedName>
    <definedName function="false" hidden="true" name="IQ_HOME_HUC" vbProcedure="false">"c5822"</definedName>
    <definedName function="false" hidden="true" name="IQ_HOME_HUC_JV" vbProcedure="false">"c5823"</definedName>
    <definedName function="false" hidden="true" name="IQ_HOME_HUC_JV_INC" vbProcedure="false">"c5824"</definedName>
    <definedName function="false" hidden="true" name="IQ_HOME_INV_NOT_OWNED" vbProcedure="false">"c5868"</definedName>
    <definedName function="false" hidden="true" name="IQ_HOME_LAND_DEVELOPMENT" vbProcedure="false">"c5866"</definedName>
    <definedName function="false" hidden="true" name="IQ_HOME_LAND_FUTURE_DEVELOPMENT" vbProcedure="false">"c5867"</definedName>
    <definedName function="false" hidden="true" name="IQ_HOME_LOANS_SOLD_COUNT" vbProcedure="false">"c5912"</definedName>
    <definedName function="false" hidden="true" name="IQ_HOME_LOANS_SOLD_VALUE" vbProcedure="false">"c5913"</definedName>
    <definedName function="false" hidden="true" name="IQ_HOME_LOAN_APPLICATIONS" vbProcedure="false">"c5910"</definedName>
    <definedName function="false" hidden="true" name="IQ_HOME_LOTS_CONTROLLED" vbProcedure="false">"c5831"</definedName>
    <definedName function="false" hidden="true" name="IQ_HOME_LOTS_FINISHED" vbProcedure="false">"c5827"</definedName>
    <definedName function="false" hidden="true" name="IQ_HOME_LOTS_HELD_SALE" vbProcedure="false">"c5830"</definedName>
    <definedName function="false" hidden="true" name="IQ_HOME_LOTS_JV" vbProcedure="false">"c5833"</definedName>
    <definedName function="false" hidden="true" name="IQ_HOME_LOTS_JV_INC" vbProcedure="false">"c5834"</definedName>
    <definedName function="false" hidden="true" name="IQ_HOME_LOTS_OTHER" vbProcedure="false">"c5832"</definedName>
    <definedName function="false" hidden="true" name="IQ_HOME_LOTS_OWNED" vbProcedure="false">"c5828"</definedName>
    <definedName function="false" hidden="true" name="IQ_HOME_LOTS_UNDER_DEVELOPMENT" vbProcedure="false">"c5826"</definedName>
    <definedName function="false" hidden="true" name="IQ_HOME_LOTS_UNDER_OPTION" vbProcedure="false">"c5829"</definedName>
    <definedName function="false" hidden="true" name="IQ_HOME_LOTS_UNDEVELOPED" vbProcedure="false">"c5825"</definedName>
    <definedName function="false" hidden="true" name="IQ_HOME_MORT_CAPTURE_RATE" vbProcedure="false">"c5906"</definedName>
    <definedName function="false" hidden="true" name="IQ_HOME_MORT_ORIGINATED" vbProcedure="false">"c5907"</definedName>
    <definedName function="false" hidden="true" name="IQ_HOME_OBLIGATIONS_INV_NOT_OWNED" vbProcedure="false">"c5914"</definedName>
    <definedName function="false" hidden="true" name="IQ_HOME_ORDERS" vbProcedure="false">"c5853"</definedName>
    <definedName function="false" hidden="true" name="IQ_HOME_ORDERS_AVG_PRICE" vbProcedure="false">"c5854"</definedName>
    <definedName function="false" hidden="true" name="IQ_HOME_ORDERS_AVG_PRICE_GROWTH" vbProcedure="false">"c5934"</definedName>
    <definedName function="false" hidden="true" name="IQ_HOME_ORDERS_AVG_PRICE_JV" vbProcedure="false">"c5857"</definedName>
    <definedName function="false" hidden="true" name="IQ_HOME_ORDERS_AVG_PRICE_JV_GROWTH" vbProcedure="false">"c5937"</definedName>
    <definedName function="false" hidden="true" name="IQ_HOME_ORDERS_AVG_PRICE_JV_INC" vbProcedure="false">"c5860"</definedName>
    <definedName function="false" hidden="true" name="IQ_HOME_ORDERS_AVG_PRICE_JV_INC_GROWTH" vbProcedure="false">"c5940"</definedName>
    <definedName function="false" hidden="true" name="IQ_HOME_ORDERS_GROWTH" vbProcedure="false">"c5933"</definedName>
    <definedName function="false" hidden="true" name="IQ_HOME_ORDERS_JV" vbProcedure="false">"c5856"</definedName>
    <definedName function="false" hidden="true" name="IQ_HOME_ORDERS_JV_GROWTH" vbProcedure="false">"c5936"</definedName>
    <definedName function="false" hidden="true" name="IQ_HOME_ORDERS_JV_INC" vbProcedure="false">"c5859"</definedName>
    <definedName function="false" hidden="true" name="IQ_HOME_ORDERS_JV_INC_GROWTH" vbProcedure="false">"c5939"</definedName>
    <definedName function="false" hidden="true" name="IQ_HOME_ORDERS_VALUE" vbProcedure="false">"c5855"</definedName>
    <definedName function="false" hidden="true" name="IQ_HOME_ORDERS_VALUE_GROWTH" vbProcedure="false">"c5935"</definedName>
    <definedName function="false" hidden="true" name="IQ_HOME_ORDERS_VALUE_JV" vbProcedure="false">"c5858"</definedName>
    <definedName function="false" hidden="true" name="IQ_HOME_ORDERS_VALUE_JV_GROWTH" vbProcedure="false">"c5938"</definedName>
    <definedName function="false" hidden="true" name="IQ_HOME_ORDERS_VALUE_JV_INC" vbProcedure="false">"c5861"</definedName>
    <definedName function="false" hidden="true" name="IQ_HOME_ORDERS_VALUE_JV_INC_GROWTH" vbProcedure="false">"c5941"</definedName>
    <definedName function="false" hidden="true" name="IQ_HOME_ORIGINATION_TOTAL" vbProcedure="false">"c5909"</definedName>
    <definedName function="false" hidden="true" name="IQ_HOME_PRETAX_INC_CONSTRUCTION_SVCS" vbProcedure="false">"c5890"</definedName>
    <definedName function="false" hidden="true" name="IQ_HOME_PRETAX_INC_ELIMINATIONS_OTHER" vbProcedure="false">"c5891"</definedName>
    <definedName function="false" hidden="true" name="IQ_HOME_PRETAX_INC_FINANCIAL_SVCS" vbProcedure="false">"c5889"</definedName>
    <definedName function="false" hidden="true" name="IQ_HOME_PRETAX_INC_HOUSING" vbProcedure="false">"c5885"</definedName>
    <definedName function="false" hidden="true" name="IQ_HOME_PRETAX_INC_LAND_LOT" vbProcedure="false">"c5886"</definedName>
    <definedName function="false" hidden="true" name="IQ_HOME_PRETAX_INC_OTHER_HOMEBUILDING" vbProcedure="false">"c5887"</definedName>
    <definedName function="false" hidden="true" name="IQ_HOME_PRETAX_INC_TOTAL" vbProcedure="false">"c5892"</definedName>
    <definedName function="false" hidden="true" name="IQ_HOME_PRETAX_INC_TOTAL_HOMEBUILDING" vbProcedure="false">"c5888"</definedName>
    <definedName function="false" hidden="true" name="IQ_HOME_PURCH_OBLIGATION_1YR" vbProcedure="false">"c5898"</definedName>
    <definedName function="false" hidden="true" name="IQ_HOME_PURCH_OBLIGATION_2YR" vbProcedure="false">"c5899"</definedName>
    <definedName function="false" hidden="true" name="IQ_HOME_PURCH_OBLIGATION_3YR" vbProcedure="false">"c5900"</definedName>
    <definedName function="false" hidden="true" name="IQ_HOME_PURCH_OBLIGATION_4YR" vbProcedure="false">"c5901"</definedName>
    <definedName function="false" hidden="true" name="IQ_HOME_PURCH_OBLIGATION_5YR" vbProcedure="false">"c5902"</definedName>
    <definedName function="false" hidden="true" name="IQ_HOME_PURCH_OBLIGATION_AFTER5" vbProcedure="false">"c5903"</definedName>
    <definedName function="false" hidden="true" name="IQ_HOME_PURCH_OBLIGATION_TOTAL" vbProcedure="false">"c5904"</definedName>
    <definedName function="false" hidden="true" name="IQ_HOME_REV_CONSTRUCTION_SERVICES" vbProcedure="false">"c5874"</definedName>
    <definedName function="false" hidden="true" name="IQ_HOME_REV_ELIMINATIONS_OTHER" vbProcedure="false">"c5875"</definedName>
    <definedName function="false" hidden="true" name="IQ_HOME_REV_FINANCIAL_SERVICES" vbProcedure="false">"c5873"</definedName>
    <definedName function="false" hidden="true" name="IQ_HOME_REV_HOUSING" vbProcedure="false">"c5872"</definedName>
    <definedName function="false" hidden="true" name="IQ_HOME_REV_LAND_LOT" vbProcedure="false">"c5870"</definedName>
    <definedName function="false" hidden="true" name="IQ_HOME_REV_OTHER_HOMEBUILDING" vbProcedure="false">"c5871"</definedName>
    <definedName function="false" hidden="true" name="IQ_HOME_REV_TOTAL" vbProcedure="false">"c5876"</definedName>
    <definedName function="false" hidden="true" name="IQ_HOME_SALES_NEW" vbProcedure="false">"c6924"</definedName>
    <definedName function="false" hidden="true" name="IQ_HOME_SALES_NEW_APR" vbProcedure="false">"c7584"</definedName>
    <definedName function="false" hidden="true" name="IQ_HOME_SALES_NEW_APR_FC" vbProcedure="false">"c8464"</definedName>
    <definedName function="false" hidden="true" name="IQ_HOME_SALES_NEW_FC" vbProcedure="false">"c7804"</definedName>
    <definedName function="false" hidden="true" name="IQ_HOME_SALES_NEW_POP" vbProcedure="false">"c7144"</definedName>
    <definedName function="false" hidden="true" name="IQ_HOME_SALES_NEW_POP_FC" vbProcedure="false">"c8024"</definedName>
    <definedName function="false" hidden="true" name="IQ_HOME_SALES_NEW_YOY" vbProcedure="false">"c7364"</definedName>
    <definedName function="false" hidden="true" name="IQ_HOME_SALES_NEW_YOY_FC" vbProcedure="false">"c8244"</definedName>
    <definedName function="false" hidden="true" name="IQ_HOME_TOTAL_INV" vbProcedure="false">"c5869"</definedName>
    <definedName function="false" hidden="true" name="IQ_HOME_WARRANTY_RES_BEG" vbProcedure="false">"c5893"</definedName>
    <definedName function="false" hidden="true" name="IQ_HOME_WARRANTY_RES_END" vbProcedure="false">"c5897"</definedName>
    <definedName function="false" hidden="true" name="IQ_HOME_WARRANTY_RES_ISS" vbProcedure="false">"c5894"</definedName>
    <definedName function="false" hidden="true" name="IQ_HOME_WARRANTY_RES_OTHER" vbProcedure="false">"c5896"</definedName>
    <definedName function="false" hidden="true" name="IQ_HOME_WARRANTY_RES_PAY" vbProcedure="false">"c5895"</definedName>
    <definedName function="false" hidden="true" name="IQ_HOTEL_OPERATING_EXPENSE" vbProcedure="false">"c16042"</definedName>
    <definedName function="false" hidden="true" name="IQ_HOTEL_OPERATING_REVENUE" vbProcedure="false">"c16026"</definedName>
    <definedName function="false" hidden="true" name="IQ_HOURLY_COMP" vbProcedure="false">"c6879"</definedName>
    <definedName function="false" hidden="true" name="IQ_HOURLY_COMP_APR" vbProcedure="false">"c7539"</definedName>
    <definedName function="false" hidden="true" name="IQ_HOURLY_COMP_APR_FC" vbProcedure="false">"c8419"</definedName>
    <definedName function="false" hidden="true" name="IQ_HOURLY_COMP_FC" vbProcedure="false">"c7759"</definedName>
    <definedName function="false" hidden="true" name="IQ_HOURLY_COMP_POP" vbProcedure="false">"c7099"</definedName>
    <definedName function="false" hidden="true" name="IQ_HOURLY_COMP_POP_FC" vbProcedure="false">"c7979"</definedName>
    <definedName function="false" hidden="true" name="IQ_HOURLY_COMP_YOY" vbProcedure="false">"c7319"</definedName>
    <definedName function="false" hidden="true" name="IQ_HOURLY_COMP_YOY_FC" vbProcedure="false">"c8199"</definedName>
    <definedName function="false" hidden="true" name="IQ_HOUSING_COMPLETIONS" vbProcedure="false">"c6881"</definedName>
    <definedName function="false" hidden="true" name="IQ_HOUSING_COMPLETIONS_APR" vbProcedure="false">"c7541"</definedName>
    <definedName function="false" hidden="true" name="IQ_HOUSING_COMPLETIONS_APR_FC" vbProcedure="false">"c8421"</definedName>
    <definedName function="false" hidden="true" name="IQ_HOUSING_COMPLETIONS_FC" vbProcedure="false">"c7761"</definedName>
    <definedName function="false" hidden="true" name="IQ_HOUSING_COMPLETIONS_POP" vbProcedure="false">"c7101"</definedName>
    <definedName function="false" hidden="true" name="IQ_HOUSING_COMPLETIONS_POP_FC" vbProcedure="false">"c7981"</definedName>
    <definedName function="false" hidden="true" name="IQ_HOUSING_COMPLETIONS_SINGLE_FAM_APR_FC_UNUSED" vbProcedure="false">"c8422"</definedName>
    <definedName function="false" hidden="true" name="IQ_HOUSING_COMPLETIONS_SINGLE_FAM_APR_FC_UNUSED_UNUSED_UNUSED" vbProcedure="false">"c8422"</definedName>
    <definedName function="false" hidden="true" name="IQ_HOUSING_COMPLETIONS_SINGLE_FAM_APR_UNUSED" vbProcedure="false">"c7542"</definedName>
    <definedName function="false" hidden="true" name="IQ_HOUSING_COMPLETIONS_SINGLE_FAM_APR_UNUSED_UNUSED_UNUSED" vbProcedure="false">"c7542"</definedName>
    <definedName function="false" hidden="true" name="IQ_HOUSING_COMPLETIONS_SINGLE_FAM_FC_UNUSED" vbProcedure="false">"c7762"</definedName>
    <definedName function="false" hidden="true" name="IQ_HOUSING_COMPLETIONS_SINGLE_FAM_FC_UNUSED_UNUSED_UNUSED" vbProcedure="false">"c7762"</definedName>
    <definedName function="false" hidden="true" name="IQ_HOUSING_COMPLETIONS_SINGLE_FAM_POP_FC_UNUSED" vbProcedure="false">"c7982"</definedName>
    <definedName function="false" hidden="true" name="IQ_HOUSING_COMPLETIONS_SINGLE_FAM_POP_FC_UNUSED_UNUSED_UNUSED" vbProcedure="false">"c7982"</definedName>
    <definedName function="false" hidden="true" name="IQ_HOUSING_COMPLETIONS_SINGLE_FAM_POP_UNUSED" vbProcedure="false">"c7102"</definedName>
    <definedName function="false" hidden="true" name="IQ_HOUSING_COMPLETIONS_SINGLE_FAM_POP_UNUSED_UNUSED_UNUSED" vbProcedure="false">"c7102"</definedName>
    <definedName function="false" hidden="true" name="IQ_HOUSING_COMPLETIONS_SINGLE_FAM_UNUSED" vbProcedure="false">"c6882"</definedName>
    <definedName function="false" hidden="true" name="IQ_HOUSING_COMPLETIONS_SINGLE_FAM_UNUSED_UNUSED_UNUSED" vbProcedure="false">"c6882"</definedName>
    <definedName function="false" hidden="true" name="IQ_HOUSING_COMPLETIONS_SINGLE_FAM_YOY_FC_UNUSED" vbProcedure="false">"c8202"</definedName>
    <definedName function="false" hidden="true" name="IQ_HOUSING_COMPLETIONS_SINGLE_FAM_YOY_FC_UNUSED_UNUSED_UNUSED" vbProcedure="false">"c8202"</definedName>
    <definedName function="false" hidden="true" name="IQ_HOUSING_COMPLETIONS_SINGLE_FAM_YOY_UNUSED" vbProcedure="false">"c7322"</definedName>
    <definedName function="false" hidden="true" name="IQ_HOUSING_COMPLETIONS_SINGLE_FAM_YOY_UNUSED_UNUSED_UNUSED" vbProcedure="false">"c7322"</definedName>
    <definedName function="false" hidden="true" name="IQ_HOUSING_COMPLETIONS_YOY" vbProcedure="false">"c7321"</definedName>
    <definedName function="false" hidden="true" name="IQ_HOUSING_COMPLETIONS_YOY_FC" vbProcedure="false">"c8201"</definedName>
    <definedName function="false" hidden="true" name="IQ_HOUSING_PERMITS" vbProcedure="false">"c6883"</definedName>
    <definedName function="false" hidden="true" name="IQ_HOUSING_PERMITS_APR" vbProcedure="false">"c7543"</definedName>
    <definedName function="false" hidden="true" name="IQ_HOUSING_PERMITS_APR_FC" vbProcedure="false">"c8423"</definedName>
    <definedName function="false" hidden="true" name="IQ_HOUSING_PERMITS_FC" vbProcedure="false">"c7763"</definedName>
    <definedName function="false" hidden="true" name="IQ_HOUSING_PERMITS_POP" vbProcedure="false">"c7103"</definedName>
    <definedName function="false" hidden="true" name="IQ_HOUSING_PERMITS_POP_FC" vbProcedure="false">"c7983"</definedName>
    <definedName function="false" hidden="true" name="IQ_HOUSING_PERMITS_YOY" vbProcedure="false">"c7323"</definedName>
    <definedName function="false" hidden="true" name="IQ_HOUSING_PERMITS_YOY_FC" vbProcedure="false">"c8203"</definedName>
    <definedName function="false" hidden="true" name="IQ_HOUSING_STARTS" vbProcedure="false">"c6884"</definedName>
    <definedName function="false" hidden="true" name="IQ_HOUSING_STARTS_APR" vbProcedure="false">"c7544"</definedName>
    <definedName function="false" hidden="true" name="IQ_HOUSING_STARTS_APR_FC" vbProcedure="false">"c8424"</definedName>
    <definedName function="false" hidden="true" name="IQ_HOUSING_STARTS_FC" vbProcedure="false">"c7764"</definedName>
    <definedName function="false" hidden="true" name="IQ_HOUSING_STARTS_POP" vbProcedure="false">"c7104"</definedName>
    <definedName function="false" hidden="true" name="IQ_HOUSING_STARTS_POP_FC" vbProcedure="false">"c7984"</definedName>
    <definedName function="false" hidden="true" name="IQ_HOUSING_STARTS_SAAR" vbProcedure="false">"c6885"</definedName>
    <definedName function="false" hidden="true" name="IQ_HOUSING_STARTS_SAAR_APR" vbProcedure="false">"c7545"</definedName>
    <definedName function="false" hidden="true" name="IQ_HOUSING_STARTS_SAAR_APR_FC" vbProcedure="false">"c8425"</definedName>
    <definedName function="false" hidden="true" name="IQ_HOUSING_STARTS_SAAR_FC" vbProcedure="false">"c7765"</definedName>
    <definedName function="false" hidden="true" name="IQ_HOUSING_STARTS_SAAR_POP" vbProcedure="false">"c7105"</definedName>
    <definedName function="false" hidden="true" name="IQ_HOUSING_STARTS_SAAR_POP_FC" vbProcedure="false">"c7985"</definedName>
    <definedName function="false" hidden="true" name="IQ_HOUSING_STARTS_SAAR_YOY" vbProcedure="false">"c7325"</definedName>
    <definedName function="false" hidden="true" name="IQ_HOUSING_STARTS_SAAR_YOY_FC" vbProcedure="false">"c8205"</definedName>
    <definedName function="false" hidden="true" name="IQ_HOUSING_STARTS_YOY" vbProcedure="false">"c7324"</definedName>
    <definedName function="false" hidden="true" name="IQ_HOUSING_STARTS_YOY_FC" vbProcedure="false">"c8204"</definedName>
    <definedName function="false" hidden="true" name="IQ_HRS_WORKED_FULL_PT" vbProcedure="false">"c6880"</definedName>
    <definedName function="false" hidden="true" name="IQ_HRS_WORKED_FULL_PT_APR" vbProcedure="false">"c7540"</definedName>
    <definedName function="false" hidden="true" name="IQ_HRS_WORKED_FULL_PT_APR_FC" vbProcedure="false">"c8420"</definedName>
    <definedName function="false" hidden="true" name="IQ_HRS_WORKED_FULL_PT_FC" vbProcedure="false">"c7760"</definedName>
    <definedName function="false" hidden="true" name="IQ_HRS_WORKED_FULL_PT_POP" vbProcedure="false">"c7100"</definedName>
    <definedName function="false" hidden="true" name="IQ_HRS_WORKED_FULL_PT_POP_FC" vbProcedure="false">"c7980"</definedName>
    <definedName function="false" hidden="true" name="IQ_HRS_WORKED_FULL_PT_YOY" vbProcedure="false">"c7320"</definedName>
    <definedName function="false" hidden="true" name="IQ_HRS_WORKED_FULL_PT_YOY_FC" vbProcedure="false">"c8200"</definedName>
    <definedName function="false" hidden="true" name="IQ_HTM_INVEST_SECURITIES_FFIEC" vbProcedure="false">"c13455"</definedName>
    <definedName function="false" hidden="true" name="IQ_HTM_SECURITIES_TIER_1_FFIEC" vbProcedure="false">"c13342"</definedName>
    <definedName function="false" hidden="true" name="IQ_HYBRID_CAPITAL" vbProcedure="false">"c15245"</definedName>
    <definedName function="false" hidden="true" name="IQ_HYBRID_STRUCTURED_PRODUCTS_AFS_AMORT_COST_FFIEC" vbProcedure="false">"c20502"</definedName>
    <definedName function="false" hidden="true" name="IQ_HYBRID_STRUCTURED_PRODUCTS_AFS_FAIR_VAL_FFIEC" vbProcedure="false">"c20467"</definedName>
    <definedName function="false" hidden="true" name="IQ_HYBRID_STRUCTURED_PRODUCTS_AVAIL_SALE_FFIEC" vbProcedure="false">"c15265"</definedName>
    <definedName function="false" hidden="true" name="IQ_HYBRID_STRUCTURED_PRODUCTS_FFIEC" vbProcedure="false">"c15262"</definedName>
    <definedName function="false" hidden="true" name="IQ_HYBRID_STRUCTURED_PRODUCTS_HTM_AMORT_COST_FFIEC" vbProcedure="false">"c20450"</definedName>
    <definedName function="false" hidden="true" name="IQ_HYBRID_STRUCTURED_PRODUCTS_HTM_FAIR_VAL_FFIEC" vbProcedure="false">"c20485"</definedName>
    <definedName function="false" hidden="true" name="IQ_IBF_COMM_INDUST_LOANS_FFIEC" vbProcedure="false">"c15298"</definedName>
    <definedName function="false" hidden="true" name="IQ_IBF_DEPOSIT_LIABILITIES_DUE_TO_BANKS_FFIEC" vbProcedure="false">"c15300"</definedName>
    <definedName function="false" hidden="true" name="IQ_IB_ADVISORY_UNDERWRITING_FEES_FOREIGN_FFIEC" vbProcedure="false">"c15378"</definedName>
    <definedName function="false" hidden="true" name="IQ_IMPACT_UNRECOG_TAX_BENEFIT_EFFECTIVE_TAX" vbProcedure="false">"c15748"</definedName>
    <definedName function="false" hidden="true" name="IQ_IMPAIRED_LOANS" vbProcedure="false">"c15250"</definedName>
    <definedName function="false" hidden="true" name="IQ_IMPAIRMENT_GW" vbProcedure="false">"c548"</definedName>
    <definedName function="false" hidden="true" name="IQ_IMPAIRMENT_GW_SUPPLE" vbProcedure="false">"c13811"</definedName>
    <definedName function="false" hidden="true" name="IQ_IMPAIR_OIL" vbProcedure="false">"c547"</definedName>
    <definedName function="false" hidden="true" name="IQ_IMPORTS_GOODS" vbProcedure="false">"c6887"</definedName>
    <definedName function="false" hidden="true" name="IQ_IMPORTS_GOODS_APR" vbProcedure="false">"c7547"</definedName>
    <definedName function="false" hidden="true" name="IQ_IMPORTS_GOODS_APR_FC" vbProcedure="false">"c8427"</definedName>
    <definedName function="false" hidden="true" name="IQ_IMPORTS_GOODS_FC" vbProcedure="false">"c7767"</definedName>
    <definedName function="false" hidden="true" name="IQ_IMPORTS_GOODS_NONFACTOR_SERVICES" vbProcedure="false">"c6888"</definedName>
    <definedName function="false" hidden="true" name="IQ_IMPORTS_GOODS_NONFACTOR_SERVICES_APR" vbProcedure="false">"c7548"</definedName>
    <definedName function="false" hidden="true" name="IQ_IMPORTS_GOODS_NONFACTOR_SERVICES_APR_FC" vbProcedure="false">"c8428"</definedName>
    <definedName function="false" hidden="true" name="IQ_IMPORTS_GOODS_NONFACTOR_SERVICES_FC" vbProcedure="false">"c7768"</definedName>
    <definedName function="false" hidden="true" name="IQ_IMPORTS_GOODS_NONFACTOR_SERVICES_POP" vbProcedure="false">"c7108"</definedName>
    <definedName function="false" hidden="true" name="IQ_IMPORTS_GOODS_NONFACTOR_SERVICES_POP_FC" vbProcedure="false">"c7988"</definedName>
    <definedName function="false" hidden="true" name="IQ_IMPORTS_GOODS_NONFACTOR_SERVICES_YOY" vbProcedure="false">"c7328"</definedName>
    <definedName function="false" hidden="true" name="IQ_IMPORTS_GOODS_NONFACTOR_SERVICES_YOY_FC" vbProcedure="false">"c8208"</definedName>
    <definedName function="false" hidden="true" name="IQ_IMPORTS_GOODS_POP" vbProcedure="false">"c7107"</definedName>
    <definedName function="false" hidden="true" name="IQ_IMPORTS_GOODS_POP_FC" vbProcedure="false">"c7987"</definedName>
    <definedName function="false" hidden="true" name="IQ_IMPORTS_GOODS_REAL" vbProcedure="false">"c11950"</definedName>
    <definedName function="false" hidden="true" name="IQ_IMPORTS_GOODS_REAL_APR" vbProcedure="false">"c11953"</definedName>
    <definedName function="false" hidden="true" name="IQ_IMPORTS_GOODS_REAL_POP" vbProcedure="false">"c11951"</definedName>
    <definedName function="false" hidden="true" name="IQ_IMPORTS_GOODS_REAL_SAAR_APR_FC_UNUSED" vbProcedure="false">"c8523"</definedName>
    <definedName function="false" hidden="true" name="IQ_IMPORTS_GOODS_REAL_SAAR_APR_FC_UNUSED_UNUSED_UNUSED" vbProcedure="false">"c8523"</definedName>
    <definedName function="false" hidden="true" name="IQ_IMPORTS_GOODS_REAL_SAAR_APR_UNUSED" vbProcedure="false">"c7643"</definedName>
    <definedName function="false" hidden="true" name="IQ_IMPORTS_GOODS_REAL_SAAR_APR_UNUSED_UNUSED_UNUSED" vbProcedure="false">"c7643"</definedName>
    <definedName function="false" hidden="true" name="IQ_IMPORTS_GOODS_REAL_SAAR_FC_UNUSED" vbProcedure="false">"c7863"</definedName>
    <definedName function="false" hidden="true" name="IQ_IMPORTS_GOODS_REAL_SAAR_FC_UNUSED_UNUSED_UNUSED" vbProcedure="false">"c7863"</definedName>
    <definedName function="false" hidden="true" name="IQ_IMPORTS_GOODS_REAL_SAAR_POP_FC_UNUSED" vbProcedure="false">"c8083"</definedName>
    <definedName function="false" hidden="true" name="IQ_IMPORTS_GOODS_REAL_SAAR_POP_FC_UNUSED_UNUSED_UNUSED" vbProcedure="false">"c8083"</definedName>
    <definedName function="false" hidden="true" name="IQ_IMPORTS_GOODS_REAL_SAAR_POP_UNUSED" vbProcedure="false">"c7203"</definedName>
    <definedName function="false" hidden="true" name="IQ_IMPORTS_GOODS_REAL_SAAR_POP_UNUSED_UNUSED_UNUSED" vbProcedure="false">"c7203"</definedName>
    <definedName function="false" hidden="true" name="IQ_IMPORTS_GOODS_REAL_SAAR_UNUSED" vbProcedure="false">"c6983"</definedName>
    <definedName function="false" hidden="true" name="IQ_IMPORTS_GOODS_REAL_SAAR_UNUSED_UNUSED_UNUSED" vbProcedure="false">"c6983"</definedName>
    <definedName function="false" hidden="true" name="IQ_IMPORTS_GOODS_REAL_SAAR_YOY_FC_UNUSED" vbProcedure="false">"c8303"</definedName>
    <definedName function="false" hidden="true" name="IQ_IMPORTS_GOODS_REAL_SAAR_YOY_FC_UNUSED_UNUSED_UNUSED" vbProcedure="false">"c8303"</definedName>
    <definedName function="false" hidden="true" name="IQ_IMPORTS_GOODS_REAL_SAAR_YOY_UNUSED" vbProcedure="false">"c7423"</definedName>
    <definedName function="false" hidden="true" name="IQ_IMPORTS_GOODS_REAL_SAAR_YOY_UNUSED_UNUSED_UNUSED" vbProcedure="false">"c7423"</definedName>
    <definedName function="false" hidden="true" name="IQ_IMPORTS_GOODS_REAL_YOY" vbProcedure="false">"c11952"</definedName>
    <definedName function="false" hidden="true" name="IQ_IMPORTS_GOODS_SAAR" vbProcedure="false">"c6891"</definedName>
    <definedName function="false" hidden="true" name="IQ_IMPORTS_GOODS_SAAR_APR" vbProcedure="false">"c7551"</definedName>
    <definedName function="false" hidden="true" name="IQ_IMPORTS_GOODS_SAAR_APR_FC" vbProcedure="false">"c8431"</definedName>
    <definedName function="false" hidden="true" name="IQ_IMPORTS_GOODS_SAAR_FC" vbProcedure="false">"c7771"</definedName>
    <definedName function="false" hidden="true" name="IQ_IMPORTS_GOODS_SAAR_POP" vbProcedure="false">"c7111"</definedName>
    <definedName function="false" hidden="true" name="IQ_IMPORTS_GOODS_SAAR_POP_FC" vbProcedure="false">"c7991"</definedName>
    <definedName function="false" hidden="true" name="IQ_IMPORTS_GOODS_SAAR_USD_APR_FC" vbProcedure="false">"c11849"</definedName>
    <definedName function="false" hidden="true" name="IQ_IMPORTS_GOODS_SAAR_USD_FC" vbProcedure="false">"c11846"</definedName>
    <definedName function="false" hidden="true" name="IQ_IMPORTS_GOODS_SAAR_USD_POP_FC" vbProcedure="false">"c11847"</definedName>
    <definedName function="false" hidden="true" name="IQ_IMPORTS_GOODS_SAAR_USD_YOY_FC" vbProcedure="false">"c11848"</definedName>
    <definedName function="false" hidden="true" name="IQ_IMPORTS_GOODS_SAAR_YOY" vbProcedure="false">"c7331"</definedName>
    <definedName function="false" hidden="true" name="IQ_IMPORTS_GOODS_SAAR_YOY_FC" vbProcedure="false">"c8211"</definedName>
    <definedName function="false" hidden="true" name="IQ_IMPORTS_GOODS_SERVICES_APR_FC_UNUSED" vbProcedure="false">"c8429"</definedName>
    <definedName function="false" hidden="true" name="IQ_IMPORTS_GOODS_SERVICES_APR_FC_UNUSED_UNUSED_UNUSED" vbProcedure="false">"c8429"</definedName>
    <definedName function="false" hidden="true" name="IQ_IMPORTS_GOODS_SERVICES_APR_UNUSED" vbProcedure="false">"c7549"</definedName>
    <definedName function="false" hidden="true" name="IQ_IMPORTS_GOODS_SERVICES_APR_UNUSED_UNUSED_UNUSED" vbProcedure="false">"c7549"</definedName>
    <definedName function="false" hidden="true" name="IQ_IMPORTS_GOODS_SERVICES_FC_UNUSED" vbProcedure="false">"c7769"</definedName>
    <definedName function="false" hidden="true" name="IQ_IMPORTS_GOODS_SERVICES_FC_UNUSED_UNUSED_UNUSED" vbProcedure="false">"c7769"</definedName>
    <definedName function="false" hidden="true" name="IQ_IMPORTS_GOODS_SERVICES_POP_FC_UNUSED" vbProcedure="false">"c7989"</definedName>
    <definedName function="false" hidden="true" name="IQ_IMPORTS_GOODS_SERVICES_POP_FC_UNUSED_UNUSED_UNUSED" vbProcedure="false">"c7989"</definedName>
    <definedName function="false" hidden="true" name="IQ_IMPORTS_GOODS_SERVICES_POP_UNUSED" vbProcedure="false">"c7109"</definedName>
    <definedName function="false" hidden="true" name="IQ_IMPORTS_GOODS_SERVICES_POP_UNUSED_UNUSED_UNUSED" vbProcedure="false">"c7109"</definedName>
    <definedName function="false" hidden="true" name="IQ_IMPORTS_GOODS_SERVICES_REAL" vbProcedure="false">"c6985"</definedName>
    <definedName function="false" hidden="true" name="IQ_IMPORTS_GOODS_SERVICES_REAL_APR" vbProcedure="false">"c7645"</definedName>
    <definedName function="false" hidden="true" name="IQ_IMPORTS_GOODS_SERVICES_REAL_APR_FC" vbProcedure="false">"c8525"</definedName>
    <definedName function="false" hidden="true" name="IQ_IMPORTS_GOODS_SERVICES_REAL_FC" vbProcedure="false">"c7865"</definedName>
    <definedName function="false" hidden="true" name="IQ_IMPORTS_GOODS_SERVICES_REAL_POP" vbProcedure="false">"c7205"</definedName>
    <definedName function="false" hidden="true" name="IQ_IMPORTS_GOODS_SERVICES_REAL_POP_FC" vbProcedure="false">"c8085"</definedName>
    <definedName function="false" hidden="true" name="IQ_IMPORTS_GOODS_SERVICES_REAL_SAAR" vbProcedure="false">"c11958"</definedName>
    <definedName function="false" hidden="true" name="IQ_IMPORTS_GOODS_SERVICES_REAL_SAAR_APR" vbProcedure="false">"c11961"</definedName>
    <definedName function="false" hidden="true" name="IQ_IMPORTS_GOODS_SERVICES_REAL_SAAR_APR_FC_UNUSED" vbProcedure="false">"c8524"</definedName>
    <definedName function="false" hidden="true" name="IQ_IMPORTS_GOODS_SERVICES_REAL_SAAR_APR_FC_UNUSED_UNUSED_UNUSED" vbProcedure="false">"c8524"</definedName>
    <definedName function="false" hidden="true" name="IQ_IMPORTS_GOODS_SERVICES_REAL_SAAR_APR_UNUSED" vbProcedure="false">"c7644"</definedName>
    <definedName function="false" hidden="true" name="IQ_IMPORTS_GOODS_SERVICES_REAL_SAAR_APR_UNUSED_UNUSED_UNUSED" vbProcedure="false">"c7644"</definedName>
    <definedName function="false" hidden="true" name="IQ_IMPORTS_GOODS_SERVICES_REAL_SAAR_FC_UNUSED" vbProcedure="false">"c7864"</definedName>
    <definedName function="false" hidden="true" name="IQ_IMPORTS_GOODS_SERVICES_REAL_SAAR_FC_UNUSED_UNUSED_UNUSED" vbProcedure="false">"c7864"</definedName>
    <definedName function="false" hidden="true" name="IQ_IMPORTS_GOODS_SERVICES_REAL_SAAR_POP" vbProcedure="false">"c11959"</definedName>
    <definedName function="false" hidden="true" name="IQ_IMPORTS_GOODS_SERVICES_REAL_SAAR_POP_FC_UNUSED" vbProcedure="false">"c8084"</definedName>
    <definedName function="false" hidden="true" name="IQ_IMPORTS_GOODS_SERVICES_REAL_SAAR_POP_FC_UNUSED_UNUSED_UNUSED" vbProcedure="false">"c8084"</definedName>
    <definedName function="false" hidden="true" name="IQ_IMPORTS_GOODS_SERVICES_REAL_SAAR_POP_UNUSED" vbProcedure="false">"c7204"</definedName>
    <definedName function="false" hidden="true" name="IQ_IMPORTS_GOODS_SERVICES_REAL_SAAR_POP_UNUSED_UNUSED_UNUSED" vbProcedure="false">"c7204"</definedName>
    <definedName function="false" hidden="true" name="IQ_IMPORTS_GOODS_SERVICES_REAL_SAAR_UNUSED" vbProcedure="false">"c6984"</definedName>
    <definedName function="false" hidden="true" name="IQ_IMPORTS_GOODS_SERVICES_REAL_SAAR_UNUSED_UNUSED_UNUSED" vbProcedure="false">"c6984"</definedName>
    <definedName function="false" hidden="true" name="IQ_IMPORTS_GOODS_SERVICES_REAL_SAAR_USD" vbProcedure="false">"c11962"</definedName>
    <definedName function="false" hidden="true" name="IQ_IMPORTS_GOODS_SERVICES_REAL_SAAR_USD_APR" vbProcedure="false">"c11965"</definedName>
    <definedName function="false" hidden="true" name="IQ_IMPORTS_GOODS_SERVICES_REAL_SAAR_USD_APR_FC" vbProcedure="false">"c11969"</definedName>
    <definedName function="false" hidden="true" name="IQ_IMPORTS_GOODS_SERVICES_REAL_SAAR_USD_FC" vbProcedure="false">"c11966"</definedName>
    <definedName function="false" hidden="true" name="IQ_IMPORTS_GOODS_SERVICES_REAL_SAAR_USD_POP" vbProcedure="false">"c11963"</definedName>
    <definedName function="false" hidden="true" name="IQ_IMPORTS_GOODS_SERVICES_REAL_SAAR_USD_POP_FC" vbProcedure="false">"c11967"</definedName>
    <definedName function="false" hidden="true" name="IQ_IMPORTS_GOODS_SERVICES_REAL_SAAR_USD_YOY" vbProcedure="false">"c11964"</definedName>
    <definedName function="false" hidden="true" name="IQ_IMPORTS_GOODS_SERVICES_REAL_SAAR_USD_YOY_FC" vbProcedure="false">"c11968"</definedName>
    <definedName function="false" hidden="true" name="IQ_IMPORTS_GOODS_SERVICES_REAL_SAAR_YOY" vbProcedure="false">"c11960"</definedName>
    <definedName function="false" hidden="true" name="IQ_IMPORTS_GOODS_SERVICES_REAL_SAAR_YOY_FC_UNUSED" vbProcedure="false">"c8304"</definedName>
    <definedName function="false" hidden="true" name="IQ_IMPORTS_GOODS_SERVICES_REAL_SAAR_YOY_FC_UNUSED_UNUSED_UNUSED" vbProcedure="false">"c8304"</definedName>
    <definedName function="false" hidden="true" name="IQ_IMPORTS_GOODS_SERVICES_REAL_SAAR_YOY_UNUSED" vbProcedure="false">"c7424"</definedName>
    <definedName function="false" hidden="true" name="IQ_IMPORTS_GOODS_SERVICES_REAL_SAAR_YOY_UNUSED_UNUSED_UNUSED" vbProcedure="false">"c7424"</definedName>
    <definedName function="false" hidden="true" name="IQ_IMPORTS_GOODS_SERVICES_REAL_USD" vbProcedure="false">"c11954"</definedName>
    <definedName function="false" hidden="true" name="IQ_IMPORTS_GOODS_SERVICES_REAL_USD_APR" vbProcedure="false">"c11957"</definedName>
    <definedName function="false" hidden="true" name="IQ_IMPORTS_GOODS_SERVICES_REAL_USD_POP" vbProcedure="false">"c11955"</definedName>
    <definedName function="false" hidden="true" name="IQ_IMPORTS_GOODS_SERVICES_REAL_USD_YOY" vbProcedure="false">"c11956"</definedName>
    <definedName function="false" hidden="true" name="IQ_IMPORTS_GOODS_SERVICES_REAL_YOY" vbProcedure="false">"c7425"</definedName>
    <definedName function="false" hidden="true" name="IQ_IMPORTS_GOODS_SERVICES_REAL_YOY_FC" vbProcedure="false">"c8305"</definedName>
    <definedName function="false" hidden="true" name="IQ_IMPORTS_GOODS_SERVICES_SAAR" vbProcedure="false">"c6890"</definedName>
    <definedName function="false" hidden="true" name="IQ_IMPORTS_GOODS_SERVICES_SAAR_APR" vbProcedure="false">"c7550"</definedName>
    <definedName function="false" hidden="true" name="IQ_IMPORTS_GOODS_SERVICES_SAAR_APR_FC" vbProcedure="false">"c8430"</definedName>
    <definedName function="false" hidden="true" name="IQ_IMPORTS_GOODS_SERVICES_SAAR_FC" vbProcedure="false">"c7770"</definedName>
    <definedName function="false" hidden="true" name="IQ_IMPORTS_GOODS_SERVICES_SAAR_POP" vbProcedure="false">"c7110"</definedName>
    <definedName function="false" hidden="true" name="IQ_IMPORTS_GOODS_SERVICES_SAAR_POP_FC" vbProcedure="false">"c7990"</definedName>
    <definedName function="false" hidden="true" name="IQ_IMPORTS_GOODS_SERVICES_SAAR_YOY" vbProcedure="false">"c7330"</definedName>
    <definedName function="false" hidden="true" name="IQ_IMPORTS_GOODS_SERVICES_SAAR_YOY_FC" vbProcedure="false">"c8210"</definedName>
    <definedName function="false" hidden="true" name="IQ_IMPORTS_GOODS_SERVICES_UNUSED" vbProcedure="false">"c6889"</definedName>
    <definedName function="false" hidden="true" name="IQ_IMPORTS_GOODS_SERVICES_UNUSED_UNUSED_UNUSED" vbProcedure="false">"c6889"</definedName>
    <definedName function="false" hidden="true" name="IQ_IMPORTS_GOODS_SERVICES_USD" vbProcedure="false">"c11842"</definedName>
    <definedName function="false" hidden="true" name="IQ_IMPORTS_GOODS_SERVICES_USD_APR" vbProcedure="false">"c11845"</definedName>
    <definedName function="false" hidden="true" name="IQ_IMPORTS_GOODS_SERVICES_USD_POP" vbProcedure="false">"c11843"</definedName>
    <definedName function="false" hidden="true" name="IQ_IMPORTS_GOODS_SERVICES_USD_YOY" vbProcedure="false">"c11844"</definedName>
    <definedName function="false" hidden="true" name="IQ_IMPORTS_GOODS_SERVICES_YOY_FC_UNUSED" vbProcedure="false">"c8209"</definedName>
    <definedName function="false" hidden="true" name="IQ_IMPORTS_GOODS_SERVICES_YOY_FC_UNUSED_UNUSED_UNUSED" vbProcedure="false">"c8209"</definedName>
    <definedName function="false" hidden="true" name="IQ_IMPORTS_GOODS_SERVICES_YOY_UNUSED" vbProcedure="false">"c7329"</definedName>
    <definedName function="false" hidden="true" name="IQ_IMPORTS_GOODS_SERVICES_YOY_UNUSED_UNUSED_UNUSED" vbProcedure="false">"c7329"</definedName>
    <definedName function="false" hidden="true" name="IQ_IMPORTS_GOODS_USD_APR_FC" vbProcedure="false">"c11841"</definedName>
    <definedName function="false" hidden="true" name="IQ_IMPORTS_GOODS_USD_FC" vbProcedure="false">"c11838"</definedName>
    <definedName function="false" hidden="true" name="IQ_IMPORTS_GOODS_USD_POP_FC" vbProcedure="false">"c11839"</definedName>
    <definedName function="false" hidden="true" name="IQ_IMPORTS_GOODS_USD_YOY_FC" vbProcedure="false">"c11840"</definedName>
    <definedName function="false" hidden="true" name="IQ_IMPORTS_GOODS_YOY" vbProcedure="false">"c7327"</definedName>
    <definedName function="false" hidden="true" name="IQ_IMPORTS_GOODS_YOY_FC" vbProcedure="false">"c8207"</definedName>
    <definedName function="false" hidden="true" name="IQ_IMPORTS_NONFACTOR_SERVICES" vbProcedure="false">"c6892"</definedName>
    <definedName function="false" hidden="true" name="IQ_IMPORTS_NONFACTOR_SERVICES_APR" vbProcedure="false">"c7552"</definedName>
    <definedName function="false" hidden="true" name="IQ_IMPORTS_NONFACTOR_SERVICES_APR_FC" vbProcedure="false">"c8432"</definedName>
    <definedName function="false" hidden="true" name="IQ_IMPORTS_NONFACTOR_SERVICES_FC" vbProcedure="false">"c7772"</definedName>
    <definedName function="false" hidden="true" name="IQ_IMPORTS_NONFACTOR_SERVICES_POP" vbProcedure="false">"c7112"</definedName>
    <definedName function="false" hidden="true" name="IQ_IMPORTS_NONFACTOR_SERVICES_POP_FC" vbProcedure="false">"c7992"</definedName>
    <definedName function="false" hidden="true" name="IQ_IMPORTS_NONFACTOR_SERVICES_SAAR" vbProcedure="false">"c6893"</definedName>
    <definedName function="false" hidden="true" name="IQ_IMPORTS_NONFACTOR_SERVICES_SAAR_APR" vbProcedure="false">"c7553"</definedName>
    <definedName function="false" hidden="true" name="IQ_IMPORTS_NONFACTOR_SERVICES_SAAR_APR_FC" vbProcedure="false">"c8433"</definedName>
    <definedName function="false" hidden="true" name="IQ_IMPORTS_NONFACTOR_SERVICES_SAAR_FC" vbProcedure="false">"c7773"</definedName>
    <definedName function="false" hidden="true" name="IQ_IMPORTS_NONFACTOR_SERVICES_SAAR_POP" vbProcedure="false">"c7113"</definedName>
    <definedName function="false" hidden="true" name="IQ_IMPORTS_NONFACTOR_SERVICES_SAAR_POP_FC" vbProcedure="false">"c7993"</definedName>
    <definedName function="false" hidden="true" name="IQ_IMPORTS_NONFACTOR_SERVICES_SAAR_USD_APR_FC" vbProcedure="false">"c11857"</definedName>
    <definedName function="false" hidden="true" name="IQ_IMPORTS_NONFACTOR_SERVICES_SAAR_USD_FC" vbProcedure="false">"c11854"</definedName>
    <definedName function="false" hidden="true" name="IQ_IMPORTS_NONFACTOR_SERVICES_SAAR_USD_POP_FC" vbProcedure="false">"c11855"</definedName>
    <definedName function="false" hidden="true" name="IQ_IMPORTS_NONFACTOR_SERVICES_SAAR_USD_YOY_FC" vbProcedure="false">"c11856"</definedName>
    <definedName function="false" hidden="true" name="IQ_IMPORTS_NONFACTOR_SERVICES_SAAR_YOY" vbProcedure="false">"c7333"</definedName>
    <definedName function="false" hidden="true" name="IQ_IMPORTS_NONFACTOR_SERVICES_SAAR_YOY_FC" vbProcedure="false">"c8213"</definedName>
    <definedName function="false" hidden="true" name="IQ_IMPORTS_NONFACTOR_SERVICES_USD_APR_FC" vbProcedure="false">"c11853"</definedName>
    <definedName function="false" hidden="true" name="IQ_IMPORTS_NONFACTOR_SERVICES_USD_FC" vbProcedure="false">"c11850"</definedName>
    <definedName function="false" hidden="true" name="IQ_IMPORTS_NONFACTOR_SERVICES_USD_POP_FC" vbProcedure="false">"c11851"</definedName>
    <definedName function="false" hidden="true" name="IQ_IMPORTS_NONFACTOR_SERVICES_USD_YOY_FC" vbProcedure="false">"c11852"</definedName>
    <definedName function="false" hidden="true" name="IQ_IMPORTS_NONFACTOR_SERVICES_YOY" vbProcedure="false">"c7332"</definedName>
    <definedName function="false" hidden="true" name="IQ_IMPORTS_NONFACTOR_SERVICES_YOY_FC" vbProcedure="false">"c8212"</definedName>
    <definedName function="false" hidden="true" name="IQ_IMPORTS_SERVICES" vbProcedure="false">"c11858"</definedName>
    <definedName function="false" hidden="true" name="IQ_IMPORTS_SERVICES_APR" vbProcedure="false">"c11861"</definedName>
    <definedName function="false" hidden="true" name="IQ_IMPORTS_SERVICES_POP" vbProcedure="false">"c11859"</definedName>
    <definedName function="false" hidden="true" name="IQ_IMPORTS_SERVICES_REAL" vbProcedure="false">"c6986"</definedName>
    <definedName function="false" hidden="true" name="IQ_IMPORTS_SERVICES_REAL_APR" vbProcedure="false">"c7646"</definedName>
    <definedName function="false" hidden="true" name="IQ_IMPORTS_SERVICES_REAL_APR_FC" vbProcedure="false">"c8526"</definedName>
    <definedName function="false" hidden="true" name="IQ_IMPORTS_SERVICES_REAL_FC" vbProcedure="false">"c7866"</definedName>
    <definedName function="false" hidden="true" name="IQ_IMPORTS_SERVICES_REAL_POP" vbProcedure="false">"c7206"</definedName>
    <definedName function="false" hidden="true" name="IQ_IMPORTS_SERVICES_REAL_POP_FC" vbProcedure="false">"c8086"</definedName>
    <definedName function="false" hidden="true" name="IQ_IMPORTS_SERVICES_REAL_YOY" vbProcedure="false">"c7426"</definedName>
    <definedName function="false" hidden="true" name="IQ_IMPORTS_SERVICES_REAL_YOY_FC" vbProcedure="false">"c8306"</definedName>
    <definedName function="false" hidden="true" name="IQ_IMPORTS_SERVICES_YOY" vbProcedure="false">"c11860"</definedName>
    <definedName function="false" hidden="true" name="IQ_IMPORT_PRICE_INDEX" vbProcedure="false">"c6886"</definedName>
    <definedName function="false" hidden="true" name="IQ_IMPORT_PRICE_INDEX_APR" vbProcedure="false">"c7546"</definedName>
    <definedName function="false" hidden="true" name="IQ_IMPORT_PRICE_INDEX_APR_FC" vbProcedure="false">"c8426"</definedName>
    <definedName function="false" hidden="true" name="IQ_IMPORT_PRICE_INDEX_FC" vbProcedure="false">"c7766"</definedName>
    <definedName function="false" hidden="true" name="IQ_IMPORT_PRICE_INDEX_POP" vbProcedure="false">"c7106"</definedName>
    <definedName function="false" hidden="true" name="IQ_IMPORT_PRICE_INDEX_POP_FC" vbProcedure="false">"c7986"</definedName>
    <definedName function="false" hidden="true" name="IQ_IMPORT_PRICE_INDEX_YOY" vbProcedure="false">"c7326"</definedName>
    <definedName function="false" hidden="true" name="IQ_IMPORT_PRICE_INDEX_YOY_FC" vbProcedure="false">"c8206"</definedName>
    <definedName function="false" hidden="true" name="IQ_IMPUT_OPER_LEASE_DEPR" vbProcedure="false">"c2987"</definedName>
    <definedName function="false" hidden="true" name="IQ_IMPUT_OPER_LEASE_INT_EXP" vbProcedure="false">"c2986"</definedName>
    <definedName function="false" hidden="true" name="IQ_IM_AVG_REV_PER_CLICK" vbProcedure="false">"c9991"</definedName>
    <definedName function="false" hidden="true" name="IQ_IM_NUMBER_PAGE_VIEWS" vbProcedure="false">"c9993"</definedName>
    <definedName function="false" hidden="true" name="IQ_IM_NUMBER_PAID_CLICKS" vbProcedure="false">"c9995"</definedName>
    <definedName function="false" hidden="true" name="IQ_IM_NUMBER_PAID_CLICKS_GROWTH" vbProcedure="false">"c9996"</definedName>
    <definedName function="false" hidden="true" name="IQ_IM_PAGE_VIEWS_GROWTH" vbProcedure="false">"c9994"</definedName>
    <definedName function="false" hidden="true" name="IQ_IM_REV_PER_PAGE_VIEW_GROWTH" vbProcedure="false">"c9992"</definedName>
    <definedName function="false" hidden="true" name="IQ_IM_TRAFFIC_ACQUISITION_CHANGE" vbProcedure="false">"c9998"</definedName>
    <definedName function="false" hidden="true" name="IQ_IM_TRAFFIC_ACQUISITION_COSTS" vbProcedure="false">"c9997"</definedName>
    <definedName function="false" hidden="true" name="IQ_IM_TRAFFIC_ACQUISITION_COST_TO_AD_REV_RATIO" vbProcedure="false">"c10000"</definedName>
    <definedName function="false" hidden="true" name="IQ_IM_TRAFFIC_ACQUISITION_COST_TO_TOTAL_REV_RATIO" vbProcedure="false">"c9999"</definedName>
    <definedName function="false" hidden="true" name="IQ_INCIDENTAL_CHANGES_BUSINESS_COMBINATIONS_FDIC" vbProcedure="false">"c6502"</definedName>
    <definedName function="false" hidden="true" name="IQ_INCOME_BEFORE_EXTRA_FDIC" vbProcedure="false">"c6585"</definedName>
    <definedName function="false" hidden="true" name="IQ_INCOME_CHECKS_FFIEC" vbProcedure="false">"c13040"</definedName>
    <definedName function="false" hidden="true" name="IQ_INCOME_EARNED_FDIC" vbProcedure="false">"c6359"</definedName>
    <definedName function="false" hidden="true" name="IQ_INCOME_FIDUCIARY_ACTIVITIES_FFIEC" vbProcedure="false">"c13002"</definedName>
    <definedName function="false" hidden="true" name="IQ_INCOME_LEASE_FINANCING_REC_FFIEC" vbProcedure="false">"c12980"</definedName>
    <definedName function="false" hidden="true" name="IQ_INCOME_LOANS_LEASES_TAX_EXEMPT_FFIEC" vbProcedure="false">"c13038"</definedName>
    <definedName function="false" hidden="true" name="IQ_INCOME_OTHER_INSURANCE_ACTIVITIES_FFIEC" vbProcedure="false">"c13009"</definedName>
    <definedName function="false" hidden="true" name="IQ_INCOME_SALE_MUTUAL_FUNDS_DOM_FFIEC" vbProcedure="false">"c13069"</definedName>
    <definedName function="false" hidden="true" name="IQ_INCOME_SECURITIES_TAX_EXEMPT_FFIEC" vbProcedure="false">"c13039"</definedName>
    <definedName function="false" hidden="true" name="IQ_INCOME_TAXES_FDIC" vbProcedure="false">"c6582"</definedName>
    <definedName function="false" hidden="true" name="IQ_INCOME_TAXES_FFIEC" vbProcedure="false">"c13030"</definedName>
    <definedName function="false" hidden="true" name="IQ_INCOME_TAX_FOREIGN_FFIEC" vbProcedure="false">"c15391"</definedName>
    <definedName function="false" hidden="true" name="IQ_INCREASE_INT_INCOME_FFIEC" vbProcedure="false">"c13063"</definedName>
    <definedName function="false" hidden="true" name="IQ_INC_AFTER_TAX" vbProcedure="false">"c1598"</definedName>
    <definedName function="false" hidden="true" name="IQ_INC_AVAIL_EXCL" vbProcedure="false">"c1395"</definedName>
    <definedName function="false" hidden="true" name="IQ_INC_AVAIL_INCL" vbProcedure="false">"c1396"</definedName>
    <definedName function="false" hidden="true" name="IQ_INC_BEFORE_TAX" vbProcedure="false">"c1375"</definedName>
    <definedName function="false" hidden="true" name="IQ_INC_DOM_LOANS_FFIEC" vbProcedure="false">"c12975"</definedName>
    <definedName function="false" hidden="true" name="IQ_INC_EQUITY" vbProcedure="false">"c549"</definedName>
    <definedName function="false" hidden="true" name="IQ_INC_EQUITY_BR" vbProcedure="false">"c550"</definedName>
    <definedName function="false" hidden="true" name="IQ_INC_EQUITY_CF" vbProcedure="false">"c551"</definedName>
    <definedName function="false" hidden="true" name="IQ_INC_EQUITY_FIN" vbProcedure="false">"c552"</definedName>
    <definedName function="false" hidden="true" name="IQ_INC_EQUITY_INS" vbProcedure="false">"c553"</definedName>
    <definedName function="false" hidden="true" name="IQ_INC_EQUITY_RE" vbProcedure="false">"c6222"</definedName>
    <definedName function="false" hidden="true" name="IQ_INC_EQUITY_REC_BNK" vbProcedure="false">"c554"</definedName>
    <definedName function="false" hidden="true" name="IQ_INC_EQUITY_REIT" vbProcedure="false">"c555"</definedName>
    <definedName function="false" hidden="true" name="IQ_INC_EQUITY_REV_BNK" vbProcedure="false">"c556"</definedName>
    <definedName function="false" hidden="true" name="IQ_INC_EQUITY_UTI" vbProcedure="false">"c557"</definedName>
    <definedName function="false" hidden="true" name="IQ_INC_REAL_ESTATE_REC" vbProcedure="false">"c558"</definedName>
    <definedName function="false" hidden="true" name="IQ_INC_REAL_ESTATE_REV" vbProcedure="false">"c559"</definedName>
    <definedName function="false" hidden="true" name="IQ_INC_TAX" vbProcedure="false">"c560"</definedName>
    <definedName function="false" hidden="true" name="IQ_INC_TAX_EXCL" vbProcedure="false">"c1599"</definedName>
    <definedName function="false" hidden="true" name="IQ_INC_TAX_PAY_CURRENT" vbProcedure="false">"c561"</definedName>
    <definedName function="false" hidden="true" name="IQ_INC_TRADE_ACT" vbProcedure="false">"c562"</definedName>
    <definedName function="false" hidden="true" name="IQ_INDEXCONSTITUENT_CLOSEPRICE" vbProcedure="false">"c19241"</definedName>
    <definedName function="false" hidden="true" name="IQ_INDEX_CURRENCY" vbProcedure="false">"c15224"</definedName>
    <definedName function="false" hidden="true" name="IQ_INDEX_LEADING_IND" vbProcedure="false">"c6894"</definedName>
    <definedName function="false" hidden="true" name="IQ_INDEX_LEADING_IND_APR" vbProcedure="false">"c7554"</definedName>
    <definedName function="false" hidden="true" name="IQ_INDEX_LEADING_IND_APR_FC" vbProcedure="false">"c8434"</definedName>
    <definedName function="false" hidden="true" name="IQ_INDEX_LEADING_IND_FC" vbProcedure="false">"c7774"</definedName>
    <definedName function="false" hidden="true" name="IQ_INDEX_LEADING_IND_POP" vbProcedure="false">"c7114"</definedName>
    <definedName function="false" hidden="true" name="IQ_INDEX_LEADING_IND_POP_FC" vbProcedure="false">"c7994"</definedName>
    <definedName function="false" hidden="true" name="IQ_INDEX_LEADING_IND_YOY" vbProcedure="false">"c7334"</definedName>
    <definedName function="false" hidden="true" name="IQ_INDEX_LEADING_IND_YOY_FC" vbProcedure="false">"c8214"</definedName>
    <definedName function="false" hidden="true" name="IQ_INDEX_PROVIDED_DIVIDEND" vbProcedure="false">"c19252"</definedName>
    <definedName function="false" hidden="true" name="IQ_INDEX_SHARES" vbProcedure="false">"c19193"</definedName>
    <definedName function="false" hidden="true" name="IQ_INDEX_TYPE" vbProcedure="false">"c15223"</definedName>
    <definedName function="false" hidden="true" name="IQ_INDICATED_ATTRIB_ORE_RESOURCES_ALUM" vbProcedure="false">"c9238"</definedName>
    <definedName function="false" hidden="true" name="IQ_INDICATED_ATTRIB_ORE_RESOURCES_COP" vbProcedure="false">"c9182"</definedName>
    <definedName function="false" hidden="true" name="IQ_INDICATED_ATTRIB_ORE_RESOURCES_DIAM" vbProcedure="false">"c9662"</definedName>
    <definedName function="false" hidden="true" name="IQ_INDICATED_ATTRIB_ORE_RESOURCES_GOLD" vbProcedure="false">"c9023"</definedName>
    <definedName function="false" hidden="true" name="IQ_INDICATED_ATTRIB_ORE_RESOURCES_IRON" vbProcedure="false">"c9397"</definedName>
    <definedName function="false" hidden="true" name="IQ_INDICATED_ATTRIB_ORE_RESOURCES_LEAD" vbProcedure="false">"c9450"</definedName>
    <definedName function="false" hidden="true" name="IQ_INDICATED_ATTRIB_ORE_RESOURCES_MANG" vbProcedure="false">"c9503"</definedName>
    <definedName function="false" hidden="true" name="IQ_INDICATED_ATTRIB_ORE_RESOURCES_MOLYB" vbProcedure="false">"c9715"</definedName>
    <definedName function="false" hidden="true" name="IQ_INDICATED_ATTRIB_ORE_RESOURCES_NICK" vbProcedure="false">"c9291"</definedName>
    <definedName function="false" hidden="true" name="IQ_INDICATED_ATTRIB_ORE_RESOURCES_PLAT" vbProcedure="false">"c9129"</definedName>
    <definedName function="false" hidden="true" name="IQ_INDICATED_ATTRIB_ORE_RESOURCES_SILVER" vbProcedure="false">"c9076"</definedName>
    <definedName function="false" hidden="true" name="IQ_INDICATED_ATTRIB_ORE_RESOURCES_TITAN" vbProcedure="false">"c9556"</definedName>
    <definedName function="false" hidden="true" name="IQ_INDICATED_ATTRIB_ORE_RESOURCES_URAN" vbProcedure="false">"c9609"</definedName>
    <definedName function="false" hidden="true" name="IQ_INDICATED_ATTRIB_ORE_RESOURCES_ZINC" vbProcedure="false">"c9344"</definedName>
    <definedName function="false" hidden="true" name="IQ_INDICATED_ORE_RESOURCES_ALUM" vbProcedure="false">"c9224"</definedName>
    <definedName function="false" hidden="true" name="IQ_INDICATED_ORE_RESOURCES_COP" vbProcedure="false">"c9168"</definedName>
    <definedName function="false" hidden="true" name="IQ_INDICATED_ORE_RESOURCES_DIAM" vbProcedure="false">"c9648"</definedName>
    <definedName function="false" hidden="true" name="IQ_INDICATED_ORE_RESOURCES_GOLD" vbProcedure="false">"c9009"</definedName>
    <definedName function="false" hidden="true" name="IQ_INDICATED_ORE_RESOURCES_IRON" vbProcedure="false">"c9383"</definedName>
    <definedName function="false" hidden="true" name="IQ_INDICATED_ORE_RESOURCES_LEAD" vbProcedure="false">"c9436"</definedName>
    <definedName function="false" hidden="true" name="IQ_INDICATED_ORE_RESOURCES_MANG" vbProcedure="false">"c9489"</definedName>
    <definedName function="false" hidden="true" name="IQ_INDICATED_ORE_RESOURCES_MOLYB" vbProcedure="false">"c9701"</definedName>
    <definedName function="false" hidden="true" name="IQ_INDICATED_ORE_RESOURCES_NICK" vbProcedure="false">"c9277"</definedName>
    <definedName function="false" hidden="true" name="IQ_INDICATED_ORE_RESOURCES_PLAT" vbProcedure="false">"c9115"</definedName>
    <definedName function="false" hidden="true" name="IQ_INDICATED_ORE_RESOURCES_SILVER" vbProcedure="false">"c9062"</definedName>
    <definedName function="false" hidden="true" name="IQ_INDICATED_ORE_RESOURCES_TITAN" vbProcedure="false">"c9542"</definedName>
    <definedName function="false" hidden="true" name="IQ_INDICATED_ORE_RESOURCES_URAN" vbProcedure="false">"c9595"</definedName>
    <definedName function="false" hidden="true" name="IQ_INDICATED_ORE_RESOURCES_ZINC" vbProcedure="false">"c9330"</definedName>
    <definedName function="false" hidden="true" name="IQ_INDICATED_RECOV_ATTRIB_RESOURCES_ALUM" vbProcedure="false">"c9243"</definedName>
    <definedName function="false" hidden="true" name="IQ_INDICATED_RECOV_ATTRIB_RESOURCES_COAL" vbProcedure="false">"c9817"</definedName>
    <definedName function="false" hidden="true" name="IQ_INDICATED_RECOV_ATTRIB_RESOURCES_COP" vbProcedure="false">"c9187"</definedName>
    <definedName function="false" hidden="true" name="IQ_INDICATED_RECOV_ATTRIB_RESOURCES_DIAM" vbProcedure="false">"c9667"</definedName>
    <definedName function="false" hidden="true" name="IQ_INDICATED_RECOV_ATTRIB_RESOURCES_GOLD" vbProcedure="false">"c9028"</definedName>
    <definedName function="false" hidden="true" name="IQ_INDICATED_RECOV_ATTRIB_RESOURCES_IRON" vbProcedure="false">"c9402"</definedName>
    <definedName function="false" hidden="true" name="IQ_INDICATED_RECOV_ATTRIB_RESOURCES_LEAD" vbProcedure="false">"c9455"</definedName>
    <definedName function="false" hidden="true" name="IQ_INDICATED_RECOV_ATTRIB_RESOURCES_MANG" vbProcedure="false">"c9508"</definedName>
    <definedName function="false" hidden="true" name="IQ_INDICATED_RECOV_ATTRIB_RESOURCES_MET_COAL" vbProcedure="false">"c9757"</definedName>
    <definedName function="false" hidden="true" name="IQ_INDICATED_RECOV_ATTRIB_RESOURCES_MOLYB" vbProcedure="false">"c9720"</definedName>
    <definedName function="false" hidden="true" name="IQ_INDICATED_RECOV_ATTRIB_RESOURCES_NICK" vbProcedure="false">"c9296"</definedName>
    <definedName function="false" hidden="true" name="IQ_INDICATED_RECOV_ATTRIB_RESOURCES_PLAT" vbProcedure="false">"c9134"</definedName>
    <definedName function="false" hidden="true" name="IQ_INDICATED_RECOV_ATTRIB_RESOURCES_SILVER" vbProcedure="false">"c9081"</definedName>
    <definedName function="false" hidden="true" name="IQ_INDICATED_RECOV_ATTRIB_RESOURCES_STEAM" vbProcedure="false">"c9787"</definedName>
    <definedName function="false" hidden="true" name="IQ_INDICATED_RECOV_ATTRIB_RESOURCES_TITAN" vbProcedure="false">"c9561"</definedName>
    <definedName function="false" hidden="true" name="IQ_INDICATED_RECOV_ATTRIB_RESOURCES_URAN" vbProcedure="false">"c9614"</definedName>
    <definedName function="false" hidden="true" name="IQ_INDICATED_RECOV_ATTRIB_RESOURCES_ZINC" vbProcedure="false">"c9349"</definedName>
    <definedName function="false" hidden="true" name="IQ_INDICATED_RECOV_RESOURCES_ALUM" vbProcedure="false">"c9233"</definedName>
    <definedName function="false" hidden="true" name="IQ_INDICATED_RECOV_RESOURCES_COAL" vbProcedure="false">"c9812"</definedName>
    <definedName function="false" hidden="true" name="IQ_INDICATED_RECOV_RESOURCES_COP" vbProcedure="false">"c9177"</definedName>
    <definedName function="false" hidden="true" name="IQ_INDICATED_RECOV_RESOURCES_DIAM" vbProcedure="false">"c9657"</definedName>
    <definedName function="false" hidden="true" name="IQ_INDICATED_RECOV_RESOURCES_GOLD" vbProcedure="false">"c9018"</definedName>
    <definedName function="false" hidden="true" name="IQ_INDICATED_RECOV_RESOURCES_IRON" vbProcedure="false">"c9392"</definedName>
    <definedName function="false" hidden="true" name="IQ_INDICATED_RECOV_RESOURCES_LEAD" vbProcedure="false">"c9445"</definedName>
    <definedName function="false" hidden="true" name="IQ_INDICATED_RECOV_RESOURCES_MANG" vbProcedure="false">"c9498"</definedName>
    <definedName function="false" hidden="true" name="IQ_INDICATED_RECOV_RESOURCES_MET_COAL" vbProcedure="false">"c9752"</definedName>
    <definedName function="false" hidden="true" name="IQ_INDICATED_RECOV_RESOURCES_MOLYB" vbProcedure="false">"c9710"</definedName>
    <definedName function="false" hidden="true" name="IQ_INDICATED_RECOV_RESOURCES_NICK" vbProcedure="false">"c9286"</definedName>
    <definedName function="false" hidden="true" name="IQ_INDICATED_RECOV_RESOURCES_PLAT" vbProcedure="false">"c9124"</definedName>
    <definedName function="false" hidden="true" name="IQ_INDICATED_RECOV_RESOURCES_SILVER" vbProcedure="false">"c9071"</definedName>
    <definedName function="false" hidden="true" name="IQ_INDICATED_RECOV_RESOURCES_STEAM" vbProcedure="false">"c9782"</definedName>
    <definedName function="false" hidden="true" name="IQ_INDICATED_RECOV_RESOURCES_TITAN" vbProcedure="false">"c9551"</definedName>
    <definedName function="false" hidden="true" name="IQ_INDICATED_RECOV_RESOURCES_URAN" vbProcedure="false">"c9604"</definedName>
    <definedName function="false" hidden="true" name="IQ_INDICATED_RECOV_RESOURCES_ZINC" vbProcedure="false">"c9339"</definedName>
    <definedName function="false" hidden="true" name="IQ_INDICATED_RESOURCES_CALORIFIC_VALUE_COAL" vbProcedure="false">"c9807"</definedName>
    <definedName function="false" hidden="true" name="IQ_INDICATED_RESOURCES_CALORIFIC_VALUE_MET_COAL" vbProcedure="false">"c9747"</definedName>
    <definedName function="false" hidden="true" name="IQ_INDICATED_RESOURCES_CALORIFIC_VALUE_STEAM" vbProcedure="false">"c9777"</definedName>
    <definedName function="false" hidden="true" name="IQ_INDICATED_RESOURCES_GRADE_ALUM" vbProcedure="false">"c9225"</definedName>
    <definedName function="false" hidden="true" name="IQ_INDICATED_RESOURCES_GRADE_COP" vbProcedure="false">"c9169"</definedName>
    <definedName function="false" hidden="true" name="IQ_INDICATED_RESOURCES_GRADE_DIAM" vbProcedure="false">"c9649"</definedName>
    <definedName function="false" hidden="true" name="IQ_INDICATED_RESOURCES_GRADE_GOLD" vbProcedure="false">"c9010"</definedName>
    <definedName function="false" hidden="true" name="IQ_INDICATED_RESOURCES_GRADE_IRON" vbProcedure="false">"c9384"</definedName>
    <definedName function="false" hidden="true" name="IQ_INDICATED_RESOURCES_GRADE_LEAD" vbProcedure="false">"c9437"</definedName>
    <definedName function="false" hidden="true" name="IQ_INDICATED_RESOURCES_GRADE_MANG" vbProcedure="false">"c9490"</definedName>
    <definedName function="false" hidden="true" name="IQ_INDICATED_RESOURCES_GRADE_MOLYB" vbProcedure="false">"c9702"</definedName>
    <definedName function="false" hidden="true" name="IQ_INDICATED_RESOURCES_GRADE_NICK" vbProcedure="false">"c9278"</definedName>
    <definedName function="false" hidden="true" name="IQ_INDICATED_RESOURCES_GRADE_PLAT" vbProcedure="false">"c9116"</definedName>
    <definedName function="false" hidden="true" name="IQ_INDICATED_RESOURCES_GRADE_SILVER" vbProcedure="false">"c9063"</definedName>
    <definedName function="false" hidden="true" name="IQ_INDICATED_RESOURCES_GRADE_TITAN" vbProcedure="false">"c9543"</definedName>
    <definedName function="false" hidden="true" name="IQ_INDICATED_RESOURCES_GRADE_URAN" vbProcedure="false">"c9596"</definedName>
    <definedName function="false" hidden="true" name="IQ_INDICATED_RESOURCES_GRADE_ZINC" vbProcedure="false">"c9331"</definedName>
    <definedName function="false" hidden="true" name="IQ_INDIVIDUAL" vbProcedure="false">"c15182"</definedName>
    <definedName function="false" hidden="true" name="IQ_INDIVIDUALS_CHARGE_OFFS_FDIC" vbProcedure="false">"c6599"</definedName>
    <definedName function="false" hidden="true" name="IQ_INDIVIDUALS_GROSS_LOANS_FFIEC" vbProcedure="false">"c13411"</definedName>
    <definedName function="false" hidden="true" name="IQ_INDIVIDUALS_LOANS_FDIC" vbProcedure="false">"c6318"</definedName>
    <definedName function="false" hidden="true" name="IQ_INDIVIDUALS_NET_CHARGE_OFFS_FDIC" vbProcedure="false">"c6637"</definedName>
    <definedName function="false" hidden="true" name="IQ_INDIVIDUALS_OTHER_LOANS_FDIC" vbProcedure="false">"c6321"</definedName>
    <definedName function="false" hidden="true" name="IQ_INDIVIDUALS_PARTNERSHIPS_CORP_DEPOSITS_FOREIGN_FDIC" vbProcedure="false">"c6479"</definedName>
    <definedName function="false" hidden="true" name="IQ_INDIVIDUALS_PARTNERSHIPS_CORP_NONTRANSACTION_ACCOUNTS_FDIC" vbProcedure="false">"c6545"</definedName>
    <definedName function="false" hidden="true" name="IQ_INDIVIDUALS_PARTNERSHIPS_CORP_TOTAL_DEPOSITS_FDIC" vbProcedure="false">"c6471"</definedName>
    <definedName function="false" hidden="true" name="IQ_INDIVIDUALS_PARTNERSHIPS_CORP_TRANSACTION_ACCOUNTS_FDIC" vbProcedure="false">"c6537"</definedName>
    <definedName function="false" hidden="true" name="IQ_INDIVIDUALS_RECOVERIES_FDIC" vbProcedure="false">"c6618"</definedName>
    <definedName function="false" hidden="true" name="IQ_INDIVIDUALS_RISK_BASED_FFIEC" vbProcedure="false">"c13432"</definedName>
    <definedName function="false" hidden="true" name="IQ_INDIVIDUAL_ACTIVE_BOARD_MEMBERSHIPS" vbProcedure="false">"c15201"</definedName>
    <definedName function="false" hidden="true" name="IQ_INDIVIDUAL_ACTIVE_PRO_AFFILIATIONS" vbProcedure="false">"c15199"</definedName>
    <definedName function="false" hidden="true" name="IQ_INDIVIDUAL_AGE" vbProcedure="false">"c15191"</definedName>
    <definedName function="false" hidden="true" name="IQ_INDIVIDUAL_ALL_OTHER_COMP" vbProcedure="false">"c19040"</definedName>
    <definedName function="false" hidden="true" name="IQ_INDIVIDUAL_ANNUAL_CASH_COMP" vbProcedure="false">"c19041"</definedName>
    <definedName function="false" hidden="true" name="IQ_INDIVIDUAL_ASSISTANT_EMAIL" vbProcedure="false">"c15206"</definedName>
    <definedName function="false" hidden="true" name="IQ_INDIVIDUAL_ASSISTANT_FAX" vbProcedure="false">"c15208"</definedName>
    <definedName function="false" hidden="true" name="IQ_INDIVIDUAL_ASSISTANT_NAME" vbProcedure="false">"c15205"</definedName>
    <definedName function="false" hidden="true" name="IQ_INDIVIDUAL_ASSISTANT_PHONE" vbProcedure="false">"c15207"</definedName>
    <definedName function="false" hidden="true" name="IQ_INDIVIDUAL_AS_REPORTED_COMP" vbProcedure="false">"c19045"</definedName>
    <definedName function="false" hidden="true" name="IQ_INDIVIDUAL_AS_REPORTED_DIRECTOR_COMP" vbProcedure="false">"c19057"</definedName>
    <definedName function="false" hidden="true" name="IQ_INDIVIDUAL_BACKGROUND" vbProcedure="false">"c15184"</definedName>
    <definedName function="false" hidden="true" name="IQ_INDIVIDUAL_BONUS" vbProcedure="false">"c19036"</definedName>
    <definedName function="false" hidden="true" name="IQ_INDIVIDUAL_CALCULATED_COMP" vbProcedure="false">"c19043"</definedName>
    <definedName function="false" hidden="true" name="IQ_INDIVIDUAL_CHANGE_PENSION" vbProcedure="false">"c19058"</definedName>
    <definedName function="false" hidden="true" name="IQ_INDIVIDUAL_DIRECTOR_BONUS" vbProcedure="false">"c19052"</definedName>
    <definedName function="false" hidden="true" name="IQ_INDIVIDUAL_DIRECTOR_CHANGE_PENSION" vbProcedure="false">"c19053"</definedName>
    <definedName function="false" hidden="true" name="IQ_INDIVIDUAL_DIRECTOR_FEE" vbProcedure="false">"c19049"</definedName>
    <definedName function="false" hidden="true" name="IQ_INDIVIDUAL_DIRECTOR_NON_EQUITY_COMP" vbProcedure="false">"c19054"</definedName>
    <definedName function="false" hidden="true" name="IQ_INDIVIDUAL_DIRECTOR_OPTION_AWARDS" vbProcedure="false">"c19050"</definedName>
    <definedName function="false" hidden="true" name="IQ_INDIVIDUAL_DIRECTOR_OTHER" vbProcedure="false">"c19051"</definedName>
    <definedName function="false" hidden="true" name="IQ_INDIVIDUAL_DIRECTOR_STOCK_AWARDS" vbProcedure="false">"c19055"</definedName>
    <definedName function="false" hidden="true" name="IQ_INDIVIDUAL_DIRECTOR_STOCK_GRANTS" vbProcedure="false">"c19082"</definedName>
    <definedName function="false" hidden="true" name="IQ_INDIVIDUAL_DIRECTOR_STOCK_OPTIONS" vbProcedure="false">"c19056"</definedName>
    <definedName function="false" hidden="true" name="IQ_INDIVIDUAL_DIRECT_FAX" vbProcedure="false">"c15189"</definedName>
    <definedName function="false" hidden="true" name="IQ_INDIVIDUAL_DIRECT_PHONE" vbProcedure="false">"c15188"</definedName>
    <definedName function="false" hidden="true" name="IQ_INDIVIDUAL_EDUCATION" vbProcedure="false">"c15203"</definedName>
    <definedName function="false" hidden="true" name="IQ_INDIVIDUAL_EMAIL" vbProcedure="false">"c15193"</definedName>
    <definedName function="false" hidden="true" name="IQ_INDIVIDUAL_EQUITY_INCENTIVE" vbProcedure="false">"c19078"</definedName>
    <definedName function="false" hidden="true" name="IQ_INDIVIDUAL_EST_PAYMENTS_CHANGE_CONTROL" vbProcedure="false">"c19047"</definedName>
    <definedName function="false" hidden="true" name="IQ_INDIVIDUAL_EST_PAYMENTS_TERMINATION" vbProcedure="false">"c19059"</definedName>
    <definedName function="false" hidden="true" name="IQ_INDIVIDUAL_EXERCISABLE_OPTIONS" vbProcedure="false">"c19062"</definedName>
    <definedName function="false" hidden="true" name="IQ_INDIVIDUAL_EXERCISABLE_VALUES" vbProcedure="false">"c19063"</definedName>
    <definedName function="false" hidden="true" name="IQ_INDIVIDUAL_EXERCISED_OPTIONS" vbProcedure="false">"c19060"</definedName>
    <definedName function="false" hidden="true" name="IQ_INDIVIDUAL_EXERCISED_VALUES" vbProcedure="false">"c19061"</definedName>
    <definedName function="false" hidden="true" name="IQ_INDIVIDUAL_FAMILY_LOAN_DOM_QUARTERLY_AVG_FFIEC" vbProcedure="false">"c15479"</definedName>
    <definedName function="false" hidden="true" name="IQ_INDIVIDUAL_HOME_ADDRESS" vbProcedure="false">"c15194"</definedName>
    <definedName function="false" hidden="true" name="IQ_INDIVIDUAL_HOME_FAX" vbProcedure="false">"c15196"</definedName>
    <definedName function="false" hidden="true" name="IQ_INDIVIDUAL_HOME_PHONE" vbProcedure="false">"c15195"</definedName>
    <definedName function="false" hidden="true" name="IQ_INDIVIDUAL_LT_INCENTIVE" vbProcedure="false">"c19039"</definedName>
    <definedName function="false" hidden="true" name="IQ_INDIVIDUAL_MAIN_FAX" vbProcedure="false">"c15187"</definedName>
    <definedName function="false" hidden="true" name="IQ_INDIVIDUAL_MAIN_PHONE" vbProcedure="false">"c15186"</definedName>
    <definedName function="false" hidden="true" name="IQ_INDIVIDUAL_MARKET_VALUE_SHARES_NOT_VESTED" vbProcedure="false">"c19077"</definedName>
    <definedName function="false" hidden="true" name="IQ_INDIVIDUAL_MOBILE" vbProcedure="false">"c15198"</definedName>
    <definedName function="false" hidden="true" name="IQ_INDIVIDUAL_NICKNAME" vbProcedure="false">"c15192"</definedName>
    <definedName function="false" hidden="true" name="IQ_INDIVIDUAL_NON_EQUITY_INCENTIVE" vbProcedure="false">"c19048"</definedName>
    <definedName function="false" hidden="true" name="IQ_INDIVIDUAL_NOTES" vbProcedure="false">"c15204"</definedName>
    <definedName function="false" hidden="true" name="IQ_INDIVIDUAL_NUM_SHARED_NOT_VESTED" vbProcedure="false">"c19076"</definedName>
    <definedName function="false" hidden="true" name="IQ_INDIVIDUAL_NUM_SHARES_ACQUIRED" vbProcedure="false">"c19074"</definedName>
    <definedName function="false" hidden="true" name="IQ_INDIVIDUAL_OFFICE_ADDRESS" vbProcedure="false">"c15185"</definedName>
    <definedName function="false" hidden="true" name="IQ_INDIVIDUAL_OPTION_AWARDS" vbProcedure="false">"c19044"</definedName>
    <definedName function="false" hidden="true" name="IQ_INDIVIDUAL_OPTION_MARKET_PRICE" vbProcedure="false">"c19073"</definedName>
    <definedName function="false" hidden="true" name="IQ_INDIVIDUAL_OPTION_PRICE" vbProcedure="false">"c19072"</definedName>
    <definedName function="false" hidden="true" name="IQ_INDIVIDUAL_OTHER_ANNUAL_COMP" vbProcedure="false">"c19037"</definedName>
    <definedName function="false" hidden="true" name="IQ_INDIVIDUAL_OTHER_COMP" vbProcedure="false">"c19046"</definedName>
    <definedName function="false" hidden="true" name="IQ_INDIVIDUAL_OTHER_PHONE" vbProcedure="false">"c15197"</definedName>
    <definedName function="false" hidden="true" name="IQ_INDIVIDUAL_PARTNER_CORPS_FOREIGN_DEP_FFIEC" vbProcedure="false">"c15342"</definedName>
    <definedName function="false" hidden="true" name="IQ_INDIVIDUAL_PARTNER_CORP_NON_TRANS_ACCTS_FFIEC" vbProcedure="false">"c15322"</definedName>
    <definedName function="false" hidden="true" name="IQ_INDIVIDUAL_PARTNER_CORP_TRANS_ACCTS_FFIEC" vbProcedure="false">"c15314"</definedName>
    <definedName function="false" hidden="true" name="IQ_INDIVIDUAL_PRIOR_BOARD_MEMBERSHIPS" vbProcedure="false">"c15202"</definedName>
    <definedName function="false" hidden="true" name="IQ_INDIVIDUAL_PRIOR_PRO_AFFILIATIONS" vbProcedure="false">"c15200"</definedName>
    <definedName function="false" hidden="true" name="IQ_INDIVIDUAL_RESTRICTED_STOCK_COMP" vbProcedure="false">"c19038"</definedName>
    <definedName function="false" hidden="true" name="IQ_INDIVIDUAL_SALARY" vbProcedure="false">"c19035"</definedName>
    <definedName function="false" hidden="true" name="IQ_INDIVIDUAL_SPECIALTY" vbProcedure="false">"c15190"</definedName>
    <definedName function="false" hidden="true" name="IQ_INDIVIDUAL_ST_COMP" vbProcedure="false">"c19042"</definedName>
    <definedName function="false" hidden="true" name="IQ_INDIVIDUAL_TITLE" vbProcedure="false">"c15183"</definedName>
    <definedName function="false" hidden="true" name="IQ_INDIVIDUAL_TOTAL_NUM_STOCK_AWARDS" vbProcedure="false">"c19081"</definedName>
    <definedName function="false" hidden="true" name="IQ_INDIVIDUAL_TOTAL_OPTIONS" vbProcedure="false">"c19070"</definedName>
    <definedName function="false" hidden="true" name="IQ_INDIVIDUAL_TOTAL_STOCK_VALUE" vbProcedure="false">"c19080"</definedName>
    <definedName function="false" hidden="true" name="IQ_INDIVIDUAL_TOTAL_VALUE_OPTIONS" vbProcedure="false">"c19071"</definedName>
    <definedName function="false" hidden="true" name="IQ_INDIVIDUAL_UNCLASSIFIED_OPTIONS" vbProcedure="false">"c19066"</definedName>
    <definedName function="false" hidden="true" name="IQ_INDIVIDUAL_UNCLASSIFIED_OPTIONS_VALUE" vbProcedure="false">"c19067"</definedName>
    <definedName function="false" hidden="true" name="IQ_INDIVIDUAL_UNEARNED_STOCK_VALUE" vbProcedure="false">"c19079"</definedName>
    <definedName function="false" hidden="true" name="IQ_INDIVIDUAL_UNEXERCISABLE_OPTIONS" vbProcedure="false">"c19064"</definedName>
    <definedName function="false" hidden="true" name="IQ_INDIVIDUAL_UNEXERCISABLE_VALUES" vbProcedure="false">"c19065"</definedName>
    <definedName function="false" hidden="true" name="IQ_INDIVIDUAL_UNEXERCISED_UNEARNED_OPTIONS" vbProcedure="false">"c19068"</definedName>
    <definedName function="false" hidden="true" name="IQ_INDIVIDUAL_UNEXERCISED_UNEARNED_OPTIONS_VALUE" vbProcedure="false">"c19069"</definedName>
    <definedName function="false" hidden="true" name="IQ_INDIVIDUAL_VALUE_VESTING" vbProcedure="false">"c19075"</definedName>
    <definedName function="false" hidden="true" name="IQ_INDUSTRIAL_PROD" vbProcedure="false">"c6895"</definedName>
    <definedName function="false" hidden="true" name="IQ_INDUSTRIAL_PROD_APR" vbProcedure="false">"c7555"</definedName>
    <definedName function="false" hidden="true" name="IQ_INDUSTRIAL_PROD_APR_FC" vbProcedure="false">"c8435"</definedName>
    <definedName function="false" hidden="true" name="IQ_INDUSTRIAL_PROD_FC" vbProcedure="false">"c7775"</definedName>
    <definedName function="false" hidden="true" name="IQ_INDUSTRIAL_PROD_POP" vbProcedure="false">"c7115"</definedName>
    <definedName function="false" hidden="true" name="IQ_INDUSTRIAL_PROD_POP_FC" vbProcedure="false">"c7995"</definedName>
    <definedName function="false" hidden="true" name="IQ_INDUSTRIAL_PROD_YOY" vbProcedure="false">"c7335"</definedName>
    <definedName function="false" hidden="true" name="IQ_INDUSTRIAL_PROD_YOY_FC" vbProcedure="false">"c8215"</definedName>
    <definedName function="false" hidden="true" name="IQ_INDUSTRY" vbProcedure="false">"c3601"</definedName>
    <definedName function="false" hidden="true" name="IQ_INDUSTRY_GROUP" vbProcedure="false">"c3602"</definedName>
    <definedName function="false" hidden="true" name="IQ_INDUSTRY_SECTOR" vbProcedure="false">"c3603"</definedName>
    <definedName function="false" hidden="true" name="IQ_INFERRED_ATTRIB_ORE_RESOURCES_ALUM" vbProcedure="false">"c9240"</definedName>
    <definedName function="false" hidden="true" name="IQ_INFERRED_ATTRIB_ORE_RESOURCES_COP" vbProcedure="false">"c9184"</definedName>
    <definedName function="false" hidden="true" name="IQ_INFERRED_ATTRIB_ORE_RESOURCES_DIAM" vbProcedure="false">"c9664"</definedName>
    <definedName function="false" hidden="true" name="IQ_INFERRED_ATTRIB_ORE_RESOURCES_GOLD" vbProcedure="false">"c9025"</definedName>
    <definedName function="false" hidden="true" name="IQ_INFERRED_ATTRIB_ORE_RESOURCES_IRON" vbProcedure="false">"c9399"</definedName>
    <definedName function="false" hidden="true" name="IQ_INFERRED_ATTRIB_ORE_RESOURCES_LEAD" vbProcedure="false">"c9452"</definedName>
    <definedName function="false" hidden="true" name="IQ_INFERRED_ATTRIB_ORE_RESOURCES_MANG" vbProcedure="false">"c9505"</definedName>
    <definedName function="false" hidden="true" name="IQ_INFERRED_ATTRIB_ORE_RESOURCES_MOLYB" vbProcedure="false">"c9717"</definedName>
    <definedName function="false" hidden="true" name="IQ_INFERRED_ATTRIB_ORE_RESOURCES_NICK" vbProcedure="false">"c9293"</definedName>
    <definedName function="false" hidden="true" name="IQ_INFERRED_ATTRIB_ORE_RESOURCES_PLAT" vbProcedure="false">"c9131"</definedName>
    <definedName function="false" hidden="true" name="IQ_INFERRED_ATTRIB_ORE_RESOURCES_SILVER" vbProcedure="false">"c9078"</definedName>
    <definedName function="false" hidden="true" name="IQ_INFERRED_ATTRIB_ORE_RESOURCES_TITAN" vbProcedure="false">"c9558"</definedName>
    <definedName function="false" hidden="true" name="IQ_INFERRED_ATTRIB_ORE_RESOURCES_URAN" vbProcedure="false">"c9611"</definedName>
    <definedName function="false" hidden="true" name="IQ_INFERRED_ATTRIB_ORE_RESOURCES_ZINC" vbProcedure="false">"c9346"</definedName>
    <definedName function="false" hidden="true" name="IQ_INFERRED_ORE_RESOURCES_ALUM" vbProcedure="false">"c9228"</definedName>
    <definedName function="false" hidden="true" name="IQ_INFERRED_ORE_RESOURCES_COP" vbProcedure="false">"c9172"</definedName>
    <definedName function="false" hidden="true" name="IQ_INFERRED_ORE_RESOURCES_DIAM" vbProcedure="false">"c9652"</definedName>
    <definedName function="false" hidden="true" name="IQ_INFERRED_ORE_RESOURCES_GOLD" vbProcedure="false">"c9013"</definedName>
    <definedName function="false" hidden="true" name="IQ_INFERRED_ORE_RESOURCES_IRON" vbProcedure="false">"c9387"</definedName>
    <definedName function="false" hidden="true" name="IQ_INFERRED_ORE_RESOURCES_LEAD" vbProcedure="false">"c9440"</definedName>
    <definedName function="false" hidden="true" name="IQ_INFERRED_ORE_RESOURCES_MANG" vbProcedure="false">"c9493"</definedName>
    <definedName function="false" hidden="true" name="IQ_INFERRED_ORE_RESOURCES_MOLYB" vbProcedure="false">"c9705"</definedName>
    <definedName function="false" hidden="true" name="IQ_INFERRED_ORE_RESOURCES_NICK" vbProcedure="false">"c9281"</definedName>
    <definedName function="false" hidden="true" name="IQ_INFERRED_ORE_RESOURCES_PLAT" vbProcedure="false">"c9119"</definedName>
    <definedName function="false" hidden="true" name="IQ_INFERRED_ORE_RESOURCES_SILVER" vbProcedure="false">"c9066"</definedName>
    <definedName function="false" hidden="true" name="IQ_INFERRED_ORE_RESOURCES_TITAN" vbProcedure="false">"c9546"</definedName>
    <definedName function="false" hidden="true" name="IQ_INFERRED_ORE_RESOURCES_URAN" vbProcedure="false">"c9599"</definedName>
    <definedName function="false" hidden="true" name="IQ_INFERRED_ORE_RESOURCES_ZINC" vbProcedure="false">"c9334"</definedName>
    <definedName function="false" hidden="true" name="IQ_INFERRED_RECOV_ATTRIB_RESOURCES_ALUM" vbProcedure="false">"c9245"</definedName>
    <definedName function="false" hidden="true" name="IQ_INFERRED_RECOV_ATTRIB_RESOURCES_COAL" vbProcedure="false">"c9819"</definedName>
    <definedName function="false" hidden="true" name="IQ_INFERRED_RECOV_ATTRIB_RESOURCES_COP" vbProcedure="false">"c9189"</definedName>
    <definedName function="false" hidden="true" name="IQ_INFERRED_RECOV_ATTRIB_RESOURCES_DIAM" vbProcedure="false">"c9669"</definedName>
    <definedName function="false" hidden="true" name="IQ_INFERRED_RECOV_ATTRIB_RESOURCES_GOLD" vbProcedure="false">"c9030"</definedName>
    <definedName function="false" hidden="true" name="IQ_INFERRED_RECOV_ATTRIB_RESOURCES_IRON" vbProcedure="false">"c9404"</definedName>
    <definedName function="false" hidden="true" name="IQ_INFERRED_RECOV_ATTRIB_RESOURCES_LEAD" vbProcedure="false">"c9457"</definedName>
    <definedName function="false" hidden="true" name="IQ_INFERRED_RECOV_ATTRIB_RESOURCES_MANG" vbProcedure="false">"c9510"</definedName>
    <definedName function="false" hidden="true" name="IQ_INFERRED_RECOV_ATTRIB_RESOURCES_MET_COAL" vbProcedure="false">"c9759"</definedName>
    <definedName function="false" hidden="true" name="IQ_INFERRED_RECOV_ATTRIB_RESOURCES_MOLYB" vbProcedure="false">"c9722"</definedName>
    <definedName function="false" hidden="true" name="IQ_INFERRED_RECOV_ATTRIB_RESOURCES_NICK" vbProcedure="false">"c9298"</definedName>
    <definedName function="false" hidden="true" name="IQ_INFERRED_RECOV_ATTRIB_RESOURCES_PLAT" vbProcedure="false">"c9136"</definedName>
    <definedName function="false" hidden="true" name="IQ_INFERRED_RECOV_ATTRIB_RESOURCES_SILVER" vbProcedure="false">"c9083"</definedName>
    <definedName function="false" hidden="true" name="IQ_INFERRED_RECOV_ATTRIB_RESOURCES_STEAM" vbProcedure="false">"c9789"</definedName>
    <definedName function="false" hidden="true" name="IQ_INFERRED_RECOV_ATTRIB_RESOURCES_TITAN" vbProcedure="false">"c9563"</definedName>
    <definedName function="false" hidden="true" name="IQ_INFERRED_RECOV_ATTRIB_RESOURCES_URAN" vbProcedure="false">"c9616"</definedName>
    <definedName function="false" hidden="true" name="IQ_INFERRED_RECOV_ATTRIB_RESOURCES_ZINC" vbProcedure="false">"c9351"</definedName>
    <definedName function="false" hidden="true" name="IQ_INFERRED_RECOV_RESOURCES_ALUM" vbProcedure="false">"c9235"</definedName>
    <definedName function="false" hidden="true" name="IQ_INFERRED_RECOV_RESOURCES_COAL" vbProcedure="false">"c9814"</definedName>
    <definedName function="false" hidden="true" name="IQ_INFERRED_RECOV_RESOURCES_COP" vbProcedure="false">"c9179"</definedName>
    <definedName function="false" hidden="true" name="IQ_INFERRED_RECOV_RESOURCES_DIAM" vbProcedure="false">"c9659"</definedName>
    <definedName function="false" hidden="true" name="IQ_INFERRED_RECOV_RESOURCES_GOLD" vbProcedure="false">"c9020"</definedName>
    <definedName function="false" hidden="true" name="IQ_INFERRED_RECOV_RESOURCES_IRON" vbProcedure="false">"c9394"</definedName>
    <definedName function="false" hidden="true" name="IQ_INFERRED_RECOV_RESOURCES_LEAD" vbProcedure="false">"c9447"</definedName>
    <definedName function="false" hidden="true" name="IQ_INFERRED_RECOV_RESOURCES_MANG" vbProcedure="false">"c9500"</definedName>
    <definedName function="false" hidden="true" name="IQ_INFERRED_RECOV_RESOURCES_MET_COAL" vbProcedure="false">"c9754"</definedName>
    <definedName function="false" hidden="true" name="IQ_INFERRED_RECOV_RESOURCES_MOLYB" vbProcedure="false">"c9712"</definedName>
    <definedName function="false" hidden="true" name="IQ_INFERRED_RECOV_RESOURCES_NICK" vbProcedure="false">"c9288"</definedName>
    <definedName function="false" hidden="true" name="IQ_INFERRED_RECOV_RESOURCES_PLAT" vbProcedure="false">"c9126"</definedName>
    <definedName function="false" hidden="true" name="IQ_INFERRED_RECOV_RESOURCES_SILVER" vbProcedure="false">"c9073"</definedName>
    <definedName function="false" hidden="true" name="IQ_INFERRED_RECOV_RESOURCES_STEAM" vbProcedure="false">"c9784"</definedName>
    <definedName function="false" hidden="true" name="IQ_INFERRED_RECOV_RESOURCES_TITAN" vbProcedure="false">"c9553"</definedName>
    <definedName function="false" hidden="true" name="IQ_INFERRED_RECOV_RESOURCES_URAN" vbProcedure="false">"c9606"</definedName>
    <definedName function="false" hidden="true" name="IQ_INFERRED_RECOV_RESOURCES_ZINC" vbProcedure="false">"c9341"</definedName>
    <definedName function="false" hidden="true" name="IQ_INFERRED_RESOURCES_CALORIFIC_VALUE_COAL" vbProcedure="false">"c9809"</definedName>
    <definedName function="false" hidden="true" name="IQ_INFERRED_RESOURCES_CALORIFIC_VALUE_MET_COAL" vbProcedure="false">"c9749"</definedName>
    <definedName function="false" hidden="true" name="IQ_INFERRED_RESOURCES_CALORIFIC_VALUE_STEAM" vbProcedure="false">"c9779"</definedName>
    <definedName function="false" hidden="true" name="IQ_INFERRED_RESOURCES_GRADE_ALUM" vbProcedure="false">"c9229"</definedName>
    <definedName function="false" hidden="true" name="IQ_INFERRED_RESOURCES_GRADE_COP" vbProcedure="false">"c9173"</definedName>
    <definedName function="false" hidden="true" name="IQ_INFERRED_RESOURCES_GRADE_DIAM" vbProcedure="false">"c9653"</definedName>
    <definedName function="false" hidden="true" name="IQ_INFERRED_RESOURCES_GRADE_GOLD" vbProcedure="false">"c9014"</definedName>
    <definedName function="false" hidden="true" name="IQ_INFERRED_RESOURCES_GRADE_IRON" vbProcedure="false">"c9388"</definedName>
    <definedName function="false" hidden="true" name="IQ_INFERRED_RESOURCES_GRADE_LEAD" vbProcedure="false">"c9441"</definedName>
    <definedName function="false" hidden="true" name="IQ_INFERRED_RESOURCES_GRADE_MANG" vbProcedure="false">"c9494"</definedName>
    <definedName function="false" hidden="true" name="IQ_INFERRED_RESOURCES_GRADE_MOLYB" vbProcedure="false">"c9706"</definedName>
    <definedName function="false" hidden="true" name="IQ_INFERRED_RESOURCES_GRADE_NICK" vbProcedure="false">"c9282"</definedName>
    <definedName function="false" hidden="true" name="IQ_INFERRED_RESOURCES_GRADE_PLAT" vbProcedure="false">"c9120"</definedName>
    <definedName function="false" hidden="true" name="IQ_INFERRED_RESOURCES_GRADE_SILVER" vbProcedure="false">"c9067"</definedName>
    <definedName function="false" hidden="true" name="IQ_INFERRED_RESOURCES_GRADE_TITAN" vbProcedure="false">"c9547"</definedName>
    <definedName function="false" hidden="true" name="IQ_INFERRED_RESOURCES_GRADE_URAN" vbProcedure="false">"c9600"</definedName>
    <definedName function="false" hidden="true" name="IQ_INFERRED_RESOURCES_GRADE_ZINC" vbProcedure="false">"c9335"</definedName>
    <definedName function="false" hidden="true" name="IQ_INFLATION_RATE" vbProcedure="false">"c6899"</definedName>
    <definedName function="false" hidden="true" name="IQ_INFLATION_RATE_CORE" vbProcedure="false">"c11783"</definedName>
    <definedName function="false" hidden="true" name="IQ_INFLATION_RATE_CORE_POP" vbProcedure="false">"c11784"</definedName>
    <definedName function="false" hidden="true" name="IQ_INFLATION_RATE_CORE_YOY" vbProcedure="false">"c11785"</definedName>
    <definedName function="false" hidden="true" name="IQ_INFLATION_RATE_FC" vbProcedure="false">"c7779"</definedName>
    <definedName function="false" hidden="true" name="IQ_INFLATION_RATE_POP" vbProcedure="false">"c7119"</definedName>
    <definedName function="false" hidden="true" name="IQ_INFLATION_RATE_POP_FC" vbProcedure="false">"c7999"</definedName>
    <definedName function="false" hidden="true" name="IQ_INFLATION_RATE_YOY" vbProcedure="false">"c7339"</definedName>
    <definedName function="false" hidden="true" name="IQ_INFLATION_RATE_YOY_FC" vbProcedure="false">"c8219"</definedName>
    <definedName function="false" hidden="true" name="IQ_INITIAL_CLAIMS" vbProcedure="false">"c6900"</definedName>
    <definedName function="false" hidden="true" name="IQ_INITIAL_CLAIMS_APR" vbProcedure="false">"c7560"</definedName>
    <definedName function="false" hidden="true" name="IQ_INITIAL_CLAIMS_APR_FC" vbProcedure="false">"c8440"</definedName>
    <definedName function="false" hidden="true" name="IQ_INITIAL_CLAIMS_FC" vbProcedure="false">"c7780"</definedName>
    <definedName function="false" hidden="true" name="IQ_INITIAL_CLAIMS_POP" vbProcedure="false">"c7120"</definedName>
    <definedName function="false" hidden="true" name="IQ_INITIAL_CLAIMS_POP_FC" vbProcedure="false">"c8000"</definedName>
    <definedName function="false" hidden="true" name="IQ_INITIAL_TRANSACTION" vbProcedure="false">"c18885"</definedName>
    <definedName function="false" hidden="true" name="IQ_INSIDER_3MTH_BOUGHT" vbProcedure="false">"c1534"</definedName>
    <definedName function="false" hidden="true" name="IQ_INSIDER_3MTH_BOUGHT_PCT" vbProcedure="false">"c1534"</definedName>
    <definedName function="false" hidden="true" name="IQ_INSIDER_3MTH_NET" vbProcedure="false">"c1535"</definedName>
    <definedName function="false" hidden="true" name="IQ_INSIDER_3MTH_NET_PCT" vbProcedure="false">"c1535"</definedName>
    <definedName function="false" hidden="true" name="IQ_INSIDER_3MTH_SOLD" vbProcedure="false">"c1533"</definedName>
    <definedName function="false" hidden="true" name="IQ_INSIDER_3MTH_SOLD_PCT" vbProcedure="false">"c1533"</definedName>
    <definedName function="false" hidden="true" name="IQ_INSIDER_6MTH_BOUGHT" vbProcedure="false">"c1537"</definedName>
    <definedName function="false" hidden="true" name="IQ_INSIDER_6MTH_BOUGHT_PCT" vbProcedure="false">"c1537"</definedName>
    <definedName function="false" hidden="true" name="IQ_INSIDER_6MTH_NET" vbProcedure="false">"c1538"</definedName>
    <definedName function="false" hidden="true" name="IQ_INSIDER_6MTH_NET_PCT" vbProcedure="false">"c1538"</definedName>
    <definedName function="false" hidden="true" name="IQ_INSIDER_6MTH_SOLD" vbProcedure="false">"c1536"</definedName>
    <definedName function="false" hidden="true" name="IQ_INSIDER_6MTH_SOLD_PCT" vbProcedure="false">"c1536"</definedName>
    <definedName function="false" hidden="true" name="IQ_INSIDER_AMOUNT" vbProcedure="false">"c238"</definedName>
    <definedName function="false" hidden="true" name="IQ_INSIDER_CIQID" vbProcedure="false">"c19101"</definedName>
    <definedName function="false" hidden="true" name="IQ_INSIDER_DERIVATIVES" vbProcedure="false">"c19102"</definedName>
    <definedName function="false" hidden="true" name="IQ_INSIDER_LOANS_FDIC" vbProcedure="false">"c6365"</definedName>
    <definedName function="false" hidden="true" name="IQ_INSIDER_NAME" vbProcedure="false">"c19100"</definedName>
    <definedName function="false" hidden="true" name="IQ_INSIDER_OVER_TOTAL" vbProcedure="false">"c1581"</definedName>
    <definedName function="false" hidden="true" name="IQ_INSIDER_OWNER" vbProcedure="false">"c577"</definedName>
    <definedName function="false" hidden="true" name="IQ_INSIDER_PERCENT" vbProcedure="false">"c578"</definedName>
    <definedName function="false" hidden="true" name="IQ_INSIDER_POSITION_DATE" vbProcedure="false">"c19104"</definedName>
    <definedName function="false" hidden="true" name="IQ_INSIDER_SHARES" vbProcedure="false">"c579"</definedName>
    <definedName function="false" hidden="true" name="IQ_INSIDER_VALUE" vbProcedure="false">"c19103"</definedName>
    <definedName function="false" hidden="true" name="IQ_INSTITUTIONAL_AMOUNT" vbProcedure="false">"c236"</definedName>
    <definedName function="false" hidden="true" name="IQ_INSTITUTIONAL_CIQID" vbProcedure="false">"c19106"</definedName>
    <definedName function="false" hidden="true" name="IQ_INSTITUTIONAL_DERIVATIVES" vbProcedure="false">"c19107"</definedName>
    <definedName function="false" hidden="true" name="IQ_INSTITUTIONAL_NAME" vbProcedure="false">"c19105"</definedName>
    <definedName function="false" hidden="true" name="IQ_INSTITUTIONAL_OVER_TOTAL" vbProcedure="false">"c1580"</definedName>
    <definedName function="false" hidden="true" name="IQ_INSTITUTIONAL_OWNER" vbProcedure="false">"c580"</definedName>
    <definedName function="false" hidden="true" name="IQ_INSTITUTIONAL_PERCENT" vbProcedure="false">"c581"</definedName>
    <definedName function="false" hidden="true" name="IQ_INSTITUTIONAL_POSITION_DATE" vbProcedure="false">"c19109"</definedName>
    <definedName function="false" hidden="true" name="IQ_INSTITUTIONAL_SHARES" vbProcedure="false">"c582"</definedName>
    <definedName function="false" hidden="true" name="IQ_INSTITUTIONAL_VALUE" vbProcedure="false">"c19108"</definedName>
    <definedName function="false" hidden="true" name="IQ_INSTITUTIONS_EARNINGS_GAINS_FDIC" vbProcedure="false">"c6723"</definedName>
    <definedName function="false" hidden="true" name="IQ_INST_DEPOSITS" vbProcedure="false">"c89"</definedName>
    <definedName function="false" hidden="true" name="IQ_INSURANCE_COMMISSION_FEES_FDIC" vbProcedure="false">"c6670"</definedName>
    <definedName function="false" hidden="true" name="IQ_INSURANCE_REINSURANCE_UNDERWRITING_INCOME_FFIEC" vbProcedure="false">"c13008"</definedName>
    <definedName function="false" hidden="true" name="IQ_INSURANCE_REV_OPERATING_INC_FFIEC" vbProcedure="false">"c13387"</definedName>
    <definedName function="false" hidden="true" name="IQ_INSURANCE_UNDERWRITING_INCOME_FDIC" vbProcedure="false">"c6671"</definedName>
    <definedName function="false" hidden="true" name="IQ_INSUR_RECEIV" vbProcedure="false">"c1600"</definedName>
    <definedName function="false" hidden="true" name="IQ_INS_ANNUITY_LIAB" vbProcedure="false">"c563"</definedName>
    <definedName function="false" hidden="true" name="IQ_INS_ANNUITY_REV" vbProcedure="false">"c2788"</definedName>
    <definedName function="false" hidden="true" name="IQ_INS_DIV_EXP" vbProcedure="false">"c564"</definedName>
    <definedName function="false" hidden="true" name="IQ_INS_DIV_REV" vbProcedure="false">"c565"</definedName>
    <definedName function="false" hidden="true" name="IQ_INS_IN_FORCE" vbProcedure="false">"c566"</definedName>
    <definedName function="false" hidden="true" name="IQ_INS_LIAB" vbProcedure="false">"c567"</definedName>
    <definedName function="false" hidden="true" name="IQ_INS_POLICY_EXP" vbProcedure="false">"c568"</definedName>
    <definedName function="false" hidden="true" name="IQ_INS_REV" vbProcedure="false">"c569"</definedName>
    <definedName function="false" hidden="true" name="IQ_INS_SETTLE" vbProcedure="false">"c570"</definedName>
    <definedName function="false" hidden="true" name="IQ_INS_SETTLE_BNK" vbProcedure="false">"c571"</definedName>
    <definedName function="false" hidden="true" name="IQ_INS_SETTLE_BR" vbProcedure="false">"c572"</definedName>
    <definedName function="false" hidden="true" name="IQ_INS_SETTLE_FIN" vbProcedure="false">"c573"</definedName>
    <definedName function="false" hidden="true" name="IQ_INS_SETTLE_INS" vbProcedure="false">"c574"</definedName>
    <definedName function="false" hidden="true" name="IQ_INS_SETTLE_RE" vbProcedure="false">"c6223"</definedName>
    <definedName function="false" hidden="true" name="IQ_INS_SETTLE_REIT" vbProcedure="false">"c575"</definedName>
    <definedName function="false" hidden="true" name="IQ_INS_SETTLE_SUPPLE" vbProcedure="false">"c13814"</definedName>
    <definedName function="false" hidden="true" name="IQ_INS_SETTLE_UTI" vbProcedure="false">"c576"</definedName>
    <definedName function="false" hidden="true" name="IQ_INTANGIBLES_NET" vbProcedure="false">"c1407"</definedName>
    <definedName function="false" hidden="true" name="IQ_INTEL_EPS_EST" vbProcedure="false">"c24729"</definedName>
    <definedName function="false" hidden="true" name="IQ_INTERBANK_RATIO" vbProcedure="false">"c19134"</definedName>
    <definedName function="false" hidden="true" name="IQ_INTEREST_ACCRUED_ON_DEPOSITS_DOM_FFIEC" vbProcedure="false">"c15277"</definedName>
    <definedName function="false" hidden="true" name="IQ_INTEREST_BEARING_BALANCES_FDIC" vbProcedure="false">"c6371"</definedName>
    <definedName function="false" hidden="true" name="IQ_INTEREST_BEARING_BALANCES_QUARTERLY_AVG_FFIEC" vbProcedure="false">"c15467"</definedName>
    <definedName function="false" hidden="true" name="IQ_INTEREST_BEARING_CASH_FFIEC" vbProcedure="false">"c15259"</definedName>
    <definedName function="false" hidden="true" name="IQ_INTEREST_BEARING_CASH_FOREIGN_FFIEC" vbProcedure="false">"c12776"</definedName>
    <definedName function="false" hidden="true" name="IQ_INTEREST_BEARING_CASH_US_FFIEC" vbProcedure="false">"c12775"</definedName>
    <definedName function="false" hidden="true" name="IQ_INTEREST_BEARING_DEPOSITS_DOMESTIC_FDIC" vbProcedure="false">"c6478"</definedName>
    <definedName function="false" hidden="true" name="IQ_INTEREST_BEARING_DEPOSITS_FDIC" vbProcedure="false">"c6373"</definedName>
    <definedName function="false" hidden="true" name="IQ_INTEREST_BEARING_DEPOSITS_FOREIGN_FDIC" vbProcedure="false">"c6485"</definedName>
    <definedName function="false" hidden="true" name="IQ_INTEREST_BEARING_TRANS_DOM_QUARTERLY_AVG_FFIEC" vbProcedure="false">"c15484"</definedName>
    <definedName function="false" hidden="true" name="IQ_INTEREST_CASH_DEPOSITS" vbProcedure="false">"c2255"</definedName>
    <definedName function="false" hidden="true" name="IQ_INTEREST_EXP" vbProcedure="false">"c618"</definedName>
    <definedName function="false" hidden="true" name="IQ_INTEREST_EXP_NET" vbProcedure="false">"c1450"</definedName>
    <definedName function="false" hidden="true" name="IQ_INTEREST_EXP_NON" vbProcedure="false">"c1383"</definedName>
    <definedName function="false" hidden="true" name="IQ_INTEREST_EXP_SUPPL" vbProcedure="false">"c1460"</definedName>
    <definedName function="false" hidden="true" name="IQ_INTEREST_INC" vbProcedure="false">"c1393"</definedName>
    <definedName function="false" hidden="true" name="IQ_INTEREST_INC_10K" vbProcedure="false">"IQ_INTEREST_INC_10K"</definedName>
    <definedName function="false" hidden="true" name="IQ_INTEREST_INC_10Q" vbProcedure="false">"IQ_INTEREST_INC_10Q"</definedName>
    <definedName function="false" hidden="true" name="IQ_INTEREST_INC_10Q1" vbProcedure="false">"IQ_INTEREST_INC_10Q1"</definedName>
    <definedName function="false" hidden="true" name="IQ_INTEREST_INC_NON" vbProcedure="false">"c1384"</definedName>
    <definedName function="false" hidden="true" name="IQ_INTEREST_INVEST_INC" vbProcedure="false">"c619"</definedName>
    <definedName function="false" hidden="true" name="IQ_INTEREST_PENALTIES_RECOG_BS_AFTER_TAX" vbProcedure="false">"c15745"</definedName>
    <definedName function="false" hidden="true" name="IQ_INTEREST_PENALTIES_RECOG_BS_PRE_TAX" vbProcedure="false">"c15744"</definedName>
    <definedName function="false" hidden="true" name="IQ_INTEREST_PENALTIES_RECOG_IS_AFTER_TAX" vbProcedure="false">"c15743"</definedName>
    <definedName function="false" hidden="true" name="IQ_INTEREST_PENALTIES_RECOG_IS_PRE_TAX" vbProcedure="false">"c15742"</definedName>
    <definedName function="false" hidden="true" name="IQ_INTEREST_RATE_CONTRACTS_FDIC" vbProcedure="false">"c6512"</definedName>
    <definedName function="false" hidden="true" name="IQ_INTEREST_RATE_EXPOSURES_FDIC" vbProcedure="false">"c6662"</definedName>
    <definedName function="false" hidden="true" name="IQ_INTERNAL_ALLOCATIONS_INC_EXP_FOREIGN_FFIEC" vbProcedure="false">"c15394"</definedName>
    <definedName function="false" hidden="true" name="IQ_INT_BEARING_DEPOSITS" vbProcedure="false">"c1166"</definedName>
    <definedName function="false" hidden="true" name="IQ_INT_BEARING_FUNDS_AVG_ASSETS_FFIEC" vbProcedure="false">"c13355"</definedName>
    <definedName function="false" hidden="true" name="IQ_INT_BEARING_LIABILITIES_REPRICE_ASSETS_TOT_FFIEC" vbProcedure="false">"c13452"</definedName>
    <definedName function="false" hidden="true" name="IQ_INT_BORROW" vbProcedure="false">"c583"</definedName>
    <definedName function="false" hidden="true" name="IQ_INT_DEMAND_NOTES_FDIC" vbProcedure="false">"c6567"</definedName>
    <definedName function="false" hidden="true" name="IQ_INT_DEPOSITS" vbProcedure="false">"c584"</definedName>
    <definedName function="false" hidden="true" name="IQ_INT_DEPOSITS_DOM_FFIEC" vbProcedure="false">"c12852"</definedName>
    <definedName function="false" hidden="true" name="IQ_INT_DEPOSITS_DOM_QUARTERLY_AVG_FFIEC" vbProcedure="false">"c13088"</definedName>
    <definedName function="false" hidden="true" name="IQ_INT_DEPOSITS_FOREIGN_FFIEC" vbProcedure="false">"c12855"</definedName>
    <definedName function="false" hidden="true" name="IQ_INT_DEPOSITS_FOREIGN_QUARTERLY_AVG_FFIEC" vbProcedure="false">"c13089"</definedName>
    <definedName function="false" hidden="true" name="IQ_INT_DIV_INC" vbProcedure="false">"c585"</definedName>
    <definedName function="false" hidden="true" name="IQ_INT_DIV_INC_MBS_FFIEC" vbProcedure="false">"c12984"</definedName>
    <definedName function="false" hidden="true" name="IQ_INT_DIV_INC_SECURITIES_FFIEC" vbProcedure="false">"c12982"</definedName>
    <definedName function="false" hidden="true" name="IQ_INT_DIV_INC_SECURITIES_OTHER_FFIEC" vbProcedure="false">"c12985"</definedName>
    <definedName function="false" hidden="true" name="IQ_INT_DIV_INC_TREASURY_SECURITIES_FFIEC" vbProcedure="false">"c12983"</definedName>
    <definedName function="false" hidden="true" name="IQ_INT_DOMESTIC_DEPOSITS_FDIC" vbProcedure="false">"c6564"</definedName>
    <definedName function="false" hidden="true" name="IQ_INT_EXPENSE_AVG_ASSET" vbProcedure="false">"c15705"</definedName>
    <definedName function="false" hidden="true" name="IQ_INT_EXP_AVG_ASSETS_FFIEC" vbProcedure="false">"c13357"</definedName>
    <definedName function="false" hidden="true" name="IQ_INT_EXP_BR" vbProcedure="false">"c586"</definedName>
    <definedName function="false" hidden="true" name="IQ_INT_EXP_COVERAGE" vbProcedure="false">"c587"</definedName>
    <definedName function="false" hidden="true" name="IQ_INT_EXP_EARNING_ASSETS_FFIEC" vbProcedure="false">"c13376"</definedName>
    <definedName function="false" hidden="true" name="IQ_INT_EXP_FED_FUNDS_PURCHASED_FFIEC" vbProcedure="false">"c12996"</definedName>
    <definedName function="false" hidden="true" name="IQ_INT_EXP_FIN" vbProcedure="false">"c588"</definedName>
    <definedName function="false" hidden="true" name="IQ_INT_EXP_INCL_CAP" vbProcedure="false">"c2988"</definedName>
    <definedName function="false" hidden="true" name="IQ_INT_EXP_INS" vbProcedure="false">"c589"</definedName>
    <definedName function="false" hidden="true" name="IQ_INT_EXP_LTD" vbProcedure="false">"c2086"</definedName>
    <definedName function="false" hidden="true" name="IQ_INT_EXP_RE" vbProcedure="false">"c6224"</definedName>
    <definedName function="false" hidden="true" name="IQ_INT_EXP_REIT" vbProcedure="false">"c590"</definedName>
    <definedName function="false" hidden="true" name="IQ_INT_EXP_TOTAL" vbProcedure="false">"c591"</definedName>
    <definedName function="false" hidden="true" name="IQ_INT_EXP_TOTAL_BNK_SUBTOTAL_AP" vbProcedure="false">"c8977"</definedName>
    <definedName function="false" hidden="true" name="IQ_INT_EXP_TOTAL_FDIC" vbProcedure="false">"c6569"</definedName>
    <definedName function="false" hidden="true" name="IQ_INT_EXP_UTI" vbProcedure="false">"c592"</definedName>
    <definedName function="false" hidden="true" name="IQ_INT_FED_FUNDS_FDIC" vbProcedure="false">"c6566"</definedName>
    <definedName function="false" hidden="true" name="IQ_INT_FEE_INCOME_FFIEC" vbProcedure="false">"c12974"</definedName>
    <definedName function="false" hidden="true" name="IQ_INT_FEE_INC_ACCEPTANCE_OTHER_BANKS_DOM_FFIEC" vbProcedure="false">"c15357"</definedName>
    <definedName function="false" hidden="true" name="IQ_INT_FEE_INC_AGRICULTURE_LOANS_FARMERS_DOM_FFIEC" vbProcedure="false">"c15355"</definedName>
    <definedName function="false" hidden="true" name="IQ_INT_FEE_INC_COMM_IND_LOANS_DOM_FFIEC" vbProcedure="false">"c15356"</definedName>
    <definedName function="false" hidden="true" name="IQ_INT_FEE_INC_CREDIT_CARDS_DOM_FFIEC" vbProcedure="false">"c15358"</definedName>
    <definedName function="false" hidden="true" name="IQ_INT_FEE_INC_DEPOSITORY_LOANS_DOM_FFIEC" vbProcedure="false">"c15354"</definedName>
    <definedName function="false" hidden="true" name="IQ_INT_FEE_INC_FOREIGN_GOVT_LOANS_DOM_FFIEC" vbProcedure="false">"c15360"</definedName>
    <definedName function="false" hidden="true" name="IQ_INT_FEE_INC_INDIVIDUAL_LOANS_DOM_FFIEC" vbProcedure="false">"c15359"</definedName>
    <definedName function="false" hidden="true" name="IQ_INT_FEE_INC_LOANS_1_4_DOM_FFIEC" vbProcedure="false">"c12976"</definedName>
    <definedName function="false" hidden="true" name="IQ_INT_FEE_INC_LOANS_DOM_FFIEC" vbProcedure="false">"c13335"</definedName>
    <definedName function="false" hidden="true" name="IQ_INT_FEE_INC_LOANS_FOREIGN_FFIEC" vbProcedure="false">"c12979"</definedName>
    <definedName function="false" hidden="true" name="IQ_INT_FEE_INC_LOANS_OTHER_DOM_FFIEC" vbProcedure="false">"c12978"</definedName>
    <definedName function="false" hidden="true" name="IQ_INT_FEE_INC_RE_LOANS_DOM_FFIEC" vbProcedure="false">"c15353"</definedName>
    <definedName function="false" hidden="true" name="IQ_INT_FEE_INC_SECURED_RE_DOM_FFIEC" vbProcedure="false">"c12977"</definedName>
    <definedName function="false" hidden="true" name="IQ_INT_FEE_INC_TAXABLE_OBLIGATIONS_DOM_FFIEC" vbProcedure="false">"c15361"</definedName>
    <definedName function="false" hidden="true" name="IQ_INT_FEE_INC_TAX_EXEMPT_OBLIGATIONS_DOM_FFIEC" vbProcedure="false">"c15362"</definedName>
    <definedName function="false" hidden="true" name="IQ_INT_FOREIGN_DEPOSITS_FDIC" vbProcedure="false">"c6565"</definedName>
    <definedName function="false" hidden="true" name="IQ_INT_INCOME_AVG_ASSET" vbProcedure="false">"c15704"</definedName>
    <definedName function="false" hidden="true" name="IQ_INT_INCOME_FTE_AVG_ASSETS_FFIEC" vbProcedure="false">"c13856"</definedName>
    <definedName function="false" hidden="true" name="IQ_INT_INCOME_FTE_AVG_EARNING_ASSETS_FFIEC" vbProcedure="false">"c13857"</definedName>
    <definedName function="false" hidden="true" name="IQ_INT_INCOME_FTE_FFIEC" vbProcedure="false">"c13852"</definedName>
    <definedName function="false" hidden="true" name="IQ_INT_INC_AVG_ASSETS_FFIEC" vbProcedure="false">"c13356"</definedName>
    <definedName function="false" hidden="true" name="IQ_INT_INC_BR" vbProcedure="false">"c593"</definedName>
    <definedName function="false" hidden="true" name="IQ_INT_INC_DEPOSITORY_INST_FDIC" vbProcedure="false">"c6558"</definedName>
    <definedName function="false" hidden="true" name="IQ_INT_INC_DOM_LOANS_FDIC" vbProcedure="false">"c6555"</definedName>
    <definedName function="false" hidden="true" name="IQ_INT_INC_DUE_DEPOSITORY_INSTITUTIONS_FFIEC" vbProcedure="false">"c12981"</definedName>
    <definedName function="false" hidden="true" name="IQ_INT_INC_EARNING_ASSETS_FFIEC" vbProcedure="false">"c13375"</definedName>
    <definedName function="false" hidden="true" name="IQ_INT_INC_FED_FUNDS_FDIC" vbProcedure="false">"c6561"</definedName>
    <definedName function="false" hidden="true" name="IQ_INT_INC_FED_FUNDS_SOLD_FFIEC" vbProcedure="false">"c12987"</definedName>
    <definedName function="false" hidden="true" name="IQ_INT_INC_FIN" vbProcedure="false">"c594"</definedName>
    <definedName function="false" hidden="true" name="IQ_INT_INC_FOREIGN_LOANS_FDIC" vbProcedure="false">"c6556"</definedName>
    <definedName function="false" hidden="true" name="IQ_INT_INC_INVEST" vbProcedure="false">"c595"</definedName>
    <definedName function="false" hidden="true" name="IQ_INT_INC_LEASE_RECEIVABLES_FDIC" vbProcedure="false">"c6557"</definedName>
    <definedName function="false" hidden="true" name="IQ_INT_INC_LOANS" vbProcedure="false">"c596"</definedName>
    <definedName function="false" hidden="true" name="IQ_INT_INC_OTHER_FDIC" vbProcedure="false">"c6562"</definedName>
    <definedName function="false" hidden="true" name="IQ_INT_INC_RE" vbProcedure="false">"c6225"</definedName>
    <definedName function="false" hidden="true" name="IQ_INT_INC_REIT" vbProcedure="false">"c597"</definedName>
    <definedName function="false" hidden="true" name="IQ_INT_INC_SECURITIES_FDIC" vbProcedure="false">"c6559"</definedName>
    <definedName function="false" hidden="true" name="IQ_INT_INC_TE_AVG_ASSETS_FFIEC" vbProcedure="false">"c13358"</definedName>
    <definedName function="false" hidden="true" name="IQ_INT_INC_TE_EARNING_ASSETS_FFIEC" vbProcedure="false">"c13377"</definedName>
    <definedName function="false" hidden="true" name="IQ_INT_INC_TOTAL" vbProcedure="false">"c598"</definedName>
    <definedName function="false" hidden="true" name="IQ_INT_INC_TOTAL_BNK_SUBTOTAL_AP" vbProcedure="false">"c8976"</definedName>
    <definedName function="false" hidden="true" name="IQ_INT_INC_TOTAL_FDIC" vbProcedure="false">"c6563"</definedName>
    <definedName function="false" hidden="true" name="IQ_INT_INC_TRADING_ACCOUNTS_FDIC" vbProcedure="false">"c6560"</definedName>
    <definedName function="false" hidden="true" name="IQ_INT_INC_TRADING_ASSETS_FFIEC" vbProcedure="false">"c12986"</definedName>
    <definedName function="false" hidden="true" name="IQ_INT_INC_UTI" vbProcedure="false">"c599"</definedName>
    <definedName function="false" hidden="true" name="IQ_INT_INV_INC" vbProcedure="false">"c600"</definedName>
    <definedName function="false" hidden="true" name="IQ_INT_INV_INC_RE" vbProcedure="false">"c6226"</definedName>
    <definedName function="false" hidden="true" name="IQ_INT_INV_INC_REIT" vbProcedure="false">"c601"</definedName>
    <definedName function="false" hidden="true" name="IQ_INT_INV_INC_UTI" vbProcedure="false">"c602"</definedName>
    <definedName function="false" hidden="true" name="IQ_INT_ON_BORROWING_COVERAGE" vbProcedure="false">"c603"</definedName>
    <definedName function="false" hidden="true" name="IQ_INT_ON_DEPOSITS_DOM_FFIEC" vbProcedure="false">"c12991"</definedName>
    <definedName function="false" hidden="true" name="IQ_INT_ON_DEPOSITS_FFIEC" vbProcedure="false">"c12990"</definedName>
    <definedName function="false" hidden="true" name="IQ_INT_ON_DEPOSITS_FOREIGN_FFIEC" vbProcedure="false">"c12995"</definedName>
    <definedName function="false" hidden="true" name="IQ_INT_RATE_EXPOSURE_FFIEC" vbProcedure="false">"c13058"</definedName>
    <definedName function="false" hidden="true" name="IQ_INT_RATE_SPREAD" vbProcedure="false">"c604"</definedName>
    <definedName function="false" hidden="true" name="IQ_INT_SAVINGS_DEPOSITS_MMDA_DOM_FFIEC" vbProcedure="false">"c15364"</definedName>
    <definedName function="false" hidden="true" name="IQ_INT_SUB_NOTES_FDIC" vbProcedure="false">"c6568"</definedName>
    <definedName function="false" hidden="true" name="IQ_INT_SUB_NOTES_FFIEC" vbProcedure="false">"c12998"</definedName>
    <definedName function="false" hidden="true" name="IQ_INT_TIME_DEPOSITS_LESS_THAN_100K_DOM_FFIEC" vbProcedure="false">"c12993"</definedName>
    <definedName function="false" hidden="true" name="IQ_INT_TIME_DEPOSITS_MORE_THAN_100K_DOM_FFIEC" vbProcedure="false">"c12992"</definedName>
    <definedName function="false" hidden="true" name="IQ_INT_TRADING_LIABILITIES_FFIEC" vbProcedure="false">"c12997"</definedName>
    <definedName function="false" hidden="true" name="IQ_INT_TRANSACTION_ACCOUNTS_DOM_FFIEC" vbProcedure="false">"c15363"</definedName>
    <definedName function="false" hidden="true" name="IQ_INVENTORIES" vbProcedure="false">"c6901"</definedName>
    <definedName function="false" hidden="true" name="IQ_INVENTORIES_APR" vbProcedure="false">"c7561"</definedName>
    <definedName function="false" hidden="true" name="IQ_INVENTORIES_APR_FC" vbProcedure="false">"c8441"</definedName>
    <definedName function="false" hidden="true" name="IQ_INVENTORIES_FC" vbProcedure="false">"c7781"</definedName>
    <definedName function="false" hidden="true" name="IQ_INVENTORIES_POP" vbProcedure="false">"c7121"</definedName>
    <definedName function="false" hidden="true" name="IQ_INVENTORIES_POP_FC" vbProcedure="false">"c8001"</definedName>
    <definedName function="false" hidden="true" name="IQ_INVENTORIES_YOY" vbProcedure="false">"c7341"</definedName>
    <definedName function="false" hidden="true" name="IQ_INVENTORIES_YOY_FC" vbProcedure="false">"c8221"</definedName>
    <definedName function="false" hidden="true" name="IQ_INVENTORY" vbProcedure="false">"c622"</definedName>
    <definedName function="false" hidden="true" name="IQ_INVENTORY_TURNS" vbProcedure="false">"c623"</definedName>
    <definedName function="false" hidden="true" name="IQ_INVENTORY_UTI" vbProcedure="false">"c624"</definedName>
    <definedName function="false" hidden="true" name="IQ_INVESTMENTS_ALL" vbProcedure="false">"c18891"</definedName>
    <definedName function="false" hidden="true" name="IQ_INVESTMENTS_ALL_COVER" vbProcedure="false">"c19112"</definedName>
    <definedName function="false" hidden="true" name="IQ_INVESTMENTS_ALL_ID" vbProcedure="false">"c18892"</definedName>
    <definedName function="false" hidden="true" name="IQ_INVESTMENTS_ALL_REL" vbProcedure="false">"c18894"</definedName>
    <definedName function="false" hidden="true" name="IQ_INVESTMENTS_ALL_STAKE" vbProcedure="false">"c18893"</definedName>
    <definedName function="false" hidden="true" name="IQ_INVESTMENTS_CURR" vbProcedure="false">"c18881"</definedName>
    <definedName function="false" hidden="true" name="IQ_INVESTMENTS_CURR_COVER" vbProcedure="false">"c19110"</definedName>
    <definedName function="false" hidden="true" name="IQ_INVESTMENTS_CURR_ID" vbProcedure="false">"c18882"</definedName>
    <definedName function="false" hidden="true" name="IQ_INVESTMENTS_CURR_REL" vbProcedure="false">"c18884"</definedName>
    <definedName function="false" hidden="true" name="IQ_INVESTMENTS_CURR_STAKE" vbProcedure="false">"c18883"</definedName>
    <definedName function="false" hidden="true" name="IQ_INVESTMENTS_LP" vbProcedure="false">"c18912"</definedName>
    <definedName function="false" hidden="true" name="IQ_INVESTMENTS_LP_ID" vbProcedure="false">"c18913"</definedName>
    <definedName function="false" hidden="true" name="IQ_INVESTMENTS_LP_REL" vbProcedure="false">"c18914"</definedName>
    <definedName function="false" hidden="true" name="IQ_INVESTMENTS_PENDING" vbProcedure="false">"c18887"</definedName>
    <definedName function="false" hidden="true" name="IQ_INVESTMENTS_PENDING_COVER" vbProcedure="false">"c19111"</definedName>
    <definedName function="false" hidden="true" name="IQ_INVESTMENTS_PENDING_ID" vbProcedure="false">"c18888"</definedName>
    <definedName function="false" hidden="true" name="IQ_INVESTMENTS_PENDING_REL" vbProcedure="false">"c18890"</definedName>
    <definedName function="false" hidden="true" name="IQ_INVESTMENTS_PENDING_STAKE" vbProcedure="false">"c18889"</definedName>
    <definedName function="false" hidden="true" name="IQ_INVESTMENTS_PRIOR" vbProcedure="false">"c18895"</definedName>
    <definedName function="false" hidden="true" name="IQ_INVESTMENTS_PRIOR_ID" vbProcedure="false">"c18896"</definedName>
    <definedName function="false" hidden="true" name="IQ_INVESTMENT_ADVISOR" vbProcedure="false">"c19236"</definedName>
    <definedName function="false" hidden="true" name="IQ_INVESTMENT_ADVISOR_ID" vbProcedure="false">"c19237"</definedName>
    <definedName function="false" hidden="true" name="IQ_INVESTMENT_ADVISOR_PRIMARY" vbProcedure="false">"c19239"</definedName>
    <definedName function="false" hidden="true" name="IQ_INVESTMENT_ADVISOR_PRIMARY_ID" vbProcedure="false">"c19240"</definedName>
    <definedName function="false" hidden="true" name="IQ_INVESTMENT_ADVISOR_REL" vbProcedure="false">"c19238"</definedName>
    <definedName function="false" hidden="true" name="IQ_INVESTMENT_BANKING_BROKERAGE_FEES_FFIEC" vbProcedure="false">"c13627"</definedName>
    <definedName function="false" hidden="true" name="IQ_INVESTMENT_BANKING_FEES_COMMISSIONS_FFIEC" vbProcedure="false">"c13006"</definedName>
    <definedName function="false" hidden="true" name="IQ_INVESTMENT_BANKING_OTHER_FEES_FDIC" vbProcedure="false">"c6666"</definedName>
    <definedName function="false" hidden="true" name="IQ_INVESTMENT_PARTNERSHIP" vbProcedure="false">"c16072"</definedName>
    <definedName function="false" hidden="true" name="IQ_INVEST_CRITERIA_EBITDA_MAX" vbProcedure="false">"c18907"</definedName>
    <definedName function="false" hidden="true" name="IQ_INVEST_CRITERIA_EBITDA_MIN" vbProcedure="false">"c18906"</definedName>
    <definedName function="false" hidden="true" name="IQ_INVEST_CRITERIA_EQUITY_MAX" vbProcedure="false">"c18901"</definedName>
    <definedName function="false" hidden="true" name="IQ_INVEST_CRITERIA_EQUITY_MIN" vbProcedure="false">"c18900"</definedName>
    <definedName function="false" hidden="true" name="IQ_INVEST_CRITERIA_EV_MAX" vbProcedure="false">"c18903"</definedName>
    <definedName function="false" hidden="true" name="IQ_INVEST_CRITERIA_EV_MIN" vbProcedure="false">"c18902"</definedName>
    <definedName function="false" hidden="true" name="IQ_INVEST_CRITERIA_GEOGRAPHY" vbProcedure="false">"c18898"</definedName>
    <definedName function="false" hidden="true" name="IQ_INVEST_CRITERIA_INDUSTRY" vbProcedure="false">"c18897"</definedName>
    <definedName function="false" hidden="true" name="IQ_INVEST_CRITERIA_STAGES" vbProcedure="false">"c18899"</definedName>
    <definedName function="false" hidden="true" name="IQ_INVEST_CRITERIA_TOT_REV_MAX" vbProcedure="false">"c18905"</definedName>
    <definedName function="false" hidden="true" name="IQ_INVEST_CRITERIA_TOT_REV_MIN" vbProcedure="false">"c18904"</definedName>
    <definedName function="false" hidden="true" name="IQ_INVEST_DEBT" vbProcedure="false">"c625"</definedName>
    <definedName function="false" hidden="true" name="IQ_INVEST_EQUITY_PREF" vbProcedure="false">"c626"</definedName>
    <definedName function="false" hidden="true" name="IQ_INVEST_FHLB" vbProcedure="false">"c627"</definedName>
    <definedName function="false" hidden="true" name="IQ_INVEST_GOV_SECURITY" vbProcedure="false">"c5510"</definedName>
    <definedName function="false" hidden="true" name="IQ_INVEST_LOANS_CF" vbProcedure="false">"c628"</definedName>
    <definedName function="false" hidden="true" name="IQ_INVEST_LOANS_CF_BNK" vbProcedure="false">"c629"</definedName>
    <definedName function="false" hidden="true" name="IQ_INVEST_LOANS_CF_BR" vbProcedure="false">"c630"</definedName>
    <definedName function="false" hidden="true" name="IQ_INVEST_LOANS_CF_FIN" vbProcedure="false">"c631"</definedName>
    <definedName function="false" hidden="true" name="IQ_INVEST_LOANS_CF_INS" vbProcedure="false">"c632"</definedName>
    <definedName function="false" hidden="true" name="IQ_INVEST_LOANS_CF_RE" vbProcedure="false">"c6227"</definedName>
    <definedName function="false" hidden="true" name="IQ_INVEST_LOANS_CF_REIT" vbProcedure="false">"c633"</definedName>
    <definedName function="false" hidden="true" name="IQ_INVEST_LOANS_CF_UTI" vbProcedure="false">"c634"</definedName>
    <definedName function="false" hidden="true" name="IQ_INVEST_MUNI_SECURITY" vbProcedure="false">"c5512"</definedName>
    <definedName function="false" hidden="true" name="IQ_INVEST_REAL_ESTATE" vbProcedure="false">"c635"</definedName>
    <definedName function="false" hidden="true" name="IQ_INVEST_SECURITIES_ASSETS_TOT_FFIEC" vbProcedure="false">"c13440"</definedName>
    <definedName function="false" hidden="true" name="IQ_INVEST_SECURITY" vbProcedure="false">"c636"</definedName>
    <definedName function="false" hidden="true" name="IQ_INVEST_SECURITY_CF" vbProcedure="false">"c637"</definedName>
    <definedName function="false" hidden="true" name="IQ_INVEST_SECURITY_CF_BNK" vbProcedure="false">"c638"</definedName>
    <definedName function="false" hidden="true" name="IQ_INVEST_SECURITY_CF_BR" vbProcedure="false">"c639"</definedName>
    <definedName function="false" hidden="true" name="IQ_INVEST_SECURITY_CF_FIN" vbProcedure="false">"c640"</definedName>
    <definedName function="false" hidden="true" name="IQ_INVEST_SECURITY_CF_INS" vbProcedure="false">"c641"</definedName>
    <definedName function="false" hidden="true" name="IQ_INVEST_SECURITY_CF_RE" vbProcedure="false">"c6228"</definedName>
    <definedName function="false" hidden="true" name="IQ_INVEST_SECURITY_CF_REIT" vbProcedure="false">"c642"</definedName>
    <definedName function="false" hidden="true" name="IQ_INVEST_SECURITY_CF_UTI" vbProcedure="false">"c643"</definedName>
    <definedName function="false" hidden="true" name="IQ_INVEST_SECURITY_SUPPL" vbProcedure="false">"c5511"</definedName>
    <definedName function="false" hidden="true" name="IQ_INVEST_UNCONSOLIDATED_SUBS_FFIEC" vbProcedure="false">"c12834"</definedName>
    <definedName function="false" hidden="true" name="IQ_INV_10YR_ANN_CAGR" vbProcedure="false">"c6164"</definedName>
    <definedName function="false" hidden="true" name="IQ_INV_10YR_ANN_GROWTH" vbProcedure="false">"c1930"</definedName>
    <definedName function="false" hidden="true" name="IQ_INV_1YR_ANN_GROWTH" vbProcedure="false">"c1925"</definedName>
    <definedName function="false" hidden="true" name="IQ_INV_2YR_ANN_CAGR" vbProcedure="false">"c6160"</definedName>
    <definedName function="false" hidden="true" name="IQ_INV_2YR_ANN_GROWTH" vbProcedure="false">"c1926"</definedName>
    <definedName function="false" hidden="true" name="IQ_INV_3YR_ANN_CAGR" vbProcedure="false">"c6161"</definedName>
    <definedName function="false" hidden="true" name="IQ_INV_3YR_ANN_GROWTH" vbProcedure="false">"c1927"</definedName>
    <definedName function="false" hidden="true" name="IQ_INV_5YR_ANN_CAGR" vbProcedure="false">"c6162"</definedName>
    <definedName function="false" hidden="true" name="IQ_INV_5YR_ANN_GROWTH" vbProcedure="false">"c1928"</definedName>
    <definedName function="false" hidden="true" name="IQ_INV_7YR_ANN_CAGR" vbProcedure="false">"c6163"</definedName>
    <definedName function="false" hidden="true" name="IQ_INV_7YR_ANN_GROWTH" vbProcedure="false">"c1929"</definedName>
    <definedName function="false" hidden="true" name="IQ_INV_BANKING_FEE" vbProcedure="false">"c620"</definedName>
    <definedName function="false" hidden="true" name="IQ_INV_METHOD" vbProcedure="false">"c621"</definedName>
    <definedName function="false" hidden="true" name="IQ_INV_REL_ID" vbProcedure="false">"c15220"</definedName>
    <definedName function="false" hidden="true" name="IQ_INV_REL_NAME" vbProcedure="false">"c15219"</definedName>
    <definedName function="false" hidden="true" name="IQ_IPRD" vbProcedure="false">"c644"</definedName>
    <definedName function="false" hidden="true" name="IQ_IPRD_SUPPLE" vbProcedure="false">"c13813"</definedName>
    <definedName function="false" hidden="true" name="IQ_IRA_KEOGH_ACCOUNTS_FDIC" vbProcedure="false">"c6496"</definedName>
    <definedName function="false" hidden="true" name="IQ_ISIN" vbProcedure="false">"c12041"</definedName>
    <definedName function="false" hidden="true" name="IQ_ISM_INDEX" vbProcedure="false">"c6902"</definedName>
    <definedName function="false" hidden="true" name="IQ_ISM_INDEX_APR" vbProcedure="false">"c7562"</definedName>
    <definedName function="false" hidden="true" name="IQ_ISM_INDEX_APR_FC" vbProcedure="false">"c8442"</definedName>
    <definedName function="false" hidden="true" name="IQ_ISM_INDEX_FC" vbProcedure="false">"c7782"</definedName>
    <definedName function="false" hidden="true" name="IQ_ISM_INDEX_POP" vbProcedure="false">"c7122"</definedName>
    <definedName function="false" hidden="true" name="IQ_ISM_INDEX_POP_FC" vbProcedure="false">"c8002"</definedName>
    <definedName function="false" hidden="true" name="IQ_ISM_INDEX_YOY" vbProcedure="false">"c7342"</definedName>
    <definedName function="false" hidden="true" name="IQ_ISM_INDEX_YOY_FC" vbProcedure="false">"c8222"</definedName>
    <definedName function="false" hidden="true" name="IQ_ISM_SERVICES_APR_FC_UNUSED" vbProcedure="false">"c8443"</definedName>
    <definedName function="false" hidden="true" name="IQ_ISM_SERVICES_APR_FC_UNUSED_UNUSED_UNUSED" vbProcedure="false">"c8443"</definedName>
    <definedName function="false" hidden="true" name="IQ_ISM_SERVICES_APR_UNUSED" vbProcedure="false">"c7563"</definedName>
    <definedName function="false" hidden="true" name="IQ_ISM_SERVICES_APR_UNUSED_UNUSED_UNUSED" vbProcedure="false">"c7563"</definedName>
    <definedName function="false" hidden="true" name="IQ_ISM_SERVICES_FC_UNUSED" vbProcedure="false">"c7783"</definedName>
    <definedName function="false" hidden="true" name="IQ_ISM_SERVICES_FC_UNUSED_UNUSED_UNUSED" vbProcedure="false">"c7783"</definedName>
    <definedName function="false" hidden="true" name="IQ_ISM_SERVICES_INDEX" vbProcedure="false">"c11862"</definedName>
    <definedName function="false" hidden="true" name="IQ_ISM_SERVICES_INDEX_APR" vbProcedure="false">"c11865"</definedName>
    <definedName function="false" hidden="true" name="IQ_ISM_SERVICES_INDEX_POP" vbProcedure="false">"c11863"</definedName>
    <definedName function="false" hidden="true" name="IQ_ISM_SERVICES_INDEX_YOY" vbProcedure="false">"c11864"</definedName>
    <definedName function="false" hidden="true" name="IQ_ISM_SERVICES_POP_FC_UNUSED" vbProcedure="false">"c8003"</definedName>
    <definedName function="false" hidden="true" name="IQ_ISM_SERVICES_POP_FC_UNUSED_UNUSED_UNUSED" vbProcedure="false">"c8003"</definedName>
    <definedName function="false" hidden="true" name="IQ_ISM_SERVICES_POP_UNUSED" vbProcedure="false">"c7123"</definedName>
    <definedName function="false" hidden="true" name="IQ_ISM_SERVICES_POP_UNUSED_UNUSED_UNUSED" vbProcedure="false">"c7123"</definedName>
    <definedName function="false" hidden="true" name="IQ_ISM_SERVICES_UNUSED" vbProcedure="false">"c6903"</definedName>
    <definedName function="false" hidden="true" name="IQ_ISM_SERVICES_UNUSED_UNUSED_UNUSED" vbProcedure="false">"c6903"</definedName>
    <definedName function="false" hidden="true" name="IQ_ISM_SERVICES_YOY_FC_UNUSED" vbProcedure="false">"c8223"</definedName>
    <definedName function="false" hidden="true" name="IQ_ISM_SERVICES_YOY_FC_UNUSED_UNUSED_UNUSED" vbProcedure="false">"c8223"</definedName>
    <definedName function="false" hidden="true" name="IQ_ISM_SERVICES_YOY_UNUSED" vbProcedure="false">"c7343"</definedName>
    <definedName function="false" hidden="true" name="IQ_ISM_SERVICES_YOY_UNUSED_UNUSED_UNUSED" vbProcedure="false">"c7343"</definedName>
    <definedName function="false" hidden="true" name="IQ_ISSUED_GUARANTEED_US_FDIC" vbProcedure="false">"c6404"</definedName>
    <definedName function="false" hidden="true" name="IQ_ISSUER" vbProcedure="false">"c2143"</definedName>
    <definedName function="false" hidden="true" name="IQ_ISSUER_CIQID" vbProcedure="false">"c2258"</definedName>
    <definedName function="false" hidden="true" name="IQ_ISSUER_PARENT" vbProcedure="false">"c2144"</definedName>
    <definedName function="false" hidden="true" name="IQ_ISSUER_PARENT_CIQID" vbProcedure="false">"c2260"</definedName>
    <definedName function="false" hidden="true" name="IQ_ISSUER_PARENT_TICKER" vbProcedure="false">"c2259"</definedName>
    <definedName function="false" hidden="true" name="IQ_ISSUER_TICKER" vbProcedure="false">"c2252"</definedName>
    <definedName function="false" hidden="true" name="IQ_ISSUE_CURRENCY" vbProcedure="false">"c2156"</definedName>
    <definedName function="false" hidden="true" name="IQ_ISSUE_NAME" vbProcedure="false">"c2142"</definedName>
    <definedName function="false" hidden="true" name="IQ_ISS_DEBT_NET" vbProcedure="false">"c1391"</definedName>
    <definedName function="false" hidden="true" name="IQ_ISS_STOCK_NET" vbProcedure="false">"c1601"</definedName>
    <definedName function="false" hidden="true" name="IQ_JR_SUB_DEBT" vbProcedure="false">"c2534"</definedName>
    <definedName function="false" hidden="true" name="IQ_JR_SUB_DEBT_EBITDA" vbProcedure="false">"c2560"</definedName>
    <definedName function="false" hidden="true" name="IQ_JR_SUB_DEBT_EBITDA_CAPEX" vbProcedure="false">"c2561"</definedName>
    <definedName function="false" hidden="true" name="IQ_JR_SUB_DEBT_PCT" vbProcedure="false">"c2535"</definedName>
    <definedName function="false" hidden="true" name="IQ_KEY_DEV_COMPANY_ID" vbProcedure="false">"c13830"</definedName>
    <definedName function="false" hidden="true" name="IQ_KEY_DEV_COMPANY_NAME" vbProcedure="false">"c13829"</definedName>
    <definedName function="false" hidden="true" name="IQ_KEY_DEV_DATE" vbProcedure="false">"c13763"</definedName>
    <definedName function="false" hidden="true" name="IQ_KEY_DEV_HEADLINE" vbProcedure="false">"c13761"</definedName>
    <definedName function="false" hidden="true" name="IQ_KEY_DEV_ID" vbProcedure="false">"c13760"</definedName>
    <definedName function="false" hidden="true" name="IQ_KEY_DEV_ID_INCL_SUBS" vbProcedure="false">"c13832"</definedName>
    <definedName function="false" hidden="true" name="IQ_KEY_DEV_SITUATION" vbProcedure="false">"c13762"</definedName>
    <definedName function="false" hidden="true" name="IQ_KEY_DEV_SOURCE" vbProcedure="false">"c13765"</definedName>
    <definedName function="false" hidden="true" name="IQ_KEY_DEV_TIME" vbProcedure="false">"c13833"</definedName>
    <definedName function="false" hidden="true" name="IQ_KEY_DEV_TRANSACTION_ID" vbProcedure="false">"c13766"</definedName>
    <definedName function="false" hidden="true" name="IQ_KEY_DEV_TYPE" vbProcedure="false">"c13764"</definedName>
    <definedName function="false" hidden="true" name="IQ_LAND" vbProcedure="false">"c645"</definedName>
    <definedName function="false" hidden="true" name="IQ_LANDS_MINERAL_RIGHTS_GROSS_COAL" vbProcedure="false">"c15938"</definedName>
    <definedName function="false" hidden="true" name="IQ_LANDS_MINERAL_RIGHTS_NET_COAL" vbProcedure="false">"c15939"</definedName>
    <definedName function="false" hidden="true" name="IQ_LAND_MINERAL_RIGHTS_TO_PPE_GROSS_COAL" vbProcedure="false">"c15949"</definedName>
    <definedName function="false" hidden="true" name="IQ_LAND_MINERAL_RIGHTS_TO_PPE_NET_COAL" vbProcedure="false">"c15950"</definedName>
    <definedName function="false" hidden="true" name="IQ_LAPSE_STATUTE_LIMITATIONS" vbProcedure="false">"c15738"</definedName>
    <definedName function="false" hidden="true" name="IQ_LARGE_CAP_LABOR_COST_INDEX" vbProcedure="false">"c6904"</definedName>
    <definedName function="false" hidden="true" name="IQ_LARGE_CAP_LABOR_COST_INDEX_APR" vbProcedure="false">"c7564"</definedName>
    <definedName function="false" hidden="true" name="IQ_LARGE_CAP_LABOR_COST_INDEX_APR_FC" vbProcedure="false">"c8444"</definedName>
    <definedName function="false" hidden="true" name="IQ_LARGE_CAP_LABOR_COST_INDEX_FC" vbProcedure="false">"c7784"</definedName>
    <definedName function="false" hidden="true" name="IQ_LARGE_CAP_LABOR_COST_INDEX_POP" vbProcedure="false">"c7124"</definedName>
    <definedName function="false" hidden="true" name="IQ_LARGE_CAP_LABOR_COST_INDEX_POP_FC" vbProcedure="false">"c8004"</definedName>
    <definedName function="false" hidden="true" name="IQ_LARGE_CAP_LABOR_COST_INDEX_YOY" vbProcedure="false">"c7344"</definedName>
    <definedName function="false" hidden="true" name="IQ_LARGE_CAP_LABOR_COST_INDEX_YOY_FC" vbProcedure="false">"c8224"</definedName>
    <definedName function="false" hidden="true" name="IQ_LASTPRICINGDATE" vbProcedure="false">"c3051"</definedName>
    <definedName function="false" hidden="true" name="IQ_LASTSALEPRICE" vbProcedure="false">"c646"</definedName>
    <definedName function="false" hidden="true" name="IQ_LASTSALEPRICE_DATE" vbProcedure="false">"c2109"</definedName>
    <definedName function="false" hidden="true" name="IQ_LAST_EBITDA_MARGIN" vbProcedure="false">"IQ_LAST_EBITDA_MARGIN"</definedName>
    <definedName function="false" hidden="true" name="IQ_LAST_EBIT_MARGIN" vbProcedure="false">"IQ_LAST_EBIT_MARGIN"</definedName>
    <definedName function="false" hidden="true" name="IQ_LAST_GROSS_MARGIN" vbProcedure="false">"IQ_LAST_GROSS_MARGIN"</definedName>
    <definedName function="false" hidden="true" name="IQ_LAST_NET_INC_MARGIN" vbProcedure="false">"IQ_LAST_NET_INC_MARGIN"</definedName>
    <definedName function="false" hidden="true" name="IQ_LAST_PMT_DATE" vbProcedure="false">"c2188"</definedName>
    <definedName function="false" hidden="true" name="IQ_LAST_SPLIT_DATE" vbProcedure="false">"c2095"</definedName>
    <definedName function="false" hidden="true" name="IQ_LAST_SPLIT_FACTOR" vbProcedure="false">"c2093"</definedName>
    <definedName function="false" hidden="true" name="IQ_LATEST" vbProcedure="false">"1"</definedName>
    <definedName function="false" hidden="true" name="IQ_LATESTK" vbProcedure="false">1000</definedName>
    <definedName function="false" hidden="true" name="IQ_LATESTKFR" vbProcedure="false">"50"</definedName>
    <definedName function="false" hidden="true" name="IQ_LATESTQ" vbProcedure="false">500</definedName>
    <definedName function="false" hidden="true" name="IQ_LATESTQFR" vbProcedure="false">"100"</definedName>
    <definedName function="false" hidden="true" name="IQ_LATEST_MONTHLY_FACTOR" vbProcedure="false">"c8971"</definedName>
    <definedName function="false" hidden="true" name="IQ_LATEST_MONTHLY_FACTOR_DATE" vbProcedure="false">"c8972"</definedName>
    <definedName function="false" hidden="true" name="IQ_LATEST_TRANSACTION" vbProcedure="false">"c18886"</definedName>
    <definedName function="false" hidden="true" name="IQ_LEAD_UNDERWRITER" vbProcedure="false">"c8957"</definedName>
    <definedName function="false" hidden="true" name="IQ_LEASED_RESERVES_COAL" vbProcedure="false">"c15918"</definedName>
    <definedName function="false" hidden="true" name="IQ_LEASED_RESERVES_TO_TOTAL_RESERVES_COAL" vbProcedure="false">"c15958"</definedName>
    <definedName function="false" hidden="true" name="IQ_LEASEHOLD_IMPROVEMENT" vbProcedure="false">"c17549"</definedName>
    <definedName function="false" hidden="true" name="IQ_LEASES_INDIVIDUALS_CHARGE_OFFS_FFIEC" vbProcedure="false">"c13184"</definedName>
    <definedName function="false" hidden="true" name="IQ_LEASES_INDIVIDUALS_RECOV_FFIEC" vbProcedure="false">"c13206"</definedName>
    <definedName function="false" hidden="true" name="IQ_LEASES_PERSONAL_EXP_DUE_30_89_FFIEC" vbProcedure="false">"c13277"</definedName>
    <definedName function="false" hidden="true" name="IQ_LEASES_PERSONAL_EXP_DUE_90_FFIEC" vbProcedure="false">"c13303"</definedName>
    <definedName function="false" hidden="true" name="IQ_LEASES_PERSONAL_EXP_NON_ACCRUAL_FFIEC" vbProcedure="false">"c13329"</definedName>
    <definedName function="false" hidden="true" name="IQ_LEASE_EXPENSE" vbProcedure="false">"c16039"</definedName>
    <definedName function="false" hidden="true" name="IQ_LEASE_FINANCE" vbProcedure="false">"c5654"</definedName>
    <definedName function="false" hidden="true" name="IQ_LEASE_FINANCING_RECEIVABLES_CHARGE_OFFS_FDIC" vbProcedure="false">"c6602"</definedName>
    <definedName function="false" hidden="true" name="IQ_LEASE_FINANCING_RECEIVABLES_DOM_FFIEC" vbProcedure="false">"c12915"</definedName>
    <definedName function="false" hidden="true" name="IQ_LEASE_FINANCING_RECEIVABLES_FDIC" vbProcedure="false">"c6433"</definedName>
    <definedName function="false" hidden="true" name="IQ_LEASE_FINANCING_RECEIVABLES_NET_CHARGE_OFFS_FDIC" vbProcedure="false">"c6640"</definedName>
    <definedName function="false" hidden="true" name="IQ_LEASE_FINANCING_RECEIVABLES_QUARTERLY_AVG_FFIEC" vbProcedure="false">"c15483"</definedName>
    <definedName function="false" hidden="true" name="IQ_LEASE_FINANCING_RECEIVABLES_RECOVERIES_FDIC" vbProcedure="false">"c6621"</definedName>
    <definedName function="false" hidden="true" name="IQ_LEASE_FINANCING_RECEIVABLES_TOTAL_LOANS_FOREIGN_FDIC" vbProcedure="false">"c6449"</definedName>
    <definedName function="false" hidden="true" name="IQ_LEASE_FINANCING_REC_DUE_30_89_FFIEC" vbProcedure="false">"c13276"</definedName>
    <definedName function="false" hidden="true" name="IQ_LEASE_FINANCING_REC_DUE_90_FFIEC" vbProcedure="false">"c13302"</definedName>
    <definedName function="false" hidden="true" name="IQ_LEASE_FINANCING_REC_NON_ACCRUAL_FFIEC" vbProcedure="false">"c13328"</definedName>
    <definedName function="false" hidden="true" name="IQ_LEASE_FIN_RECEIVABLES_NON_US_CHARGE_OFFS_FFIEC" vbProcedure="false">"c13631"</definedName>
    <definedName function="false" hidden="true" name="IQ_LEASE_FIN_RECEIVABLES_NON_US_RECOV_FFIEC" vbProcedure="false">"c13635"</definedName>
    <definedName function="false" hidden="true" name="IQ_LEASE_FIN_RECEIVABLES_US_CHARGE_OFFS_FFIEC" vbProcedure="false">"c13630"</definedName>
    <definedName function="false" hidden="true" name="IQ_LEASE_FIN_RECEIVABLES_US_RECOV_FFIEC" vbProcedure="false">"c13634"</definedName>
    <definedName function="false" hidden="true" name="IQ_LEASE_PMT_REC_AFTER_FIVE" vbProcedure="false">"c16099"</definedName>
    <definedName function="false" hidden="true" name="IQ_LEASE_PMT_REC_CY" vbProcedure="false">"c16093"</definedName>
    <definedName function="false" hidden="true" name="IQ_LEASE_PMT_REC_CY1" vbProcedure="false">"c16094"</definedName>
    <definedName function="false" hidden="true" name="IQ_LEASE_PMT_REC_CY2" vbProcedure="false">"c16095"</definedName>
    <definedName function="false" hidden="true" name="IQ_LEASE_PMT_REC_CY3" vbProcedure="false">"c16096"</definedName>
    <definedName function="false" hidden="true" name="IQ_LEASE_PMT_REC_CY4" vbProcedure="false">"c16097"</definedName>
    <definedName function="false" hidden="true" name="IQ_LEASE_PMT_REC_NEXT_FIVE" vbProcedure="false">"c16098"</definedName>
    <definedName function="false" hidden="true" name="IQ_LEASE_PMT_REC_TOTAL" vbProcedure="false">"c16100"</definedName>
    <definedName function="false" hidden="true" name="IQ_LEASE_RECEIVABLES_FOREIGN_FFIEC" vbProcedure="false">"c13483"</definedName>
    <definedName function="false" hidden="true" name="IQ_LEASE_REVENUE" vbProcedure="false">"c16023"</definedName>
    <definedName function="false" hidden="true" name="IQ_LEASE_TERMINATION_FEES" vbProcedure="false">"c16182"</definedName>
    <definedName function="false" hidden="true" name="IQ_LEGAL_FEES_FFIEC" vbProcedure="false">"c13052"</definedName>
    <definedName function="false" hidden="true" name="IQ_LEGAL_SETTLE" vbProcedure="false">"c647"</definedName>
    <definedName function="false" hidden="true" name="IQ_LEGAL_SETTLE_BNK" vbProcedure="false">"c648"</definedName>
    <definedName function="false" hidden="true" name="IQ_LEGAL_SETTLE_BR" vbProcedure="false">"c649"</definedName>
    <definedName function="false" hidden="true" name="IQ_LEGAL_SETTLE_FIN" vbProcedure="false">"c650"</definedName>
    <definedName function="false" hidden="true" name="IQ_LEGAL_SETTLE_INS" vbProcedure="false">"c651"</definedName>
    <definedName function="false" hidden="true" name="IQ_LEGAL_SETTLE_RE" vbProcedure="false">"c6229"</definedName>
    <definedName function="false" hidden="true" name="IQ_LEGAL_SETTLE_REIT" vbProcedure="false">"c652"</definedName>
    <definedName function="false" hidden="true" name="IQ_LEGAL_SETTLE_SUPPLE" vbProcedure="false">"c13815"</definedName>
    <definedName function="false" hidden="true" name="IQ_LEGAL_SETTLE_UTI" vbProcedure="false">"c653"</definedName>
    <definedName function="false" hidden="true" name="IQ_LEVERAGE_RATIO" vbProcedure="false">"c654"</definedName>
    <definedName function="false" hidden="true" name="IQ_LEVERED_FCF" vbProcedure="false">"c1907"</definedName>
    <definedName function="false" hidden="true" name="IQ_LFCF_10YR_ANN_CAGR" vbProcedure="false">"c6174"</definedName>
    <definedName function="false" hidden="true" name="IQ_LFCF_10YR_ANN_GROWTH" vbProcedure="false">"c1942"</definedName>
    <definedName function="false" hidden="true" name="IQ_LFCF_1YR_ANN_GROWTH" vbProcedure="false">"c1937"</definedName>
    <definedName function="false" hidden="true" name="IQ_LFCF_2YR_ANN_CAGR" vbProcedure="false">"c6170"</definedName>
    <definedName function="false" hidden="true" name="IQ_LFCF_2YR_ANN_GROWTH" vbProcedure="false">"c1938"</definedName>
    <definedName function="false" hidden="true" name="IQ_LFCF_3YR_ANN_CAGR" vbProcedure="false">"c6171"</definedName>
    <definedName function="false" hidden="true" name="IQ_LFCF_3YR_ANN_GROWTH" vbProcedure="false">"c1939"</definedName>
    <definedName function="false" hidden="true" name="IQ_LFCF_5YR_ANN_CAGR" vbProcedure="false">"c6172"</definedName>
    <definedName function="false" hidden="true" name="IQ_LFCF_5YR_ANN_GROWTH" vbProcedure="false">"c1940"</definedName>
    <definedName function="false" hidden="true" name="IQ_LFCF_7YR_ANN_CAGR" vbProcedure="false">"c6173"</definedName>
    <definedName function="false" hidden="true" name="IQ_LFCF_7YR_ANN_GROWTH" vbProcedure="false">"c1941"</definedName>
    <definedName function="false" hidden="true" name="IQ_LFCF_MARGIN" vbProcedure="false">"c1961"</definedName>
    <definedName function="false" hidden="true" name="IQ_LH_STATUTORY_SURPLUS" vbProcedure="false">"c2771"</definedName>
    <definedName function="false" hidden="true" name="IQ_LIABILITIES_FAIR_VALUE" vbProcedure="false">"c13848"</definedName>
    <definedName function="false" hidden="true" name="IQ_LIABILITIES_LEVEL_1" vbProcedure="false">"c13844"</definedName>
    <definedName function="false" hidden="true" name="IQ_LIABILITIES_LEVEL_2" vbProcedure="false">"c13845"</definedName>
    <definedName function="false" hidden="true" name="IQ_LIABILITIES_LEVEL_3" vbProcedure="false">"c13846"</definedName>
    <definedName function="false" hidden="true" name="IQ_LIABILITIES_NETTING_OTHER_ADJUSTMENTS" vbProcedure="false">"c13847"</definedName>
    <definedName function="false" hidden="true" name="IQ_LIABILITY_ACCEPTANCES_OUT_FFIEC" vbProcedure="false">"c12866"</definedName>
    <definedName function="false" hidden="true" name="IQ_LIABILITY_SHORT_POSITIONS_DOM_FFIEC" vbProcedure="false">"c12941"</definedName>
    <definedName function="false" hidden="true" name="IQ_LIAB_AP" vbProcedure="false">"c8886"</definedName>
    <definedName function="false" hidden="true" name="IQ_LIAB_AP_ABS" vbProcedure="false">"c8905"</definedName>
    <definedName function="false" hidden="true" name="IQ_LIAB_NAME_AP" vbProcedure="false">"c8924"</definedName>
    <definedName function="false" hidden="true" name="IQ_LIAB_NAME_AP_ABS" vbProcedure="false">"c8943"</definedName>
    <definedName function="false" hidden="true" name="IQ_LICENSED_POPS" vbProcedure="false">"c2123"</definedName>
    <definedName function="false" hidden="true" name="IQ_LICENSED_WIRELESS_POPS" vbProcedure="false">"c2123"</definedName>
    <definedName function="false" hidden="true" name="IQ_LIFE_EARNED" vbProcedure="false">"c2739"</definedName>
    <definedName function="false" hidden="true" name="IQ_LIFE_INSURANCE_ASSETS_FDIC" vbProcedure="false">"c6372"</definedName>
    <definedName function="false" hidden="true" name="IQ_LIFE_INSURANCE_ASSETS_FFIEC" vbProcedure="false">"c12847"</definedName>
    <definedName function="false" hidden="true" name="IQ_LIFOR" vbProcedure="false">"c655"</definedName>
    <definedName function="false" hidden="true" name="IQ_LIMITED_PARTNERS" vbProcedure="false">"c18915"</definedName>
    <definedName function="false" hidden="true" name="IQ_LIMITED_PARTNERS_ID" vbProcedure="false">"c18916"</definedName>
    <definedName function="false" hidden="true" name="IQ_LIMITED_PARTNERS_REL" vbProcedure="false">"c19114"</definedName>
    <definedName function="false" hidden="true" name="IQ_LINE_EXTENSIONS_CABLE_INVEST" vbProcedure="false">"c15803"</definedName>
    <definedName function="false" hidden="true" name="IQ_LIQUIDATION_VALUE_PREFERRED_CONVERT" vbProcedure="false">"c13835"</definedName>
    <definedName function="false" hidden="true" name="IQ_LIQUIDATION_VALUE_PREFERRED_NON_REDEEM" vbProcedure="false">"c13836"</definedName>
    <definedName function="false" hidden="true" name="IQ_LIQUIDATION_VALUE_PREFERRED_REDEEM" vbProcedure="false">"c13837"</definedName>
    <definedName function="false" hidden="true" name="IQ_LIQUID_ASSETS_ASSETS_TOT_FFIEC" vbProcedure="false">"c13439"</definedName>
    <definedName function="false" hidden="true" name="IQ_LIQUID_ASSETS_NONCORE_FUNDING_FFIEC" vbProcedure="false">"c13339"</definedName>
    <definedName function="false" hidden="true" name="IQ_LL" vbProcedure="false">"c656"</definedName>
    <definedName function="false" hidden="true" name="IQ_LOANS_AGRICULTURAL_PROD_LL_REC_FFIEC" vbProcedure="false">"c12886"</definedName>
    <definedName function="false" hidden="true" name="IQ_LOANS_AND_LEASES_HELD_FDIC" vbProcedure="false">"c6367"</definedName>
    <definedName function="false" hidden="true" name="IQ_LOANS_CF" vbProcedure="false">"c659"</definedName>
    <definedName function="false" hidden="true" name="IQ_LOANS_CF_BNK" vbProcedure="false">"c660"</definedName>
    <definedName function="false" hidden="true" name="IQ_LOANS_CF_BR" vbProcedure="false">"c661"</definedName>
    <definedName function="false" hidden="true" name="IQ_LOANS_CF_FIN" vbProcedure="false">"c662"</definedName>
    <definedName function="false" hidden="true" name="IQ_LOANS_CF_INS" vbProcedure="false">"c663"</definedName>
    <definedName function="false" hidden="true" name="IQ_LOANS_CF_RE" vbProcedure="false">"c6230"</definedName>
    <definedName function="false" hidden="true" name="IQ_LOANS_CF_REIT" vbProcedure="false">"c664"</definedName>
    <definedName function="false" hidden="true" name="IQ_LOANS_CF_UTI" vbProcedure="false">"c665"</definedName>
    <definedName function="false" hidden="true" name="IQ_LOANS_DEPOSITORY_INSTITUTIONS_FDIC" vbProcedure="false">"c6382"</definedName>
    <definedName function="false" hidden="true" name="IQ_LOANS_DEPOSITORY_INST_US_LL_REC_FFIEC" vbProcedure="false">"c12884"</definedName>
    <definedName function="false" hidden="true" name="IQ_LOANS_DOM_QUARTERLY_AVG_FFIEC" vbProcedure="false">"c13084"</definedName>
    <definedName function="false" hidden="true" name="IQ_LOANS_FARMERS_CHARGE_OFFS_FFIEC" vbProcedure="false">"c13177"</definedName>
    <definedName function="false" hidden="true" name="IQ_LOANS_FARMERS_RECOV_FFIEC" vbProcedure="false">"c13199"</definedName>
    <definedName function="false" hidden="true" name="IQ_LOANS_FINANCE_AGRICULTURAL_DUE_30_89_FFIEC" vbProcedure="false">"c13270"</definedName>
    <definedName function="false" hidden="true" name="IQ_LOANS_FINANCE_AGRICULTURAL_DUE_90_FFIEC" vbProcedure="false">"c13296"</definedName>
    <definedName function="false" hidden="true" name="IQ_LOANS_FINANCE_AGRICULTURAL_NON_ACCRUAL_FFIEC" vbProcedure="false">"c13322"</definedName>
    <definedName function="false" hidden="true" name="IQ_LOANS_FINANCE_AGRICULTURAL_PROD_LL_REC_DOM_FFIEC" vbProcedure="false">"c12909"</definedName>
    <definedName function="false" hidden="true" name="IQ_LOANS_FOREIGN_GOV_CHARGE_OFFS_FFIEC" vbProcedure="false">"c13182"</definedName>
    <definedName function="false" hidden="true" name="IQ_LOANS_FOREIGN_GOV_DUE_30_89_FFIEC" vbProcedure="false">"c13274"</definedName>
    <definedName function="false" hidden="true" name="IQ_LOANS_FOREIGN_GOV_DUE_90_FFIEC" vbProcedure="false">"c13300"</definedName>
    <definedName function="false" hidden="true" name="IQ_LOANS_FOREIGN_GOV_LL_REC_DOM_FFIEC" vbProcedure="false">"c12912"</definedName>
    <definedName function="false" hidden="true" name="IQ_LOANS_FOREIGN_GOV_NON_ACCRUAL_FFIEC" vbProcedure="false">"c13326"</definedName>
    <definedName function="false" hidden="true" name="IQ_LOANS_FOREIGN_GOV_RECOV_FFIEC" vbProcedure="false">"c13204"</definedName>
    <definedName function="false" hidden="true" name="IQ_LOANS_FOREIGN_INST_CHARGE_OFFS_FFIEC" vbProcedure="false">"c13176"</definedName>
    <definedName function="false" hidden="true" name="IQ_LOANS_FOREIGN_INST_RECOV_FFIEC" vbProcedure="false">"c13198"</definedName>
    <definedName function="false" hidden="true" name="IQ_LOANS_FOREIGN_LL_REC_FFIEC" vbProcedure="false">"c12885"</definedName>
    <definedName function="false" hidden="true" name="IQ_LOANS_FOR_SALE" vbProcedure="false">"c666"</definedName>
    <definedName function="false" hidden="true" name="IQ_LOANS_GOV_GUARANTEED_DUE_30_89_FFIEC" vbProcedure="false">"c13281"</definedName>
    <definedName function="false" hidden="true" name="IQ_LOANS_GOV_GUARANTEED_DUE_90_FFIEC" vbProcedure="false">"c13307"</definedName>
    <definedName function="false" hidden="true" name="IQ_LOANS_GOV_GUARANTEED_EXCL_GNMA_DUE_30_89_FFIEC" vbProcedure="false">"c13282"</definedName>
    <definedName function="false" hidden="true" name="IQ_LOANS_GOV_GUARANTEED_EXCL_GNMA_DUE_90_FFIEC" vbProcedure="false">"c13308"</definedName>
    <definedName function="false" hidden="true" name="IQ_LOANS_GOV_GUARANTEED_EXCL_GNMA_NON_ACCRUAL_FFIEC" vbProcedure="false">"c13333"</definedName>
    <definedName function="false" hidden="true" name="IQ_LOANS_GOV_GUARANTEED_NON_ACCRUAL_FFIEC" vbProcedure="false">"c13332"</definedName>
    <definedName function="false" hidden="true" name="IQ_LOANS_HELD_FOREIGN_FDIC" vbProcedure="false">"c6315"</definedName>
    <definedName function="false" hidden="true" name="IQ_LOANS_INDIVIDUALS_FOREIGN_FFIEC" vbProcedure="false">"c13480"</definedName>
    <definedName function="false" hidden="true" name="IQ_LOANS_LEASES_ASSETS_TOT_FFIEC" vbProcedure="false">"c13437"</definedName>
    <definedName function="false" hidden="true" name="IQ_LOANS_LEASES_FAIR_VALUE_TOT_FFIEC" vbProcedure="false">"c13209"</definedName>
    <definedName function="false" hidden="true" name="IQ_LOANS_LEASES_FOREIGN_FDIC" vbProcedure="false">"c6383"</definedName>
    <definedName function="false" hidden="true" name="IQ_LOANS_LEASES_GROSS_FDIC" vbProcedure="false">"c6323"</definedName>
    <definedName function="false" hidden="true" name="IQ_LOANS_LEASES_GROSS_FOREIGN_FDIC" vbProcedure="false">"c6384"</definedName>
    <definedName function="false" hidden="true" name="IQ_LOANS_LEASES_HELD_SALE_FFIEC" vbProcedure="false">"c12808"</definedName>
    <definedName function="false" hidden="true" name="IQ_LOANS_LEASES_HFI_FAIR_VALUE_TOT_FFIEC" vbProcedure="false">"c15401"</definedName>
    <definedName function="false" hidden="true" name="IQ_LOANS_LEASES_HFI_LEVEL_1_FFIEC" vbProcedure="false">"c15423"</definedName>
    <definedName function="false" hidden="true" name="IQ_LOANS_LEASES_HFI_LEVEL_2_FFIEC" vbProcedure="false">"c15436"</definedName>
    <definedName function="false" hidden="true" name="IQ_LOANS_LEASES_HFI_LEVEL_3_FFIEC" vbProcedure="false">"c15449"</definedName>
    <definedName function="false" hidden="true" name="IQ_LOANS_LEASES_HFS_FAIR_VALUE_TOT_FFIEC" vbProcedure="false">"c15400"</definedName>
    <definedName function="false" hidden="true" name="IQ_LOANS_LEASES_HFS_LEVEL_1_FFIEC" vbProcedure="false">"c15422"</definedName>
    <definedName function="false" hidden="true" name="IQ_LOANS_LEASES_HFS_LEVEL_2_FFIEC" vbProcedure="false">"c15435"</definedName>
    <definedName function="false" hidden="true" name="IQ_LOANS_LEASES_HFS_LEVEL_3_FFIEC" vbProcedure="false">"c15448"</definedName>
    <definedName function="false" hidden="true" name="IQ_LOANS_LEASES_LEVEL_1_FFIEC" vbProcedure="false">"c13217"</definedName>
    <definedName function="false" hidden="true" name="IQ_LOANS_LEASES_LEVEL_2_FFIEC" vbProcedure="false">"c13225"</definedName>
    <definedName function="false" hidden="true" name="IQ_LOANS_LEASES_LEVEL_3_FFIEC" vbProcedure="false">"c13233"</definedName>
    <definedName function="false" hidden="true" name="IQ_LOANS_LEASES_NET_FDIC" vbProcedure="false">"c6327"</definedName>
    <definedName function="false" hidden="true" name="IQ_LOANS_LEASES_NET_UNEARNED_FDIC" vbProcedure="false">"c6325"</definedName>
    <definedName function="false" hidden="true" name="IQ_LOANS_LEASES_NET_UNEARNED_INCOME_FFIEC" vbProcedure="false">"c12809"</definedName>
    <definedName function="false" hidden="true" name="IQ_LOANS_LEASES_NET_UNEARNED_INC_ALLOWANCE_FFIEC" vbProcedure="false">"c12811"</definedName>
    <definedName function="false" hidden="true" name="IQ_LOANS_LEASES_QUARTERLY_AVG_FFIEC" vbProcedure="false">"c13081"</definedName>
    <definedName function="false" hidden="true" name="IQ_LOANS_LOC_ASSETS_TOT_FFIEC" vbProcedure="false">"c13441"</definedName>
    <definedName function="false" hidden="true" name="IQ_LOANS_NOT_SECURED_RE_FDIC" vbProcedure="false">"c6381"</definedName>
    <definedName function="false" hidden="true" name="IQ_LOANS_PAST_DUE" vbProcedure="false">"c667"</definedName>
    <definedName function="false" hidden="true" name="IQ_LOANS_PURCHASING_CARRYING_SECURITIES_LL_REC_DOM_FFIEC" vbProcedure="false">"c12913"</definedName>
    <definedName function="false" hidden="true" name="IQ_LOANS_RECEIV_CURRENT" vbProcedure="false">"c668"</definedName>
    <definedName function="false" hidden="true" name="IQ_LOANS_RECEIV_LT" vbProcedure="false">"c669"</definedName>
    <definedName function="false" hidden="true" name="IQ_LOANS_RECEIV_LT_UTI" vbProcedure="false">"c670"</definedName>
    <definedName function="false" hidden="true" name="IQ_LOANS_SECURED_1_4_DOM_QUARTERLY_AVG_FFIEC" vbProcedure="false">"c13082"</definedName>
    <definedName function="false" hidden="true" name="IQ_LOANS_SECURED_BY_RE_CHARGE_OFFS_FDIC" vbProcedure="false">"c6588"</definedName>
    <definedName function="false" hidden="true" name="IQ_LOANS_SECURED_BY_RE_RECOVERIES_FDIC" vbProcedure="false">"c6607"</definedName>
    <definedName function="false" hidden="true" name="IQ_LOANS_SECURED_CONSTRUCTION_TRADING_DOM_FFIEC" vbProcedure="false">"c12925"</definedName>
    <definedName function="false" hidden="true" name="IQ_LOANS_SECURED_FARMLAND_TRADING_DOM_FFIEC" vbProcedure="false">"c12926"</definedName>
    <definedName function="false" hidden="true" name="IQ_LOANS_SECURED_NON_US_FDIC" vbProcedure="false">"c6380"</definedName>
    <definedName function="false" hidden="true" name="IQ_LOANS_SECURED_RE_DOM_QUARTERLY_AVG_FFIEC" vbProcedure="false">"c13083"</definedName>
    <definedName function="false" hidden="true" name="IQ_LOANS_SECURED_RE_FFIEC" vbProcedure="false">"c12820"</definedName>
    <definedName function="false" hidden="true" name="IQ_LOANS_SECURED_RE_LL_REC_FFIEC" vbProcedure="false">"c12883"</definedName>
    <definedName function="false" hidden="true" name="IQ_LOANS_SECURED_RE_NET_CHARGE_OFFS_FDIC" vbProcedure="false">"c6626"</definedName>
    <definedName function="false" hidden="true" name="IQ_LOANS_SEC_RE_FOREIGN_CHARGE_OFFS_FFIEC" vbProcedure="false">"c13174"</definedName>
    <definedName function="false" hidden="true" name="IQ_LOANS_SEC_RE_FOREIGN_RECOV_FFIEC" vbProcedure="false">"c13196"</definedName>
    <definedName function="false" hidden="true" name="IQ_LOANS_TO_DEPOSITORY_INSTITUTIONS_FOREIGN_FDIC" vbProcedure="false">"c6453"</definedName>
    <definedName function="false" hidden="true" name="IQ_LOANS_TO_FOREIGN_GOVERNMENTS_FDIC" vbProcedure="false">"c6448"</definedName>
    <definedName function="false" hidden="true" name="IQ_LOANS_TO_INDIVIDUALS_FOREIGN_FDIC" vbProcedure="false">"c6452"</definedName>
    <definedName function="false" hidden="true" name="IQ_LOANS_US_INST_CHARGE_OFFS_FFIEC" vbProcedure="false">"c13175"</definedName>
    <definedName function="false" hidden="true" name="IQ_LOANS_US_INST_RECOV_FFIEC" vbProcedure="false">"c13197"</definedName>
    <definedName function="false" hidden="true" name="IQ_LOAN_ALLOWANCE_GROSS_LOSSES_FFIEC" vbProcedure="false">"c13352"</definedName>
    <definedName function="false" hidden="true" name="IQ_LOAN_ALLOWANCE_NET_LOANS_FFIEC" vbProcedure="false">"c13472"</definedName>
    <definedName function="false" hidden="true" name="IQ_LOAN_ALLOWANCE_NONACCRUAL_ASSETS_FFIEC" vbProcedure="false">"c13473"</definedName>
    <definedName function="false" hidden="true" name="IQ_LOAN_ALLOWANCE_PAST_DUE_NONACCRUAL_FFIEC" vbProcedure="false">"c13474"</definedName>
    <definedName function="false" hidden="true" name="IQ_LOAN_ALLOW_GROSS_LOANS_FFIEC" vbProcedure="false">"c13415"</definedName>
    <definedName function="false" hidden="true" name="IQ_LOAN_COMMITMENTS_FAIR_VALUE_TOT_FFIEC" vbProcedure="false">"c13216"</definedName>
    <definedName function="false" hidden="true" name="IQ_LOAN_COMMITMENTS_LEVEL_1_FFIEC" vbProcedure="false">"c13224"</definedName>
    <definedName function="false" hidden="true" name="IQ_LOAN_COMMITMENTS_LEVEL_2_FFIEC" vbProcedure="false">"c13232"</definedName>
    <definedName function="false" hidden="true" name="IQ_LOAN_COMMITMENTS_LEVEL_3_FFIEC" vbProcedure="false">"c13240"</definedName>
    <definedName function="false" hidden="true" name="IQ_LOAN_COMMITMENTS_REVOLVING_FDIC" vbProcedure="false">"c6524"</definedName>
    <definedName function="false" hidden="true" name="IQ_LOAN_LEASE_RECEIV" vbProcedure="false">"c657"</definedName>
    <definedName function="false" hidden="true" name="IQ_LOAN_LOSS" vbProcedure="false">"c1386"</definedName>
    <definedName function="false" hidden="true" name="IQ_LOAN_LOSSES_AVERAGE_LOANS_FFIEC" vbProcedure="false">"c13350"</definedName>
    <definedName function="false" hidden="true" name="IQ_LOAN_LOSSES_FDIC" vbProcedure="false">"c6580"</definedName>
    <definedName function="false" hidden="true" name="IQ_LOAN_LOSS_ALLOWANCE_NONCURRENT_LOANS_FDIC" vbProcedure="false">"c6740"</definedName>
    <definedName function="false" hidden="true" name="IQ_LOAN_LOSS_ALLOWANCE_NON_PERF_ASSETS_FFIEC" vbProcedure="false">"c13912"</definedName>
    <definedName function="false" hidden="true" name="IQ_LOAN_LOSS_ALLOW_FDIC" vbProcedure="false">"c6326"</definedName>
    <definedName function="false" hidden="true" name="IQ_LOAN_LOSS_PROVISION_FOREIGN_FFIEC" vbProcedure="false">"c15382"</definedName>
    <definedName function="false" hidden="true" name="IQ_LOAN_SERVICE_REV" vbProcedure="false">"c658"</definedName>
    <definedName function="false" hidden="true" name="IQ_LONG_TERM_ASSETS_FDIC" vbProcedure="false">"c6361"</definedName>
    <definedName function="false" hidden="true" name="IQ_LONG_TERM_DEBT" vbProcedure="false">"c1387"</definedName>
    <definedName function="false" hidden="true" name="IQ_LONG_TERM_DEBT_OVER_TOTAL_CAP" vbProcedure="false">"c1388"</definedName>
    <definedName function="false" hidden="true" name="IQ_LONG_TERM_GROWTH" vbProcedure="false">"c671"</definedName>
    <definedName function="false" hidden="true" name="IQ_LONG_TERM_INV" vbProcedure="false">"c1389"</definedName>
    <definedName function="false" hidden="true" name="IQ_LOSS_ALLOWANCE_LOANS_FDIC" vbProcedure="false">"c6739"</definedName>
    <definedName function="false" hidden="true" name="IQ_LOSS_AVAIL_SALE_EQUITY_SEC_T1_FFIEC" vbProcedure="false">"c13132"</definedName>
    <definedName function="false" hidden="true" name="IQ_LOSS_LOSS_EXP" vbProcedure="false">"c672"</definedName>
    <definedName function="false" hidden="true" name="IQ_LOSS_TO_NET_EARNED" vbProcedure="false">"c2751"</definedName>
    <definedName function="false" hidden="true" name="IQ_LOWPRICE" vbProcedure="false">"c673"</definedName>
    <definedName function="false" hidden="true" name="IQ_LOW_SULFURE_RESERVES_TO_TOTAL_RESERVES_COAL" vbProcedure="false">"c15961"</definedName>
    <definedName function="false" hidden="true" name="IQ_LOW_SULFUR_CONTENT_RESERVES_COAL" vbProcedure="false">"c15924"</definedName>
    <definedName function="false" hidden="true" name="IQ_LOW_TARGET_PRICE" vbProcedure="false">"c1652"</definedName>
    <definedName function="false" hidden="true" name="IQ_LOW_TARGET_PRICE_CIQ" vbProcedure="false">"c4660"</definedName>
    <definedName function="false" hidden="true" name="IQ_LOW_TARGET_PRICE_REUT" vbProcedure="false">"c5318"</definedName>
    <definedName function="false" hidden="true" name="IQ_LOW_TARGET_PRICE_THOM" vbProcedure="false">"c5097"</definedName>
    <definedName function="false" hidden="true" name="IQ_LTD_DUE_AFTER_FIVE" vbProcedure="false">"c704"</definedName>
    <definedName function="false" hidden="true" name="IQ_LTD_DUE_CY" vbProcedure="false">"c705"</definedName>
    <definedName function="false" hidden="true" name="IQ_LTD_DUE_CY1" vbProcedure="false">"c706"</definedName>
    <definedName function="false" hidden="true" name="IQ_LTD_DUE_CY2" vbProcedure="false">"c707"</definedName>
    <definedName function="false" hidden="true" name="IQ_LTD_DUE_CY3" vbProcedure="false">"c708"</definedName>
    <definedName function="false" hidden="true" name="IQ_LTD_DUE_CY4" vbProcedure="false">"c709"</definedName>
    <definedName function="false" hidden="true" name="IQ_LTD_DUE_NEXT_FIVE" vbProcedure="false">"c710"</definedName>
    <definedName function="false" hidden="true" name="IQ_LTM" vbProcedure="false">2000</definedName>
    <definedName function="false" hidden="true" name="IQ_LTMMONTH" vbProcedure="false">120000</definedName>
    <definedName function="false" hidden="true" name="IQ_LTM_DATE" vbProcedure="false">"IQ_LTM_DATE"</definedName>
    <definedName function="false" hidden="true" name="IQ_LTM_REVENUE_OVER_EMPLOYEES" vbProcedure="false">"c1437"</definedName>
    <definedName function="false" hidden="true" name="IQ_LT_ASSETS_AP" vbProcedure="false">"c8882"</definedName>
    <definedName function="false" hidden="true" name="IQ_LT_ASSETS_AP_ABS" vbProcedure="false">"c8901"</definedName>
    <definedName function="false" hidden="true" name="IQ_LT_ASSETS_NAME_AP" vbProcedure="false">"c8920"</definedName>
    <definedName function="false" hidden="true" name="IQ_LT_ASSETS_NAME_AP_ABS" vbProcedure="false">"c8939"</definedName>
    <definedName function="false" hidden="true" name="IQ_LT_DEBT" vbProcedure="false">"c674"</definedName>
    <definedName function="false" hidden="true" name="IQ_LT_DEBT_BNK" vbProcedure="false">"c675"</definedName>
    <definedName function="false" hidden="true" name="IQ_LT_DEBT_BR" vbProcedure="false">"c676"</definedName>
    <definedName function="false" hidden="true" name="IQ_LT_DEBT_CAPITAL" vbProcedure="false">"c677"</definedName>
    <definedName function="false" hidden="true" name="IQ_LT_DEBT_CAPITAL_LEASES" vbProcedure="false">"c2542"</definedName>
    <definedName function="false" hidden="true" name="IQ_LT_DEBT_CAPITAL_LEASES_PCT" vbProcedure="false">"c2543"</definedName>
    <definedName function="false" hidden="true" name="IQ_LT_DEBT_EQUITY" vbProcedure="false">"c678"</definedName>
    <definedName function="false" hidden="true" name="IQ_LT_DEBT_FIN" vbProcedure="false">"c679"</definedName>
    <definedName function="false" hidden="true" name="IQ_LT_DEBT_INS" vbProcedure="false">"c680"</definedName>
    <definedName function="false" hidden="true" name="IQ_LT_DEBT_ISSUED" vbProcedure="false">"c681"</definedName>
    <definedName function="false" hidden="true" name="IQ_LT_DEBT_ISSUED_BNK" vbProcedure="false">"c682"</definedName>
    <definedName function="false" hidden="true" name="IQ_LT_DEBT_ISSUED_BR" vbProcedure="false">"c683"</definedName>
    <definedName function="false" hidden="true" name="IQ_LT_DEBT_ISSUED_FIN" vbProcedure="false">"c684"</definedName>
    <definedName function="false" hidden="true" name="IQ_LT_DEBT_ISSUED_INS" vbProcedure="false">"c685"</definedName>
    <definedName function="false" hidden="true" name="IQ_LT_DEBT_ISSUED_RE" vbProcedure="false">"c6231"</definedName>
    <definedName function="false" hidden="true" name="IQ_LT_DEBT_ISSUED_REIT" vbProcedure="false">"c686"</definedName>
    <definedName function="false" hidden="true" name="IQ_LT_DEBT_ISSUED_UTI" vbProcedure="false">"c687"</definedName>
    <definedName function="false" hidden="true" name="IQ_LT_DEBT_MATURING_1YR_INT_SENSITIVITY_FFIEC" vbProcedure="false">"c13097"</definedName>
    <definedName function="false" hidden="true" name="IQ_LT_DEBT_RE" vbProcedure="false">"c6232"</definedName>
    <definedName function="false" hidden="true" name="IQ_LT_DEBT_REIT" vbProcedure="false">"c688"</definedName>
    <definedName function="false" hidden="true" name="IQ_LT_DEBT_REPAID" vbProcedure="false">"c689"</definedName>
    <definedName function="false" hidden="true" name="IQ_LT_DEBT_REPAID_BNK" vbProcedure="false">"c690"</definedName>
    <definedName function="false" hidden="true" name="IQ_LT_DEBT_REPAID_BR" vbProcedure="false">"c691"</definedName>
    <definedName function="false" hidden="true" name="IQ_LT_DEBT_REPAID_FIN" vbProcedure="false">"c692"</definedName>
    <definedName function="false" hidden="true" name="IQ_LT_DEBT_REPAID_INS" vbProcedure="false">"c693"</definedName>
    <definedName function="false" hidden="true" name="IQ_LT_DEBT_REPAID_RE" vbProcedure="false">"c6233"</definedName>
    <definedName function="false" hidden="true" name="IQ_LT_DEBT_REPAID_REIT" vbProcedure="false">"c694"</definedName>
    <definedName function="false" hidden="true" name="IQ_LT_DEBT_REPAID_UTI" vbProcedure="false">"c695"</definedName>
    <definedName function="false" hidden="true" name="IQ_LT_DEBT_REPRICE_ASSETS_TOT_FFIEC" vbProcedure="false">"c13453"</definedName>
    <definedName function="false" hidden="true" name="IQ_LT_DEBT_REPRICING_WITHIN_1_YR_INT_SENSITIVITY_FFIEC" vbProcedure="false">"c13095"</definedName>
    <definedName function="false" hidden="true" name="IQ_LT_DEBT_UTI" vbProcedure="false">"c696"</definedName>
    <definedName function="false" hidden="true" name="IQ_LT_GROWTH_DET_EST" vbProcedure="false">"c12060"</definedName>
    <definedName function="false" hidden="true" name="IQ_LT_GROWTH_DET_EST_CIQ" vbProcedure="false">"c12122"</definedName>
    <definedName function="false" hidden="true" name="IQ_LT_GROWTH_DET_EST_DATE" vbProcedure="false">"c12213"</definedName>
    <definedName function="false" hidden="true" name="IQ_LT_GROWTH_DET_EST_DATE_CIQ" vbProcedure="false">"c12268"</definedName>
    <definedName function="false" hidden="true" name="IQ_LT_GROWTH_DET_EST_DATE_THOM" vbProcedure="false">"c12240"</definedName>
    <definedName function="false" hidden="true" name="IQ_LT_GROWTH_DET_EST_INCL" vbProcedure="false">"c12350"</definedName>
    <definedName function="false" hidden="true" name="IQ_LT_GROWTH_DET_EST_INCL_CIQ" vbProcedure="false">"c12396"</definedName>
    <definedName function="false" hidden="true" name="IQ_LT_GROWTH_DET_EST_INCL_THOM" vbProcedure="false">"c12372"</definedName>
    <definedName function="false" hidden="true" name="IQ_LT_GROWTH_DET_EST_ORIGIN" vbProcedure="false">"c12725"</definedName>
    <definedName function="false" hidden="true" name="IQ_LT_GROWTH_DET_EST_ORIGIN_CIQ" vbProcedure="false">"c12721"</definedName>
    <definedName function="false" hidden="true" name="IQ_LT_GROWTH_DET_EST_ORIGIN_THOM" vbProcedure="false">"c12610"</definedName>
    <definedName function="false" hidden="true" name="IQ_LT_GROWTH_DET_EST_THOM" vbProcedure="false">"c12090"</definedName>
    <definedName function="false" hidden="true" name="IQ_LT_INVEST" vbProcedure="false">"c697"</definedName>
    <definedName function="false" hidden="true" name="IQ_LT_INVEST_BR" vbProcedure="false">"c698"</definedName>
    <definedName function="false" hidden="true" name="IQ_LT_INVEST_FIN" vbProcedure="false">"c699"</definedName>
    <definedName function="false" hidden="true" name="IQ_LT_INVEST_RE" vbProcedure="false">"c6234"</definedName>
    <definedName function="false" hidden="true" name="IQ_LT_INVEST_REIT" vbProcedure="false">"c700"</definedName>
    <definedName function="false" hidden="true" name="IQ_LT_INVEST_UTI" vbProcedure="false">"c701"</definedName>
    <definedName function="false" hidden="true" name="IQ_LT_LIAB_AP" vbProcedure="false">"c8885"</definedName>
    <definedName function="false" hidden="true" name="IQ_LT_LIAB_AP_ABS" vbProcedure="false">"c8904"</definedName>
    <definedName function="false" hidden="true" name="IQ_LT_LIAB_NAME_AP" vbProcedure="false">"c8923"</definedName>
    <definedName function="false" hidden="true" name="IQ_LT_LIAB_NAME_AP_ABS" vbProcedure="false">"c8942"</definedName>
    <definedName function="false" hidden="true" name="IQ_LT_NOTE_RECEIV" vbProcedure="false">"c1602"</definedName>
    <definedName function="false" hidden="true" name="IQ_M1" vbProcedure="false">"c6906"</definedName>
    <definedName function="false" hidden="true" name="IQ_M1_APR" vbProcedure="false">"c7566"</definedName>
    <definedName function="false" hidden="true" name="IQ_M1_APR_FC" vbProcedure="false">"c8446"</definedName>
    <definedName function="false" hidden="true" name="IQ_M1_FC" vbProcedure="false">"c7786"</definedName>
    <definedName function="false" hidden="true" name="IQ_M1_POP" vbProcedure="false">"c7126"</definedName>
    <definedName function="false" hidden="true" name="IQ_M1_POP_FC" vbProcedure="false">"c8006"</definedName>
    <definedName function="false" hidden="true" name="IQ_M1_YOY" vbProcedure="false">"c7346"</definedName>
    <definedName function="false" hidden="true" name="IQ_M1_YOY_FC" vbProcedure="false">"c8226"</definedName>
    <definedName function="false" hidden="true" name="IQ_M2" vbProcedure="false">"c6907"</definedName>
    <definedName function="false" hidden="true" name="IQ_M2_APR" vbProcedure="false">"c7567"</definedName>
    <definedName function="false" hidden="true" name="IQ_M2_APR_FC" vbProcedure="false">"c8447"</definedName>
    <definedName function="false" hidden="true" name="IQ_M2_FC" vbProcedure="false">"c7787"</definedName>
    <definedName function="false" hidden="true" name="IQ_M2_POP" vbProcedure="false">"c7127"</definedName>
    <definedName function="false" hidden="true" name="IQ_M2_POP_FC" vbProcedure="false">"c8007"</definedName>
    <definedName function="false" hidden="true" name="IQ_M2_YOY" vbProcedure="false">"c7347"</definedName>
    <definedName function="false" hidden="true" name="IQ_M2_YOY_FC" vbProcedure="false">"c8227"</definedName>
    <definedName function="false" hidden="true" name="IQ_M3" vbProcedure="false">"c6908"</definedName>
    <definedName function="false" hidden="true" name="IQ_M3_APR" vbProcedure="false">"c7568"</definedName>
    <definedName function="false" hidden="true" name="IQ_M3_APR_FC" vbProcedure="false">"c8448"</definedName>
    <definedName function="false" hidden="true" name="IQ_M3_FC" vbProcedure="false">"c7788"</definedName>
    <definedName function="false" hidden="true" name="IQ_M3_POP" vbProcedure="false">"c7128"</definedName>
    <definedName function="false" hidden="true" name="IQ_M3_POP_FC" vbProcedure="false">"c8008"</definedName>
    <definedName function="false" hidden="true" name="IQ_M3_YOY" vbProcedure="false">"c7348"</definedName>
    <definedName function="false" hidden="true" name="IQ_M3_YOY_FC" vbProcedure="false">"c8228"</definedName>
    <definedName function="false" hidden="true" name="IQ_MACHINERY" vbProcedure="false">"c711"</definedName>
    <definedName function="false" hidden="true" name="IQ_MACRO_SURVEY_CONSUMER_SENTIMENT" vbProcedure="false">"c20808"</definedName>
    <definedName function="false" hidden="true" name="IQ_MAINT_CAPEX" vbProcedure="false">"c2947"</definedName>
    <definedName function="false" hidden="true" name="IQ_MAINT_CAPEX_ACT_OR_EST" vbProcedure="false">"c4458"</definedName>
    <definedName function="false" hidden="true" name="IQ_MAINT_CAPEX_ACT_OR_EST_CIQ" vbProcedure="false">"c4987"</definedName>
    <definedName function="false" hidden="true" name="IQ_MAINT_CAPEX_ACT_OR_EST_CIQ_COL" vbProcedure="false">"c11634"</definedName>
    <definedName function="false" hidden="true" name="IQ_MAINT_CAPEX_EST" vbProcedure="false">"c4457"</definedName>
    <definedName function="false" hidden="true" name="IQ_MAINT_CAPEX_EST_CIQ" vbProcedure="false">"c4986"</definedName>
    <definedName function="false" hidden="true" name="IQ_MAINT_CAPEX_GUIDANCE" vbProcedure="false">"c4459"</definedName>
    <definedName function="false" hidden="true" name="IQ_MAINT_CAPEX_GUIDANCE_CIQ" vbProcedure="false">"c4988"</definedName>
    <definedName function="false" hidden="true" name="IQ_MAINT_CAPEX_GUIDANCE_CIQ_COL" vbProcedure="false">"c11635"</definedName>
    <definedName function="false" hidden="true" name="IQ_MAINT_CAPEX_HIGH_EST" vbProcedure="false">"c4460"</definedName>
    <definedName function="false" hidden="true" name="IQ_MAINT_CAPEX_HIGH_EST_CIQ" vbProcedure="false">"c4989"</definedName>
    <definedName function="false" hidden="true" name="IQ_MAINT_CAPEX_HIGH_GUIDANCE" vbProcedure="false">"c4197"</definedName>
    <definedName function="false" hidden="true" name="IQ_MAINT_CAPEX_HIGH_GUIDANCE_CIQ" vbProcedure="false">"c4609"</definedName>
    <definedName function="false" hidden="true" name="IQ_MAINT_CAPEX_HIGH_GUIDANCE_CIQ_COL" vbProcedure="false">"c11258"</definedName>
    <definedName function="false" hidden="true" name="IQ_MAINT_CAPEX_LOW_EST" vbProcedure="false">"c4461"</definedName>
    <definedName function="false" hidden="true" name="IQ_MAINT_CAPEX_LOW_EST_CIQ" vbProcedure="false">"c4990"</definedName>
    <definedName function="false" hidden="true" name="IQ_MAINT_CAPEX_LOW_GUIDANCE" vbProcedure="false">"c4237"</definedName>
    <definedName function="false" hidden="true" name="IQ_MAINT_CAPEX_LOW_GUIDANCE_CIQ" vbProcedure="false">"c4649"</definedName>
    <definedName function="false" hidden="true" name="IQ_MAINT_CAPEX_LOW_GUIDANCE_CIQ_COL" vbProcedure="false">"c11298"</definedName>
    <definedName function="false" hidden="true" name="IQ_MAINT_CAPEX_MEDIAN_EST" vbProcedure="false">"c4462"</definedName>
    <definedName function="false" hidden="true" name="IQ_MAINT_CAPEX_MEDIAN_EST_CIQ" vbProcedure="false">"c4991"</definedName>
    <definedName function="false" hidden="true" name="IQ_MAINT_CAPEX_NUM_EST" vbProcedure="false">"c4463"</definedName>
    <definedName function="false" hidden="true" name="IQ_MAINT_CAPEX_NUM_EST_CIQ" vbProcedure="false">"c5001"</definedName>
    <definedName function="false" hidden="true" name="IQ_MAINT_CAPEX_STDDEV_EST" vbProcedure="false">"c4464"</definedName>
    <definedName function="false" hidden="true" name="IQ_MAINT_CAPEX_STDDEV_EST_CIQ" vbProcedure="false">"c5002"</definedName>
    <definedName function="false" hidden="true" name="IQ_MAINT_REPAIR" vbProcedure="false">"c2087"</definedName>
    <definedName function="false" hidden="true" name="IQ_MAKE_WHOLE_END_DATE" vbProcedure="false">"c2493"</definedName>
    <definedName function="false" hidden="true" name="IQ_MAKE_WHOLE_SPREAD" vbProcedure="false">"c2494"</definedName>
    <definedName function="false" hidden="true" name="IQ_MAKE_WHOLE_START_DATE" vbProcedure="false">"c2492"</definedName>
    <definedName function="false" hidden="true" name="IQ_MANAGED_PROP" vbProcedure="false">"c8763"</definedName>
    <definedName function="false" hidden="true" name="IQ_MANAGED_SQ_FT" vbProcedure="false">"c8779"</definedName>
    <definedName function="false" hidden="true" name="IQ_MANAGED_UNITS" vbProcedure="false">"c8771"</definedName>
    <definedName function="false" hidden="true" name="IQ_MAN_INVENTORIES" vbProcedure="false">"c6913"</definedName>
    <definedName function="false" hidden="true" name="IQ_MAN_INVENTORIES_APR" vbProcedure="false">"c7573"</definedName>
    <definedName function="false" hidden="true" name="IQ_MAN_INVENTORIES_APR_FC" vbProcedure="false">"c8453"</definedName>
    <definedName function="false" hidden="true" name="IQ_MAN_INVENTORIES_FC" vbProcedure="false">"c7793"</definedName>
    <definedName function="false" hidden="true" name="IQ_MAN_INVENTORIES_POP" vbProcedure="false">"c7133"</definedName>
    <definedName function="false" hidden="true" name="IQ_MAN_INVENTORIES_POP_FC" vbProcedure="false">"c8013"</definedName>
    <definedName function="false" hidden="true" name="IQ_MAN_INVENTORIES_YOY" vbProcedure="false">"c7353"</definedName>
    <definedName function="false" hidden="true" name="IQ_MAN_INVENTORIES_YOY_FC" vbProcedure="false">"c8233"</definedName>
    <definedName function="false" hidden="true" name="IQ_MAN_IS_RATIO" vbProcedure="false">"c6912"</definedName>
    <definedName function="false" hidden="true" name="IQ_MAN_IS_RATIO_APR" vbProcedure="false">"c7572"</definedName>
    <definedName function="false" hidden="true" name="IQ_MAN_IS_RATIO_APR_FC" vbProcedure="false">"c8452"</definedName>
    <definedName function="false" hidden="true" name="IQ_MAN_IS_RATIO_FC" vbProcedure="false">"c7792"</definedName>
    <definedName function="false" hidden="true" name="IQ_MAN_IS_RATIO_POP" vbProcedure="false">"c7132"</definedName>
    <definedName function="false" hidden="true" name="IQ_MAN_IS_RATIO_POP_FC" vbProcedure="false">"c8012"</definedName>
    <definedName function="false" hidden="true" name="IQ_MAN_IS_RATIO_YOY" vbProcedure="false">"c7352"</definedName>
    <definedName function="false" hidden="true" name="IQ_MAN_IS_RATIO_YOY_FC" vbProcedure="false">"c8232"</definedName>
    <definedName function="false" hidden="true" name="IQ_MAN_ORDERS" vbProcedure="false">"c6914"</definedName>
    <definedName function="false" hidden="true" name="IQ_MAN_ORDERS_APR" vbProcedure="false">"c7574"</definedName>
    <definedName function="false" hidden="true" name="IQ_MAN_ORDERS_APR_FC" vbProcedure="false">"c8454"</definedName>
    <definedName function="false" hidden="true" name="IQ_MAN_ORDERS_FC" vbProcedure="false">"c7794"</definedName>
    <definedName function="false" hidden="true" name="IQ_MAN_ORDERS_POP" vbProcedure="false">"c7134"</definedName>
    <definedName function="false" hidden="true" name="IQ_MAN_ORDERS_POP_FC" vbProcedure="false">"c8014"</definedName>
    <definedName function="false" hidden="true" name="IQ_MAN_ORDERS_YOY" vbProcedure="false">"c7354"</definedName>
    <definedName function="false" hidden="true" name="IQ_MAN_ORDERS_YOY_FC" vbProcedure="false">"c8234"</definedName>
    <definedName function="false" hidden="true" name="IQ_MAN_OUTPUT_HR" vbProcedure="false">"c6915"</definedName>
    <definedName function="false" hidden="true" name="IQ_MAN_OUTPUT_HR_APR" vbProcedure="false">"c7575"</definedName>
    <definedName function="false" hidden="true" name="IQ_MAN_OUTPUT_HR_APR_FC" vbProcedure="false">"c8455"</definedName>
    <definedName function="false" hidden="true" name="IQ_MAN_OUTPUT_HR_FC" vbProcedure="false">"c7795"</definedName>
    <definedName function="false" hidden="true" name="IQ_MAN_OUTPUT_HR_POP" vbProcedure="false">"c7135"</definedName>
    <definedName function="false" hidden="true" name="IQ_MAN_OUTPUT_HR_POP_FC" vbProcedure="false">"c8015"</definedName>
    <definedName function="false" hidden="true" name="IQ_MAN_OUTPUT_HR_YOY" vbProcedure="false">"c7355"</definedName>
    <definedName function="false" hidden="true" name="IQ_MAN_OUTPUT_HR_YOY_FC" vbProcedure="false">"c8235"</definedName>
    <definedName function="false" hidden="true" name="IQ_MAN_PAYROLLS" vbProcedure="false">"c6916"</definedName>
    <definedName function="false" hidden="true" name="IQ_MAN_PAYROLLS_APR" vbProcedure="false">"c7576"</definedName>
    <definedName function="false" hidden="true" name="IQ_MAN_PAYROLLS_APR_FC" vbProcedure="false">"c8456"</definedName>
    <definedName function="false" hidden="true" name="IQ_MAN_PAYROLLS_FC" vbProcedure="false">"c7796"</definedName>
    <definedName function="false" hidden="true" name="IQ_MAN_PAYROLLS_POP" vbProcedure="false">"c7136"</definedName>
    <definedName function="false" hidden="true" name="IQ_MAN_PAYROLLS_POP_FC" vbProcedure="false">"c8016"</definedName>
    <definedName function="false" hidden="true" name="IQ_MAN_PAYROLLS_YOY" vbProcedure="false">"c7356"</definedName>
    <definedName function="false" hidden="true" name="IQ_MAN_PAYROLLS_YOY_FC" vbProcedure="false">"c8236"</definedName>
    <definedName function="false" hidden="true" name="IQ_MAN_SHIPMENTS" vbProcedure="false">"c6917"</definedName>
    <definedName function="false" hidden="true" name="IQ_MAN_SHIPMENTS_APR" vbProcedure="false">"c7577"</definedName>
    <definedName function="false" hidden="true" name="IQ_MAN_SHIPMENTS_APR_FC" vbProcedure="false">"c8457"</definedName>
    <definedName function="false" hidden="true" name="IQ_MAN_SHIPMENTS_FC" vbProcedure="false">"c7797"</definedName>
    <definedName function="false" hidden="true" name="IQ_MAN_SHIPMENTS_POP" vbProcedure="false">"c7137"</definedName>
    <definedName function="false" hidden="true" name="IQ_MAN_SHIPMENTS_POP_FC" vbProcedure="false">"c8017"</definedName>
    <definedName function="false" hidden="true" name="IQ_MAN_SHIPMENTS_YOY" vbProcedure="false">"c7357"</definedName>
    <definedName function="false" hidden="true" name="IQ_MAN_SHIPMENTS_YOY_FC" vbProcedure="false">"c8237"</definedName>
    <definedName function="false" hidden="true" name="IQ_MAN_TOTAL_HR" vbProcedure="false">"c6918"</definedName>
    <definedName function="false" hidden="true" name="IQ_MAN_TOTAL_HR_APR" vbProcedure="false">"c7578"</definedName>
    <definedName function="false" hidden="true" name="IQ_MAN_TOTAL_HR_APR_FC" vbProcedure="false">"c8458"</definedName>
    <definedName function="false" hidden="true" name="IQ_MAN_TOTAL_HR_FC" vbProcedure="false">"c7798"</definedName>
    <definedName function="false" hidden="true" name="IQ_MAN_TOTAL_HR_POP" vbProcedure="false">"c7138"</definedName>
    <definedName function="false" hidden="true" name="IQ_MAN_TOTAL_HR_POP_FC" vbProcedure="false">"c8018"</definedName>
    <definedName function="false" hidden="true" name="IQ_MAN_TOTAL_HR_YOY" vbProcedure="false">"c7358"</definedName>
    <definedName function="false" hidden="true" name="IQ_MAN_TOTAL_HR_YOY_FC" vbProcedure="false">"c8238"</definedName>
    <definedName function="false" hidden="true" name="IQ_MAN_TRADE_INVENTORIES" vbProcedure="false">"c6910"</definedName>
    <definedName function="false" hidden="true" name="IQ_MAN_TRADE_INVENTORIES_APR" vbProcedure="false">"c7570"</definedName>
    <definedName function="false" hidden="true" name="IQ_MAN_TRADE_INVENTORIES_APR_FC" vbProcedure="false">"c8450"</definedName>
    <definedName function="false" hidden="true" name="IQ_MAN_TRADE_INVENTORIES_FC" vbProcedure="false">"c7790"</definedName>
    <definedName function="false" hidden="true" name="IQ_MAN_TRADE_INVENTORIES_POP" vbProcedure="false">"c7130"</definedName>
    <definedName function="false" hidden="true" name="IQ_MAN_TRADE_INVENTORIES_POP_FC" vbProcedure="false">"c8010"</definedName>
    <definedName function="false" hidden="true" name="IQ_MAN_TRADE_INVENTORIES_YOY" vbProcedure="false">"c7350"</definedName>
    <definedName function="false" hidden="true" name="IQ_MAN_TRADE_INVENTORIES_YOY_FC" vbProcedure="false">"c8230"</definedName>
    <definedName function="false" hidden="true" name="IQ_MAN_TRADE_IS_RATIO" vbProcedure="false">"c6909"</definedName>
    <definedName function="false" hidden="true" name="IQ_MAN_TRADE_IS_RATIO_FC" vbProcedure="false">"c7789"</definedName>
    <definedName function="false" hidden="true" name="IQ_MAN_TRADE_IS_RATIO_POP" vbProcedure="false">"c7129"</definedName>
    <definedName function="false" hidden="true" name="IQ_MAN_TRADE_IS_RATIO_POP_FC" vbProcedure="false">"c8009"</definedName>
    <definedName function="false" hidden="true" name="IQ_MAN_TRADE_IS_RATIO_YOY" vbProcedure="false">"c7349"</definedName>
    <definedName function="false" hidden="true" name="IQ_MAN_TRADE_IS_RATIO_YOY_FC" vbProcedure="false">"c8229"</definedName>
    <definedName function="false" hidden="true" name="IQ_MAN_TRADE_SALES" vbProcedure="false">"c6911"</definedName>
    <definedName function="false" hidden="true" name="IQ_MAN_TRADE_SALES_APR" vbProcedure="false">"c7571"</definedName>
    <definedName function="false" hidden="true" name="IQ_MAN_TRADE_SALES_APR_FC" vbProcedure="false">"c8451"</definedName>
    <definedName function="false" hidden="true" name="IQ_MAN_TRADE_SALES_FC" vbProcedure="false">"c7791"</definedName>
    <definedName function="false" hidden="true" name="IQ_MAN_TRADE_SALES_POP" vbProcedure="false">"c7131"</definedName>
    <definedName function="false" hidden="true" name="IQ_MAN_TRADE_SALES_POP_FC" vbProcedure="false">"c8011"</definedName>
    <definedName function="false" hidden="true" name="IQ_MAN_TRADE_SALES_YOY" vbProcedure="false">"c7351"</definedName>
    <definedName function="false" hidden="true" name="IQ_MAN_TRADE_SALES_YOY_FC" vbProcedure="false">"c8231"</definedName>
    <definedName function="false" hidden="true" name="IQ_MAN_WAGES" vbProcedure="false">"c6919"</definedName>
    <definedName function="false" hidden="true" name="IQ_MAN_WAGES_APR" vbProcedure="false">"c7579"</definedName>
    <definedName function="false" hidden="true" name="IQ_MAN_WAGES_APR_FC" vbProcedure="false">"c8459"</definedName>
    <definedName function="false" hidden="true" name="IQ_MAN_WAGES_FC" vbProcedure="false">"c7799"</definedName>
    <definedName function="false" hidden="true" name="IQ_MAN_WAGES_POP" vbProcedure="false">"c7139"</definedName>
    <definedName function="false" hidden="true" name="IQ_MAN_WAGES_POP_FC" vbProcedure="false">"c8019"</definedName>
    <definedName function="false" hidden="true" name="IQ_MAN_WAGES_YOY" vbProcedure="false">"c7359"</definedName>
    <definedName function="false" hidden="true" name="IQ_MAN_WAGES_YOY_FC" vbProcedure="false">"c8239"</definedName>
    <definedName function="false" hidden="true" name="IQ_MARGIN_ANNUAL_PREMIUM_EQUIVALENT_NEW_BUSINESS" vbProcedure="false">"c9970"</definedName>
    <definedName function="false" hidden="true" name="IQ_MARGIN_PV_PREMIUMS_NEW_BUSINESS" vbProcedure="false">"c9971"</definedName>
    <definedName function="false" hidden="true" name="IQ_MARKETCAP" vbProcedure="false">"c712"</definedName>
    <definedName function="false" hidden="true" name="IQ_MARKETING" vbProcedure="false">"c2239"</definedName>
    <definedName function="false" hidden="true" name="IQ_MARKETING_PROMOTION_EXPENSE" vbProcedure="false">"c16035"</definedName>
    <definedName function="false" hidden="true" name="IQ_MARKET_CAP_LFCF" vbProcedure="false">"c2209"</definedName>
    <definedName function="false" hidden="true" name="IQ_MATERIALS_SUPPLES_INVENTORY_COAL" vbProcedure="false">"c15942"</definedName>
    <definedName function="false" hidden="true" name="IQ_MATURITY_DATE" vbProcedure="false">"c2146"</definedName>
    <definedName function="false" hidden="true" name="IQ_MATURITY_ONE_YEAR_LESS_FDIC" vbProcedure="false">"c6425"</definedName>
    <definedName function="false" hidden="true" name="IQ_MBS_INVEST_SECURITIES_FFIEC" vbProcedure="false">"c13460"</definedName>
    <definedName function="false" hidden="true" name="IQ_MBS_OTHER_ISSUED_FNMA_HTM_AMORT_COST_FFIEC" vbProcedure="false">"c20444"</definedName>
    <definedName function="false" hidden="true" name="IQ_MBS_OTHER_ISSUED_FNMA_HTM_FAIR_VAL_FFIEC" vbProcedure="false">"c20479"</definedName>
    <definedName function="false" hidden="true" name="IQ_MBS_OTHER_ISSUED_FNMA_OTHERS_AFS_AMORT_COST_FFIEC" vbProcedure="false">"c20496"</definedName>
    <definedName function="false" hidden="true" name="IQ_MBS_OTHER_ISSUED_FNMA_OTHERS_AFS_FAIR_VAL_FFIEC" vbProcedure="false">"c20461"</definedName>
    <definedName function="false" hidden="true" name="IQ_MBS_OTHER_ISSUED_FNMA_OTHERS_AVAIL_SALE_FFIEC" vbProcedure="false">"c12799"</definedName>
    <definedName function="false" hidden="true" name="IQ_MBS_OTHER_ISSUED_FNMA_OTHERS_FFIEC" vbProcedure="false">"c12785"</definedName>
    <definedName function="false" hidden="true" name="IQ_MBS_PASS_THROUGH_FNMA_AFS_AMORT_COST_FFIEC" vbProcedure="false">"c20494"</definedName>
    <definedName function="false" hidden="true" name="IQ_MBS_PASS_THROUGH_FNMA_AFS_FAIR_VAL_FFIEC" vbProcedure="false">"c20459"</definedName>
    <definedName function="false" hidden="true" name="IQ_MBS_PASS_THROUGH_FNMA_AVAIL_SALE_FFIEC" vbProcedure="false">"c12797"</definedName>
    <definedName function="false" hidden="true" name="IQ_MBS_PASS_THROUGH_FNMA_FFIEC" vbProcedure="false">"c12783"</definedName>
    <definedName function="false" hidden="true" name="IQ_MBS_PASS_THROUGH_FNMA_HTM_AMORT_COST_FFIEC" vbProcedure="false">"c20442"</definedName>
    <definedName function="false" hidden="true" name="IQ_MBS_PASS_THROUGH_FNMA_HTM_FAIR_VAL_FFIEC" vbProcedure="false">"c20477"</definedName>
    <definedName function="false" hidden="true" name="IQ_MBS_PASS_THROUGH_GNMA_AFS_AMORT_COST_FFIEC" vbProcedure="false">"c20493"</definedName>
    <definedName function="false" hidden="true" name="IQ_MBS_PASS_THROUGH_GNMA_AFS_FAIR_VAL_FFIEC" vbProcedure="false">"c20458"</definedName>
    <definedName function="false" hidden="true" name="IQ_MBS_PASS_THROUGH_GNMA_AVAIL_SALE_FFIEC" vbProcedure="false">"c12796"</definedName>
    <definedName function="false" hidden="true" name="IQ_MBS_PASS_THROUGH_GNMA_FFIEC" vbProcedure="false">"c12782"</definedName>
    <definedName function="false" hidden="true" name="IQ_MBS_PASS_THROUGH_GNMA_HTM_AMORT_COST_FFIEC" vbProcedure="false">"c20441"</definedName>
    <definedName function="false" hidden="true" name="IQ_MBS_PASS_THROUGH_GNMA_HTM_FAIR_VAL_FFIEC" vbProcedure="false">"c20476"</definedName>
    <definedName function="false" hidden="true" name="IQ_MBS_PASS_THROUGH_ISSUED_FNMA_GNMA_TRADING_DOM_FFIEC" vbProcedure="false">"c12921"</definedName>
    <definedName function="false" hidden="true" name="IQ_MBS_PASS_THROUGH_OTHER_AFS_AMORT_COST_FFIEC" vbProcedure="false">"c20495"</definedName>
    <definedName function="false" hidden="true" name="IQ_MBS_PASS_THROUGH_OTHER_AFS_FAIR_VAL_FFIEC" vbProcedure="false">"c20460"</definedName>
    <definedName function="false" hidden="true" name="IQ_MBS_PASS_THROUGH_OTHER_AVAIL_SALE_FFIEC" vbProcedure="false">"c12798"</definedName>
    <definedName function="false" hidden="true" name="IQ_MBS_PASS_THROUGH_OTHER_FFIEC" vbProcedure="false">"c12784"</definedName>
    <definedName function="false" hidden="true" name="IQ_MBS_PASS_THROUGH_OTHER_HTM_AMORT_COST_FFIEC" vbProcedure="false">"c20443"</definedName>
    <definedName function="false" hidden="true" name="IQ_MBS_PASS_THROUGH_OTHER_HTM_FAIR_VAL_FFIEC" vbProcedure="false">"c20478"</definedName>
    <definedName function="false" hidden="true" name="IQ_MBS_QUARTERLY_AVG_FFIEC" vbProcedure="false">"c15471"</definedName>
    <definedName function="false" hidden="true" name="IQ_MC_ASO_COVERED_LIVES" vbProcedure="false">"c9918"</definedName>
    <definedName function="false" hidden="true" name="IQ_MC_ASO_MEMBERSHIP" vbProcedure="false">"c9921"</definedName>
    <definedName function="false" hidden="true" name="IQ_MC_CLAIMS_RESERVES" vbProcedure="false">"c9941"</definedName>
    <definedName function="false" hidden="true" name="IQ_MC_COMBINED_RATIO" vbProcedure="false">"c9933"</definedName>
    <definedName function="false" hidden="true" name="IQ_MC_COMMERCIAL_ASO_FEES" vbProcedure="false">"c15862"</definedName>
    <definedName function="false" hidden="true" name="IQ_MC_COMMERCIAL_NON_RISK_MEMBERS" vbProcedure="false">"c15835"</definedName>
    <definedName function="false" hidden="true" name="IQ_MC_COMMERCIAL_PREMIUMS" vbProcedure="false">"c15852"</definedName>
    <definedName function="false" hidden="true" name="IQ_MC_DAYS_CLAIMS_PAYABLE" vbProcedure="false">"c9937"</definedName>
    <definedName function="false" hidden="true" name="IQ_MC_DAYS_CLAIMS_PAYABLE_EXCL_CAPITATION" vbProcedure="false">"c9938"</definedName>
    <definedName function="false" hidden="true" name="IQ_MC_DENTAL_MEMBERS" vbProcedure="false">"c15832"</definedName>
    <definedName function="false" hidden="true" name="IQ_MC_DENTAL_PREMIUMS" vbProcedure="false">"c15858"</definedName>
    <definedName function="false" hidden="true" name="IQ_MC_HMO_MEMBERS" vbProcedure="false">"c15824"</definedName>
    <definedName function="false" hidden="true" name="IQ_MC_HMO_PREMIUMS" vbProcedure="false">"c15850"</definedName>
    <definedName function="false" hidden="true" name="IQ_MC_INDEMNITY_MEMBERS" vbProcedure="false">"c15825"</definedName>
    <definedName function="false" hidden="true" name="IQ_MC_INDEMNITY_PREMIUMS" vbProcedure="false">"c15851"</definedName>
    <definedName function="false" hidden="true" name="IQ_MC_MEDICAID_ASO_FEES" vbProcedure="false">"c15865"</definedName>
    <definedName function="false" hidden="true" name="IQ_MC_MEDICAID_MEMBERS" vbProcedure="false">"c15830"</definedName>
    <definedName function="false" hidden="true" name="IQ_MC_MEDICAID_NON_RISK_MEMBERS" vbProcedure="false">"c15838"</definedName>
    <definedName function="false" hidden="true" name="IQ_MC_MEDICAID_PREMIUMS" vbProcedure="false">"c15856"</definedName>
    <definedName function="false" hidden="true" name="IQ_MC_MEDICAL_COST" vbProcedure="false">"c15847"</definedName>
    <definedName function="false" hidden="true" name="IQ_MC_MEDICAL_COSTS_PMPM" vbProcedure="false">"c9925"</definedName>
    <definedName function="false" hidden="true" name="IQ_MC_MEDICARE_ASO_FEES" vbProcedure="false">"c15864"</definedName>
    <definedName function="false" hidden="true" name="IQ_MC_MEDICARE_MEMBERS" vbProcedure="false">"c15828"</definedName>
    <definedName function="false" hidden="true" name="IQ_MC_MEDICARE_NON_RISK_MEMBERS" vbProcedure="false">"c15837"</definedName>
    <definedName function="false" hidden="true" name="IQ_MC_MEDICARE_PART_D_MEMBERS" vbProcedure="false">"c15829"</definedName>
    <definedName function="false" hidden="true" name="IQ_MC_MEDICARE_PART_D_PREMIUMS" vbProcedure="false">"c15855"</definedName>
    <definedName function="false" hidden="true" name="IQ_MC_MEDICARE_PREMIUMS" vbProcedure="false">"c15854"</definedName>
    <definedName function="false" hidden="true" name="IQ_MC_MILITARY_ASO_FEES" vbProcedure="false">"c15863"</definedName>
    <definedName function="false" hidden="true" name="IQ_MC_MILITARY_MEMBERS" vbProcedure="false">"c15827"</definedName>
    <definedName function="false" hidden="true" name="IQ_MC_MILITARY_NON_RISK_MEMBERS" vbProcedure="false">"c15836"</definedName>
    <definedName function="false" hidden="true" name="IQ_MC_MILITARY_PREMIUMS" vbProcedure="false">"c15853"</definedName>
    <definedName function="false" hidden="true" name="IQ_MC_NET_INVESTMENT_INCOME" vbProcedure="false">"c15845"</definedName>
    <definedName function="false" hidden="true" name="IQ_MC_OTHER_REV" vbProcedure="false">"c15846"</definedName>
    <definedName function="false" hidden="true" name="IQ_MC_PARENT_CASH" vbProcedure="false">"c9942"</definedName>
    <definedName function="false" hidden="true" name="IQ_MC_PPO_POS_MEMBERS" vbProcedure="false">"c15823"</definedName>
    <definedName function="false" hidden="true" name="IQ_MC_PPO_POS_PREMIUMS" vbProcedure="false">"c15849"</definedName>
    <definedName function="false" hidden="true" name="IQ_MC_PREMIUMS" vbProcedure="false">"c15861"</definedName>
    <definedName function="false" hidden="true" name="IQ_MC_PREMIUMS_PMPM" vbProcedure="false">"c9924"</definedName>
    <definedName function="false" hidden="true" name="IQ_MC_RATIO" vbProcedure="false">"c2783"</definedName>
    <definedName function="false" hidden="true" name="IQ_MC_RECEIPT_CYCLE_TIME_DAYS" vbProcedure="false">"c9939"</definedName>
    <definedName function="false" hidden="true" name="IQ_MC_RECEIPT_CYCLE_TIME_MONTHS" vbProcedure="false">"c9940"</definedName>
    <definedName function="false" hidden="true" name="IQ_MC_RISK_COVERED_LIVES" vbProcedure="false">"c9917"</definedName>
    <definedName function="false" hidden="true" name="IQ_MC_RISK_MEMBERSHIP" vbProcedure="false">"c9920"</definedName>
    <definedName function="false" hidden="true" name="IQ_MC_SELLILNG_COSTS_RATIO" vbProcedure="false">"c9928"</definedName>
    <definedName function="false" hidden="true" name="IQ_MC_SGA_PMPM" vbProcedure="false">"c9926"</definedName>
    <definedName function="false" hidden="true" name="IQ_MC_SPECIALTY_ASO_FEES" vbProcedure="false">"c15867"</definedName>
    <definedName function="false" hidden="true" name="IQ_MC_SPECIALTY_NON_RISK_MEMBERS" vbProcedure="false">"c15840"</definedName>
    <definedName function="false" hidden="true" name="IQ_MC_STATUTORY_SURPLUS" vbProcedure="false">"c2772"</definedName>
    <definedName function="false" hidden="true" name="IQ_MC_TANGIBLE_EQUITY_MEDICAL_COST" vbProcedure="false">"c15848"</definedName>
    <definedName function="false" hidden="true" name="IQ_MC_TANGIBLE_EQUITY_PER_MEMBER" vbProcedure="false">"c15843"</definedName>
    <definedName function="false" hidden="true" name="IQ_MC_TOTAL_ASO_FEES" vbProcedure="false">"c15868"</definedName>
    <definedName function="false" hidden="true" name="IQ_MC_TOTAL_COMMERCIAL_MEMBERS" vbProcedure="false">"c15826"</definedName>
    <definedName function="false" hidden="true" name="IQ_MC_TOTAL_COVERED_LIVES" vbProcedure="false">"c9919"</definedName>
    <definedName function="false" hidden="true" name="IQ_MC_TOTAL_EQUITY_PER_MEMBER" vbProcedure="false">"c15842"</definedName>
    <definedName function="false" hidden="true" name="IQ_MC_TOTAL_GOVT_ASO_FEES" vbProcedure="false">"c15866"</definedName>
    <definedName function="false" hidden="true" name="IQ_MC_TOTAL_GOVT_MEMBERS" vbProcedure="false">"c15831"</definedName>
    <definedName function="false" hidden="true" name="IQ_MC_TOTAL_GOVT_NON_RISK_MEMBERS" vbProcedure="false">"c15839"</definedName>
    <definedName function="false" hidden="true" name="IQ_MC_TOTAL_GOVT_PREMIUMS" vbProcedure="false">"c15857"</definedName>
    <definedName function="false" hidden="true" name="IQ_MC_TOTAL_MEMBERSHIP" vbProcedure="false">"c9922"</definedName>
    <definedName function="false" hidden="true" name="IQ_MC_TOTAL_MEMBERSHIP_CAPITATION" vbProcedure="false">"c9923"</definedName>
    <definedName function="false" hidden="true" name="IQ_MC_TOTAL_OTHER_MEMBERS" vbProcedure="false">"c15833"</definedName>
    <definedName function="false" hidden="true" name="IQ_MC_TOTAL_OTHER_PREMIUMS" vbProcedure="false">"c15859"</definedName>
    <definedName function="false" hidden="true" name="IQ_MC_TOTAL_RESERVES_PER_MEMBER" vbProcedure="false">"c15844"</definedName>
    <definedName function="false" hidden="true" name="IQ_MC_TOTAL_SEPCIALTY_MEMBERS" vbProcedure="false">"c15834"</definedName>
    <definedName function="false" hidden="true" name="IQ_MC_TOTAL_SEPCIALTY_PREMIUMS" vbProcedure="false">"c15860"</definedName>
    <definedName function="false" hidden="true" name="IQ_MC_TOTAL_STATUTORY_CAPITAL_SURPLUS_PER_MEMBER" vbProcedure="false">"c15841"</definedName>
    <definedName function="false" hidden="true" name="IQ_MC_UNPROCESSED_CLAIMS_INVENTORY_DAYS" vbProcedure="false">"c9936"</definedName>
    <definedName function="false" hidden="true" name="IQ_MC_UNPROCESSED_CLAIMS_INVENTORY_NUMBER" vbProcedure="false">"c9934"</definedName>
    <definedName function="false" hidden="true" name="IQ_MC_UNPROCESSED_CLAIMS_INVENTORY_VALUE" vbProcedure="false">"c9935"</definedName>
    <definedName function="false" hidden="true" name="IQ_MEASURED_ATTRIB_ORE_RESOURCES_ALUM" vbProcedure="false">"c9237"</definedName>
    <definedName function="false" hidden="true" name="IQ_MEASURED_ATTRIB_ORE_RESOURCES_COP" vbProcedure="false">"c9181"</definedName>
    <definedName function="false" hidden="true" name="IQ_MEASURED_ATTRIB_ORE_RESOURCES_DIAM" vbProcedure="false">"c9661"</definedName>
    <definedName function="false" hidden="true" name="IQ_MEASURED_ATTRIB_ORE_RESOURCES_GOLD" vbProcedure="false">"c9022"</definedName>
    <definedName function="false" hidden="true" name="IQ_MEASURED_ATTRIB_ORE_RESOURCES_IRON" vbProcedure="false">"c9396"</definedName>
    <definedName function="false" hidden="true" name="IQ_MEASURED_ATTRIB_ORE_RESOURCES_LEAD" vbProcedure="false">"c9449"</definedName>
    <definedName function="false" hidden="true" name="IQ_MEASURED_ATTRIB_ORE_RESOURCES_MANG" vbProcedure="false">"c9502"</definedName>
    <definedName function="false" hidden="true" name="IQ_MEASURED_ATTRIB_ORE_RESOURCES_MOLYB" vbProcedure="false">"c9714"</definedName>
    <definedName function="false" hidden="true" name="IQ_MEASURED_ATTRIB_ORE_RESOURCES_NICK" vbProcedure="false">"c9290"</definedName>
    <definedName function="false" hidden="true" name="IQ_MEASURED_ATTRIB_ORE_RESOURCES_PLAT" vbProcedure="false">"c9128"</definedName>
    <definedName function="false" hidden="true" name="IQ_MEASURED_ATTRIB_ORE_RESOURCES_SILVER" vbProcedure="false">"c9075"</definedName>
    <definedName function="false" hidden="true" name="IQ_MEASURED_ATTRIB_ORE_RESOURCES_TITAN" vbProcedure="false">"c9555"</definedName>
    <definedName function="false" hidden="true" name="IQ_MEASURED_ATTRIB_ORE_RESOURCES_URAN" vbProcedure="false">"c9608"</definedName>
    <definedName function="false" hidden="true" name="IQ_MEASURED_ATTRIB_ORE_RESOURCES_ZINC" vbProcedure="false">"c9343"</definedName>
    <definedName function="false" hidden="true" name="IQ_MEASURED_INDICATED_ATTRIB_ORE_RESOURCES_ALUM" vbProcedure="false">"c9239"</definedName>
    <definedName function="false" hidden="true" name="IQ_MEASURED_INDICATED_ATTRIB_ORE_RESOURCES_COP" vbProcedure="false">"c9183"</definedName>
    <definedName function="false" hidden="true" name="IQ_MEASURED_INDICATED_ATTRIB_ORE_RESOURCES_DIAM" vbProcedure="false">"c9663"</definedName>
    <definedName function="false" hidden="true" name="IQ_MEASURED_INDICATED_ATTRIB_ORE_RESOURCES_GOLD" vbProcedure="false">"c9024"</definedName>
    <definedName function="false" hidden="true" name="IQ_MEASURED_INDICATED_ATTRIB_ORE_RESOURCES_IRON" vbProcedure="false">"c9398"</definedName>
    <definedName function="false" hidden="true" name="IQ_MEASURED_INDICATED_ATTRIB_ORE_RESOURCES_LEAD" vbProcedure="false">"c9451"</definedName>
    <definedName function="false" hidden="true" name="IQ_MEASURED_INDICATED_ATTRIB_ORE_RESOURCES_MANG" vbProcedure="false">"c9504"</definedName>
    <definedName function="false" hidden="true" name="IQ_MEASURED_INDICATED_ATTRIB_ORE_RESOURCES_MOLYB" vbProcedure="false">"c9716"</definedName>
    <definedName function="false" hidden="true" name="IQ_MEASURED_INDICATED_ATTRIB_ORE_RESOURCES_NICK" vbProcedure="false">"c9292"</definedName>
    <definedName function="false" hidden="true" name="IQ_MEASURED_INDICATED_ATTRIB_ORE_RESOURCES_PLAT" vbProcedure="false">"c9130"</definedName>
    <definedName function="false" hidden="true" name="IQ_MEASURED_INDICATED_ATTRIB_ORE_RESOURCES_SILVER" vbProcedure="false">"c9077"</definedName>
    <definedName function="false" hidden="true" name="IQ_MEASURED_INDICATED_ATTRIB_ORE_RESOURCES_TITAN" vbProcedure="false">"c9557"</definedName>
    <definedName function="false" hidden="true" name="IQ_MEASURED_INDICATED_ATTRIB_ORE_RESOURCES_URAN" vbProcedure="false">"c9610"</definedName>
    <definedName function="false" hidden="true" name="IQ_MEASURED_INDICATED_ATTRIB_ORE_RESOURCES_ZINC" vbProcedure="false">"c9345"</definedName>
    <definedName function="false" hidden="true" name="IQ_MEASURED_INDICATED_ORE_RESOURCES_ALUM" vbProcedure="false">"c9226"</definedName>
    <definedName function="false" hidden="true" name="IQ_MEASURED_INDICATED_ORE_RESOURCES_COP" vbProcedure="false">"c9170"</definedName>
    <definedName function="false" hidden="true" name="IQ_MEASURED_INDICATED_ORE_RESOURCES_DIAM" vbProcedure="false">"c9650"</definedName>
    <definedName function="false" hidden="true" name="IQ_MEASURED_INDICATED_ORE_RESOURCES_GOLD" vbProcedure="false">"c9011"</definedName>
    <definedName function="false" hidden="true" name="IQ_MEASURED_INDICATED_ORE_RESOURCES_IRON" vbProcedure="false">"c9385"</definedName>
    <definedName function="false" hidden="true" name="IQ_MEASURED_INDICATED_ORE_RESOURCES_LEAD" vbProcedure="false">"c9438"</definedName>
    <definedName function="false" hidden="true" name="IQ_MEASURED_INDICATED_ORE_RESOURCES_MANG" vbProcedure="false">"c9491"</definedName>
    <definedName function="false" hidden="true" name="IQ_MEASURED_INDICATED_ORE_RESOURCES_MOLYB" vbProcedure="false">"c9703"</definedName>
    <definedName function="false" hidden="true" name="IQ_MEASURED_INDICATED_ORE_RESOURCES_NICK" vbProcedure="false">"c9279"</definedName>
    <definedName function="false" hidden="true" name="IQ_MEASURED_INDICATED_ORE_RESOURCES_PLAT" vbProcedure="false">"c9117"</definedName>
    <definedName function="false" hidden="true" name="IQ_MEASURED_INDICATED_ORE_RESOURCES_SILVER" vbProcedure="false">"c9064"</definedName>
    <definedName function="false" hidden="true" name="IQ_MEASURED_INDICATED_ORE_RESOURCES_TITAN" vbProcedure="false">"c9544"</definedName>
    <definedName function="false" hidden="true" name="IQ_MEASURED_INDICATED_ORE_RESOURCES_URAN" vbProcedure="false">"c9597"</definedName>
    <definedName function="false" hidden="true" name="IQ_MEASURED_INDICATED_ORE_RESOURCES_ZINC" vbProcedure="false">"c9332"</definedName>
    <definedName function="false" hidden="true" name="IQ_MEASURED_INDICATED_RECOV_RESOURCES_ALUM" vbProcedure="false">"c9234"</definedName>
    <definedName function="false" hidden="true" name="IQ_MEASURED_INDICATED_RECOV_RESOURCES_COAL" vbProcedure="false">"c9813"</definedName>
    <definedName function="false" hidden="true" name="IQ_MEASURED_INDICATED_RECOV_RESOURCES_COP" vbProcedure="false">"c9178"</definedName>
    <definedName function="false" hidden="true" name="IQ_MEASURED_INDICATED_RECOV_RESOURCES_DIAM" vbProcedure="false">"c9658"</definedName>
    <definedName function="false" hidden="true" name="IQ_MEASURED_INDICATED_RECOV_RESOURCES_GOLD" vbProcedure="false">"c9019"</definedName>
    <definedName function="false" hidden="true" name="IQ_MEASURED_INDICATED_RECOV_RESOURCES_IRON" vbProcedure="false">"c9393"</definedName>
    <definedName function="false" hidden="true" name="IQ_MEASURED_INDICATED_RECOV_RESOURCES_LEAD" vbProcedure="false">"c9446"</definedName>
    <definedName function="false" hidden="true" name="IQ_MEASURED_INDICATED_RECOV_RESOURCES_MANG" vbProcedure="false">"c9499"</definedName>
    <definedName function="false" hidden="true" name="IQ_MEASURED_INDICATED_RECOV_RESOURCES_MET_COAL" vbProcedure="false">"c9753"</definedName>
    <definedName function="false" hidden="true" name="IQ_MEASURED_INDICATED_RECOV_RESOURCES_MOLYB" vbProcedure="false">"c9711"</definedName>
    <definedName function="false" hidden="true" name="IQ_MEASURED_INDICATED_RECOV_RESOURCES_NICK" vbProcedure="false">"c9287"</definedName>
    <definedName function="false" hidden="true" name="IQ_MEASURED_INDICATED_RECOV_RESOURCES_PLAT" vbProcedure="false">"c9125"</definedName>
    <definedName function="false" hidden="true" name="IQ_MEASURED_INDICATED_RECOV_RESOURCES_SILVER" vbProcedure="false">"c9072"</definedName>
    <definedName function="false" hidden="true" name="IQ_MEASURED_INDICATED_RECOV_RESOURCES_STEAM" vbProcedure="false">"c9783"</definedName>
    <definedName function="false" hidden="true" name="IQ_MEASURED_INDICATED_RECOV_RESOURCES_TITAN" vbProcedure="false">"c9552"</definedName>
    <definedName function="false" hidden="true" name="IQ_MEASURED_INDICATED_RECOV_RESOURCES_URAN" vbProcedure="false">"c9605"</definedName>
    <definedName function="false" hidden="true" name="IQ_MEASURED_INDICATED_RECOV_RESOURCES_ZINC" vbProcedure="false">"c9340"</definedName>
    <definedName function="false" hidden="true" name="IQ_MEASURED_INDICATED_RESOURCES_GRADE_ALUM" vbProcedure="false">"c9227"</definedName>
    <definedName function="false" hidden="true" name="IQ_MEASURED_INDICATED_RESOURCES_GRADE_COP" vbProcedure="false">"c9171"</definedName>
    <definedName function="false" hidden="true" name="IQ_MEASURED_INDICATED_RESOURCES_GRADE_DIAM" vbProcedure="false">"c9651"</definedName>
    <definedName function="false" hidden="true" name="IQ_MEASURED_INDICATED_RESOURCES_GRADE_GOLD" vbProcedure="false">"c9012"</definedName>
    <definedName function="false" hidden="true" name="IQ_MEASURED_INDICATED_RESOURCES_GRADE_IRON" vbProcedure="false">"c9386"</definedName>
    <definedName function="false" hidden="true" name="IQ_MEASURED_INDICATED_RESOURCES_GRADE_LEAD" vbProcedure="false">"c9439"</definedName>
    <definedName function="false" hidden="true" name="IQ_MEASURED_INDICATED_RESOURCES_GRADE_MANG" vbProcedure="false">"c9492"</definedName>
    <definedName function="false" hidden="true" name="IQ_MEASURED_INDICATED_RESOURCES_GRADE_MOLYB" vbProcedure="false">"c9704"</definedName>
    <definedName function="false" hidden="true" name="IQ_MEASURED_INDICATED_RESOURCES_GRADE_NICK" vbProcedure="false">"c9280"</definedName>
    <definedName function="false" hidden="true" name="IQ_MEASURED_INDICATED_RESOURCES_GRADE_PLAT" vbProcedure="false">"c9118"</definedName>
    <definedName function="false" hidden="true" name="IQ_MEASURED_INDICATED_RESOURCES_GRADE_SILVER" vbProcedure="false">"c9065"</definedName>
    <definedName function="false" hidden="true" name="IQ_MEASURED_INDICATED_RESOURCES_GRADE_TITAN" vbProcedure="false">"c9545"</definedName>
    <definedName function="false" hidden="true" name="IQ_MEASURED_INDICATED_RESOURCES_GRADE_URAN" vbProcedure="false">"c9598"</definedName>
    <definedName function="false" hidden="true" name="IQ_MEASURED_INDICATED_RESOURCES_GRADE_ZINC" vbProcedure="false">"c9333"</definedName>
    <definedName function="false" hidden="true" name="IQ_MEASURED_ORE_RESOURCES_ALUM" vbProcedure="false">"c9222"</definedName>
    <definedName function="false" hidden="true" name="IQ_MEASURED_ORE_RESOURCES_COP" vbProcedure="false">"c9166"</definedName>
    <definedName function="false" hidden="true" name="IQ_MEASURED_ORE_RESOURCES_DIAM" vbProcedure="false">"c9646"</definedName>
    <definedName function="false" hidden="true" name="IQ_MEASURED_ORE_RESOURCES_GOLD" vbProcedure="false">"c9007"</definedName>
    <definedName function="false" hidden="true" name="IQ_MEASURED_ORE_RESOURCES_IRON" vbProcedure="false">"c9381"</definedName>
    <definedName function="false" hidden="true" name="IQ_MEASURED_ORE_RESOURCES_LEAD" vbProcedure="false">"c9434"</definedName>
    <definedName function="false" hidden="true" name="IQ_MEASURED_ORE_RESOURCES_MANG" vbProcedure="false">"c9487"</definedName>
    <definedName function="false" hidden="true" name="IQ_MEASURED_ORE_RESOURCES_MOLYB" vbProcedure="false">"c9699"</definedName>
    <definedName function="false" hidden="true" name="IQ_MEASURED_ORE_RESOURCES_NICK" vbProcedure="false">"c9275"</definedName>
    <definedName function="false" hidden="true" name="IQ_MEASURED_ORE_RESOURCES_PLAT" vbProcedure="false">"c9113"</definedName>
    <definedName function="false" hidden="true" name="IQ_MEASURED_ORE_RESOURCES_SILVER" vbProcedure="false">"c9060"</definedName>
    <definedName function="false" hidden="true" name="IQ_MEASURED_ORE_RESOURCES_TITAN" vbProcedure="false">"c9540"</definedName>
    <definedName function="false" hidden="true" name="IQ_MEASURED_ORE_RESOURCES_URAN" vbProcedure="false">"c9593"</definedName>
    <definedName function="false" hidden="true" name="IQ_MEASURED_ORE_RESOURCES_ZINC" vbProcedure="false">"c9328"</definedName>
    <definedName function="false" hidden="true" name="IQ_MEASURED_RECOV_ATTRIB_RESOURCES_ALUM" vbProcedure="false">"c9242"</definedName>
    <definedName function="false" hidden="true" name="IQ_MEASURED_RECOV_ATTRIB_RESOURCES_COAL" vbProcedure="false">"c9816"</definedName>
    <definedName function="false" hidden="true" name="IQ_MEASURED_RECOV_ATTRIB_RESOURCES_COP" vbProcedure="false">"c9186"</definedName>
    <definedName function="false" hidden="true" name="IQ_MEASURED_RECOV_ATTRIB_RESOURCES_DIAM" vbProcedure="false">"c9666"</definedName>
    <definedName function="false" hidden="true" name="IQ_MEASURED_RECOV_ATTRIB_RESOURCES_GOLD" vbProcedure="false">"c9027"</definedName>
    <definedName function="false" hidden="true" name="IQ_MEASURED_RECOV_ATTRIB_RESOURCES_IRON" vbProcedure="false">"c9401"</definedName>
    <definedName function="false" hidden="true" name="IQ_MEASURED_RECOV_ATTRIB_RESOURCES_LEAD" vbProcedure="false">"c9454"</definedName>
    <definedName function="false" hidden="true" name="IQ_MEASURED_RECOV_ATTRIB_RESOURCES_MANG" vbProcedure="false">"c9507"</definedName>
    <definedName function="false" hidden="true" name="IQ_MEASURED_RECOV_ATTRIB_RESOURCES_MET_COAL" vbProcedure="false">"c9756"</definedName>
    <definedName function="false" hidden="true" name="IQ_MEASURED_RECOV_ATTRIB_RESOURCES_MOLYB" vbProcedure="false">"c9719"</definedName>
    <definedName function="false" hidden="true" name="IQ_MEASURED_RECOV_ATTRIB_RESOURCES_NICK" vbProcedure="false">"c9295"</definedName>
    <definedName function="false" hidden="true" name="IQ_MEASURED_RECOV_ATTRIB_RESOURCES_PLAT" vbProcedure="false">"c9133"</definedName>
    <definedName function="false" hidden="true" name="IQ_MEASURED_RECOV_ATTRIB_RESOURCES_SILVER" vbProcedure="false">"c9080"</definedName>
    <definedName function="false" hidden="true" name="IQ_MEASURED_RECOV_ATTRIB_RESOURCES_STEAM" vbProcedure="false">"c9786"</definedName>
    <definedName function="false" hidden="true" name="IQ_MEASURED_RECOV_ATTRIB_RESOURCES_TITAN" vbProcedure="false">"c9560"</definedName>
    <definedName function="false" hidden="true" name="IQ_MEASURED_RECOV_ATTRIB_RESOURCES_URAN" vbProcedure="false">"c9613"</definedName>
    <definedName function="false" hidden="true" name="IQ_MEASURED_RECOV_ATTRIB_RESOURCES_ZINC" vbProcedure="false">"c9348"</definedName>
    <definedName function="false" hidden="true" name="IQ_MEASURED_RECOV_RESOURCES_ALUM" vbProcedure="false">"c9232"</definedName>
    <definedName function="false" hidden="true" name="IQ_MEASURED_RECOV_RESOURCES_COAL" vbProcedure="false">"c9811"</definedName>
    <definedName function="false" hidden="true" name="IQ_MEASURED_RECOV_RESOURCES_COP" vbProcedure="false">"c9176"</definedName>
    <definedName function="false" hidden="true" name="IQ_MEASURED_RECOV_RESOURCES_DIAM" vbProcedure="false">"c9656"</definedName>
    <definedName function="false" hidden="true" name="IQ_MEASURED_RECOV_RESOURCES_GOLD" vbProcedure="false">"c9017"</definedName>
    <definedName function="false" hidden="true" name="IQ_MEASURED_RECOV_RESOURCES_IRON" vbProcedure="false">"c9391"</definedName>
    <definedName function="false" hidden="true" name="IQ_MEASURED_RECOV_RESOURCES_LEAD" vbProcedure="false">"c9444"</definedName>
    <definedName function="false" hidden="true" name="IQ_MEASURED_RECOV_RESOURCES_MANG" vbProcedure="false">"c9497"</definedName>
    <definedName function="false" hidden="true" name="IQ_MEASURED_RECOV_RESOURCES_MET_COAL" vbProcedure="false">"c9751"</definedName>
    <definedName function="false" hidden="true" name="IQ_MEASURED_RECOV_RESOURCES_MOLYB" vbProcedure="false">"c9709"</definedName>
    <definedName function="false" hidden="true" name="IQ_MEASURED_RECOV_RESOURCES_NICK" vbProcedure="false">"c9285"</definedName>
    <definedName function="false" hidden="true" name="IQ_MEASURED_RECOV_RESOURCES_PLAT" vbProcedure="false">"c9123"</definedName>
    <definedName function="false" hidden="true" name="IQ_MEASURED_RECOV_RESOURCES_SILVER" vbProcedure="false">"c9070"</definedName>
    <definedName function="false" hidden="true" name="IQ_MEASURED_RECOV_RESOURCES_STEAM" vbProcedure="false">"c9781"</definedName>
    <definedName function="false" hidden="true" name="IQ_MEASURED_RECOV_RESOURCES_TITAN" vbProcedure="false">"c9550"</definedName>
    <definedName function="false" hidden="true" name="IQ_MEASURED_RECOV_RESOURCES_URAN" vbProcedure="false">"c9603"</definedName>
    <definedName function="false" hidden="true" name="IQ_MEASURED_RECOV_RESOURCES_ZINC" vbProcedure="false">"c9338"</definedName>
    <definedName function="false" hidden="true" name="IQ_MEASURED_RESOURCES_CALORIFIC_VALUE_COAL" vbProcedure="false">"c9806"</definedName>
    <definedName function="false" hidden="true" name="IQ_MEASURED_RESOURCES_CALORIFIC_VALUE_MET_COAL" vbProcedure="false">"c9746"</definedName>
    <definedName function="false" hidden="true" name="IQ_MEASURED_RESOURCES_CALORIFIC_VALUE_STEAM" vbProcedure="false">"c9776"</definedName>
    <definedName function="false" hidden="true" name="IQ_MEASURED_RESOURCES_GRADE_ALUM" vbProcedure="false">"c9223"</definedName>
    <definedName function="false" hidden="true" name="IQ_MEASURED_RESOURCES_GRADE_COP" vbProcedure="false">"c9167"</definedName>
    <definedName function="false" hidden="true" name="IQ_MEASURED_RESOURCES_GRADE_DIAM" vbProcedure="false">"c9647"</definedName>
    <definedName function="false" hidden="true" name="IQ_MEASURED_RESOURCES_GRADE_GOLD" vbProcedure="false">"c9008"</definedName>
    <definedName function="false" hidden="true" name="IQ_MEASURED_RESOURCES_GRADE_IRON" vbProcedure="false">"c9382"</definedName>
    <definedName function="false" hidden="true" name="IQ_MEASURED_RESOURCES_GRADE_LEAD" vbProcedure="false">"c9435"</definedName>
    <definedName function="false" hidden="true" name="IQ_MEASURED_RESOURCES_GRADE_MANG" vbProcedure="false">"c9488"</definedName>
    <definedName function="false" hidden="true" name="IQ_MEASURED_RESOURCES_GRADE_MOLYB" vbProcedure="false">"c9700"</definedName>
    <definedName function="false" hidden="true" name="IQ_MEASURED_RESOURCES_GRADE_NICK" vbProcedure="false">"c9276"</definedName>
    <definedName function="false" hidden="true" name="IQ_MEASURED_RESOURCES_GRADE_PLAT" vbProcedure="false">"c9114"</definedName>
    <definedName function="false" hidden="true" name="IQ_MEASURED_RESOURCES_GRADE_SILVER" vbProcedure="false">"c9061"</definedName>
    <definedName function="false" hidden="true" name="IQ_MEASURED_RESOURCES_GRADE_TITAN" vbProcedure="false">"c9541"</definedName>
    <definedName function="false" hidden="true" name="IQ_MEASURED_RESOURCES_GRADE_URAN" vbProcedure="false">"c9594"</definedName>
    <definedName function="false" hidden="true" name="IQ_MEASURED_RESOURCES_GRADE_ZINC" vbProcedure="false">"c9329"</definedName>
    <definedName function="false" hidden="true" name="IQ_MEDIAN_NEW_HOME_SALES_APR_FC_UNUSED" vbProcedure="false">"c8460"</definedName>
    <definedName function="false" hidden="true" name="IQ_MEDIAN_NEW_HOME_SALES_APR_FC_UNUSED_UNUSED_UNUSED" vbProcedure="false">"c8460"</definedName>
    <definedName function="false" hidden="true" name="IQ_MEDIAN_NEW_HOME_SALES_APR_UNUSED" vbProcedure="false">"c7580"</definedName>
    <definedName function="false" hidden="true" name="IQ_MEDIAN_NEW_HOME_SALES_APR_UNUSED_UNUSED_UNUSED" vbProcedure="false">"c7580"</definedName>
    <definedName function="false" hidden="true" name="IQ_MEDIAN_NEW_HOME_SALES_FC_UNUSED" vbProcedure="false">"c7800"</definedName>
    <definedName function="false" hidden="true" name="IQ_MEDIAN_NEW_HOME_SALES_FC_UNUSED_UNUSED_UNUSED" vbProcedure="false">"c7800"</definedName>
    <definedName function="false" hidden="true" name="IQ_MEDIAN_NEW_HOME_SALES_POP_FC_UNUSED" vbProcedure="false">"c8020"</definedName>
    <definedName function="false" hidden="true" name="IQ_MEDIAN_NEW_HOME_SALES_POP_FC_UNUSED_UNUSED_UNUSED" vbProcedure="false">"c8020"</definedName>
    <definedName function="false" hidden="true" name="IQ_MEDIAN_NEW_HOME_SALES_POP_UNUSED" vbProcedure="false">"c7140"</definedName>
    <definedName function="false" hidden="true" name="IQ_MEDIAN_NEW_HOME_SALES_POP_UNUSED_UNUSED_UNUSED" vbProcedure="false">"c7140"</definedName>
    <definedName function="false" hidden="true" name="IQ_MEDIAN_NEW_HOME_SALES_UNUSED" vbProcedure="false">"c6920"</definedName>
    <definedName function="false" hidden="true" name="IQ_MEDIAN_NEW_HOME_SALES_UNUSED_UNUSED_UNUSED" vbProcedure="false">"c6920"</definedName>
    <definedName function="false" hidden="true" name="IQ_MEDIAN_NEW_HOME_SALES_YOY_FC_UNUSED" vbProcedure="false">"c8240"</definedName>
    <definedName function="false" hidden="true" name="IQ_MEDIAN_NEW_HOME_SALES_YOY_FC_UNUSED_UNUSED_UNUSED" vbProcedure="false">"c8240"</definedName>
    <definedName function="false" hidden="true" name="IQ_MEDIAN_NEW_HOME_SALES_YOY_UNUSED" vbProcedure="false">"c7360"</definedName>
    <definedName function="false" hidden="true" name="IQ_MEDIAN_NEW_HOME_SALES_YOY_UNUSED_UNUSED_UNUSED" vbProcedure="false">"c7360"</definedName>
    <definedName function="false" hidden="true" name="IQ_MEDIAN_TARGET_PRICE" vbProcedure="false">"c1650"</definedName>
    <definedName function="false" hidden="true" name="IQ_MEDIAN_TARGET_PRICE_CIQ" vbProcedure="false">"c4658"</definedName>
    <definedName function="false" hidden="true" name="IQ_MEDIAN_TARGET_PRICE_REUT" vbProcedure="false">"c5316"</definedName>
    <definedName function="false" hidden="true" name="IQ_MEDIAN_TARGET_PRICE_THOM" vbProcedure="false">"c5095"</definedName>
    <definedName function="false" hidden="true" name="IQ_MEDIUM_SULFURE_RESERVES_TO_TOTAL_RESERVES_COAL" vbProcedure="false">"c15962"</definedName>
    <definedName function="false" hidden="true" name="IQ_MEDIUM_SULFUR_CONTENT_RESERVES_COAL" vbProcedure="false">"c15926"</definedName>
    <definedName function="false" hidden="true" name="IQ_MERGER" vbProcedure="false">"c713"</definedName>
    <definedName function="false" hidden="true" name="IQ_MERGER_BNK" vbProcedure="false">"c714"</definedName>
    <definedName function="false" hidden="true" name="IQ_MERGER_BR" vbProcedure="false">"c715"</definedName>
    <definedName function="false" hidden="true" name="IQ_MERGER_FIN" vbProcedure="false">"c716"</definedName>
    <definedName function="false" hidden="true" name="IQ_MERGER_INS" vbProcedure="false">"c717"</definedName>
    <definedName function="false" hidden="true" name="IQ_MERGER_RE" vbProcedure="false">"c6235"</definedName>
    <definedName function="false" hidden="true" name="IQ_MERGER_REIT" vbProcedure="false">"c718"</definedName>
    <definedName function="false" hidden="true" name="IQ_MERGER_RESTRUCTURE" vbProcedure="false">"c719"</definedName>
    <definedName function="false" hidden="true" name="IQ_MERGER_RESTRUCTURE_BNK" vbProcedure="false">"c720"</definedName>
    <definedName function="false" hidden="true" name="IQ_MERGER_RESTRUCTURE_BR" vbProcedure="false">"c721"</definedName>
    <definedName function="false" hidden="true" name="IQ_MERGER_RESTRUCTURE_FIN" vbProcedure="false">"c722"</definedName>
    <definedName function="false" hidden="true" name="IQ_MERGER_RESTRUCTURE_INS" vbProcedure="false">"c723"</definedName>
    <definedName function="false" hidden="true" name="IQ_MERGER_RESTRUCTURE_RE" vbProcedure="false">"c6236"</definedName>
    <definedName function="false" hidden="true" name="IQ_MERGER_RESTRUCTURE_REIT" vbProcedure="false">"c724"</definedName>
    <definedName function="false" hidden="true" name="IQ_MERGER_RESTRUCTURE_UTI" vbProcedure="false">"c725"</definedName>
    <definedName function="false" hidden="true" name="IQ_MERGER_SUPPLE" vbProcedure="false">"c13810"</definedName>
    <definedName function="false" hidden="true" name="IQ_MERGER_UTI" vbProcedure="false">"c726"</definedName>
    <definedName function="false" hidden="true" name="IQ_MILES_PASSED" vbProcedure="false">"c2848"</definedName>
    <definedName function="false" hidden="true" name="IQ_MINE_DEVELOPMENT_GROSS_COAL" vbProcedure="false">"c15940"</definedName>
    <definedName function="false" hidden="true" name="IQ_MINORITY_INTEREST" vbProcedure="false">"c727"</definedName>
    <definedName function="false" hidden="true" name="IQ_MINORITY_INTEREST_BNK" vbProcedure="false">"c728"</definedName>
    <definedName function="false" hidden="true" name="IQ_MINORITY_INTEREST_BR" vbProcedure="false">"c729"</definedName>
    <definedName function="false" hidden="true" name="IQ_MINORITY_INTEREST_CF" vbProcedure="false">"c730"</definedName>
    <definedName function="false" hidden="true" name="IQ_MINORITY_INTEREST_FIN" vbProcedure="false">"c731"</definedName>
    <definedName function="false" hidden="true" name="IQ_MINORITY_INTEREST_INS" vbProcedure="false">"c732"</definedName>
    <definedName function="false" hidden="true" name="IQ_MINORITY_INTEREST_IS" vbProcedure="false">"c733"</definedName>
    <definedName function="false" hidden="true" name="IQ_MINORITY_INTEREST_RE" vbProcedure="false">"c6237"</definedName>
    <definedName function="false" hidden="true" name="IQ_MINORITY_INTEREST_REIT" vbProcedure="false">"c734"</definedName>
    <definedName function="false" hidden="true" name="IQ_MINORITY_INTEREST_TOTAL" vbProcedure="false">"c1905"</definedName>
    <definedName function="false" hidden="true" name="IQ_MINORITY_INTEREST_UTI" vbProcedure="false">"c735"</definedName>
    <definedName function="false" hidden="true" name="IQ_MINORITY_INT_AVG_ASSETS_FFIEC" vbProcedure="false">"c13367"</definedName>
    <definedName function="false" hidden="true" name="IQ_MINORITY_INT_BS_FFIEC" vbProcedure="false">"c12874"</definedName>
    <definedName function="false" hidden="true" name="IQ_MINORITY_INT_FFIEC" vbProcedure="false">"c13031"</definedName>
    <definedName function="false" hidden="true" name="IQ_MINTUTES_USED_LOCAL" vbProcedure="false">"c15808"</definedName>
    <definedName function="false" hidden="true" name="IQ_MINTUTES_USED_LONG_DIST" vbProcedure="false">"c15809"</definedName>
    <definedName function="false" hidden="true" name="IQ_MIN_USE_PER_SUB" vbProcedure="false">"c15764"</definedName>
    <definedName function="false" hidden="true" name="IQ_MISC_ADJUST_CF" vbProcedure="false">"c736"</definedName>
    <definedName function="false" hidden="true" name="IQ_MISC_EARN_ADJ" vbProcedure="false">"c1603"</definedName>
    <definedName function="false" hidden="true" name="IQ_MI_RECOV_ATTRIB_RESOURCES_ALUM" vbProcedure="false">"c9244"</definedName>
    <definedName function="false" hidden="true" name="IQ_MI_RECOV_ATTRIB_RESOURCES_COAL" vbProcedure="false">"c9818"</definedName>
    <definedName function="false" hidden="true" name="IQ_MI_RECOV_ATTRIB_RESOURCES_COP" vbProcedure="false">"c9188"</definedName>
    <definedName function="false" hidden="true" name="IQ_MI_RECOV_ATTRIB_RESOURCES_DIAM" vbProcedure="false">"c9668"</definedName>
    <definedName function="false" hidden="true" name="IQ_MI_RECOV_ATTRIB_RESOURCES_GOLD" vbProcedure="false">"c9029"</definedName>
    <definedName function="false" hidden="true" name="IQ_MI_RECOV_ATTRIB_RESOURCES_IRON" vbProcedure="false">"c9403"</definedName>
    <definedName function="false" hidden="true" name="IQ_MI_RECOV_ATTRIB_RESOURCES_LEAD" vbProcedure="false">"c9456"</definedName>
    <definedName function="false" hidden="true" name="IQ_MI_RECOV_ATTRIB_RESOURCES_MANG" vbProcedure="false">"c9509"</definedName>
    <definedName function="false" hidden="true" name="IQ_MI_RECOV_ATTRIB_RESOURCES_MET_COAL" vbProcedure="false">"c9758"</definedName>
    <definedName function="false" hidden="true" name="IQ_MI_RECOV_ATTRIB_RESOURCES_MOLYB" vbProcedure="false">"c9721"</definedName>
    <definedName function="false" hidden="true" name="IQ_MI_RECOV_ATTRIB_RESOURCES_NICK" vbProcedure="false">"c9297"</definedName>
    <definedName function="false" hidden="true" name="IQ_MI_RECOV_ATTRIB_RESOURCES_PLAT" vbProcedure="false">"c9135"</definedName>
    <definedName function="false" hidden="true" name="IQ_MI_RECOV_ATTRIB_RESOURCES_SILVER" vbProcedure="false">"c9082"</definedName>
    <definedName function="false" hidden="true" name="IQ_MI_RECOV_ATTRIB_RESOURCES_STEAM" vbProcedure="false">"c9788"</definedName>
    <definedName function="false" hidden="true" name="IQ_MI_RECOV_ATTRIB_RESOURCES_TITAN" vbProcedure="false">"c9562"</definedName>
    <definedName function="false" hidden="true" name="IQ_MI_RECOV_ATTRIB_RESOURCES_URAN" vbProcedure="false">"c9615"</definedName>
    <definedName function="false" hidden="true" name="IQ_MI_RECOV_ATTRIB_RESOURCES_ZINC" vbProcedure="false">"c9350"</definedName>
    <definedName function="false" hidden="true" name="IQ_MI_RESOURCES_CALORIFIC_VALUE_COAL" vbProcedure="false">"c9808"</definedName>
    <definedName function="false" hidden="true" name="IQ_MI_RESOURCES_CALORIFIC_VALUE_MET_COAL" vbProcedure="false">"c9748"</definedName>
    <definedName function="false" hidden="true" name="IQ_MI_RESOURCES_CALORIFIC_VALUE_STEAM" vbProcedure="false">"c9778"</definedName>
    <definedName function="false" hidden="true" name="IQ_MKTCAP_EBT_EXCL" vbProcedure="false">"c737"</definedName>
    <definedName function="false" hidden="true" name="IQ_MKTCAP_EBT_EXCL_AVG" vbProcedure="false">"c738"</definedName>
    <definedName function="false" hidden="true" name="IQ_MKTCAP_EBT_INCL_AVG" vbProcedure="false">"c739"</definedName>
    <definedName function="false" hidden="true" name="IQ_MKTCAP_TOTAL_REV" vbProcedure="false">"c740"</definedName>
    <definedName function="false" hidden="true" name="IQ_MKTCAP_TOTAL_REV_AVG" vbProcedure="false">"c741"</definedName>
    <definedName function="false" hidden="true" name="IQ_MKTCAP_TOTAL_REV_FWD" vbProcedure="false">"c742"</definedName>
    <definedName function="false" hidden="true" name="IQ_MKTCAP_TOTAL_REV_FWD_CIQ" vbProcedure="false">"c4041"</definedName>
    <definedName function="false" hidden="true" name="IQ_MKTCAP_TOTAL_REV_FWD_REUT" vbProcedure="false">"c4048"</definedName>
    <definedName function="false" hidden="true" name="IQ_MKTCAP_TOTAL_REV_FWD_THOM" vbProcedure="false">"c4055"</definedName>
    <definedName function="false" hidden="true" name="IQ_MMDA_NON_TRANS_ACCTS_FFIEC" vbProcedure="false">"c15330"</definedName>
    <definedName function="false" hidden="true" name="IQ_MMDA_SAVINGS_TOT_DEPOSITS_FFIEC" vbProcedure="false">"c13905"</definedName>
    <definedName function="false" hidden="true" name="IQ_MM_ACCOUNT" vbProcedure="false">"c743"</definedName>
    <definedName function="false" hidden="true" name="IQ_MM_ACCRETION_EXPENSE" vbProcedure="false">"c9845"</definedName>
    <definedName function="false" hidden="true" name="IQ_MM_ARO_BEG" vbProcedure="false">"c9842"</definedName>
    <definedName function="false" hidden="true" name="IQ_MM_ARO_TOTAL" vbProcedure="false">"c9850"</definedName>
    <definedName function="false" hidden="true" name="IQ_MM_CURRENT_PORT_ARO" vbProcedure="false">"c9851"</definedName>
    <definedName function="false" hidden="true" name="IQ_MM_DEVELOPED_ACREAGE" vbProcedure="false">"c9832"</definedName>
    <definedName function="false" hidden="true" name="IQ_MM_DEVELOPED_SQ_KMS" vbProcedure="false">"c9831"</definedName>
    <definedName function="false" hidden="true" name="IQ_MM_DEVELOPED_SQ_MILES" vbProcedure="false">"c9833"</definedName>
    <definedName function="false" hidden="true" name="IQ_MM_EXPLORATION_EXPENDITURE_TOT" vbProcedure="false">"c9840"</definedName>
    <definedName function="false" hidden="true" name="IQ_MM_FX_ADJUSTMENT" vbProcedure="false">"c9847"</definedName>
    <definedName function="false" hidden="true" name="IQ_MM_LIABILITIES_INCURRED_ACQUIRED" vbProcedure="false">"c9843"</definedName>
    <definedName function="false" hidden="true" name="IQ_MM_LIABILITIES_REL_SPIN_OFFS" vbProcedure="false">"c9848"</definedName>
    <definedName function="false" hidden="true" name="IQ_MM_LIABILITIES_SETTLED_DISPOSED" vbProcedure="false">"c9844"</definedName>
    <definedName function="false" hidden="true" name="IQ_MM_NON_CURRENT_PORT_ARO" vbProcedure="false">"c9852"</definedName>
    <definedName function="false" hidden="true" name="IQ_MM_NUMBER_MINES" vbProcedure="false">"c9839"</definedName>
    <definedName function="false" hidden="true" name="IQ_MM_OTHER_ADJUSTMENTS_ARO" vbProcedure="false">"c9849"</definedName>
    <definedName function="false" hidden="true" name="IQ_MM_REMAINING_MINE_LIFE" vbProcedure="false">"c9838"</definedName>
    <definedName function="false" hidden="true" name="IQ_MM_RESOURCES_INCL_EXCL_RESERVES" vbProcedure="false">"c9841"</definedName>
    <definedName function="false" hidden="true" name="IQ_MM_REVISIONS_ESTIMATE" vbProcedure="false">"c9846"</definedName>
    <definedName function="false" hidden="true" name="IQ_MM_STRIPPING_RATIO" vbProcedure="false">"c9837"</definedName>
    <definedName function="false" hidden="true" name="IQ_MM_UNDEVELOPED_ACREAGE" vbProcedure="false">"c9835"</definedName>
    <definedName function="false" hidden="true" name="IQ_MM_UNDEVELOPED_SQ_KMS" vbProcedure="false">"c9834"</definedName>
    <definedName function="false" hidden="true" name="IQ_MM_UNDEVELOPED_SQ_MILES" vbProcedure="false">"c9836"</definedName>
    <definedName function="false" hidden="true" name="IQ_MONEY_MARKET_ACCOUNTS_COMMERCIAL_BANK_SUBS_FFIEC" vbProcedure="false">"c12947"</definedName>
    <definedName function="false" hidden="true" name="IQ_MONEY_MARKET_ACCOUNTS_OTHER_INSTITUTIONS_FFIEC" vbProcedure="false">"c12952"</definedName>
    <definedName function="false" hidden="true" name="IQ_MONEY_MARKET_DEPOSIT_ACCOUNTS_FDIC" vbProcedure="false">"c6553"</definedName>
    <definedName function="false" hidden="true" name="IQ_MONEY_MKT_DEPOSITS_TOTAL_DEPOSITS" vbProcedure="false">"c15720"</definedName>
    <definedName function="false" hidden="true" name="IQ_MONEY_MKT_SAVINGS_ACCT_DEPOSITS_TOTAL_DEPOSITS" vbProcedure="false">"c15722"</definedName>
    <definedName function="false" hidden="true" name="IQ_MONTH" vbProcedure="false">15000</definedName>
    <definedName function="false" hidden="true" name="IQ_MORTGAGE_BACKED_SECURITIES_FDIC" vbProcedure="false">"c6402"</definedName>
    <definedName function="false" hidden="true" name="IQ_MORTGAGE_DEBT_UNDER_CAPITAL_LEASES_FFIEC" vbProcedure="false">"c15276"</definedName>
    <definedName function="false" hidden="true" name="IQ_MORTGAGE_SERVICING_ASSETS_FFIEC" vbProcedure="false">"c12838"</definedName>
    <definedName function="false" hidden="true" name="IQ_MORTGAGE_SERVICING_FDIC" vbProcedure="false">"c6335"</definedName>
    <definedName function="false" hidden="true" name="IQ_MORTGAGE_SERV_RIGHTS" vbProcedure="false">"c2242"</definedName>
    <definedName function="false" hidden="true" name="IQ_MORT_BANKING_FEE" vbProcedure="false">"c745"</definedName>
    <definedName function="false" hidden="true" name="IQ_MORT_BANK_ACT" vbProcedure="false">"c744"</definedName>
    <definedName function="false" hidden="true" name="IQ_MORT_INT_INC" vbProcedure="false">"c746"</definedName>
    <definedName function="false" hidden="true" name="IQ_MORT_LOANS" vbProcedure="false">"c747"</definedName>
    <definedName function="false" hidden="true" name="IQ_MORT_SECURITY" vbProcedure="false">"c748"</definedName>
    <definedName function="false" hidden="true" name="IQ_MTD" vbProcedure="false">800000</definedName>
    <definedName function="false" hidden="true" name="IQ_MTM_ADJ" vbProcedure="false">"c16000"</definedName>
    <definedName function="false" hidden="true" name="IQ_MULTIFAMILY_LOANS_GROSS_LOANS_FFIEC" vbProcedure="false">"c13404"</definedName>
    <definedName function="false" hidden="true" name="IQ_MULTIFAMILY_LOANS_RISK_BASED_FFIEC" vbProcedure="false">"c13425"</definedName>
    <definedName function="false" hidden="true" name="IQ_MULTIFAMILY_RESIDENTIAL_LOANS_FDIC" vbProcedure="false">"c6311"</definedName>
    <definedName function="false" hidden="true" name="IQ_MULTIFAMILY_RES_DOM_FFIEC" vbProcedure="false">"c15270"</definedName>
    <definedName function="false" hidden="true" name="IQ_MULTIFAM_5_LOANS_TOT_LOANS_FFIEC" vbProcedure="false">"c13869"</definedName>
    <definedName function="false" hidden="true" name="IQ_MULTI_RES_PROPERTIES_TRADING_DOM_FFIEC" vbProcedure="false">"c12930"</definedName>
    <definedName function="false" hidden="true" name="IQ_MUNICIPAL_INVEST_SECURITIES_FFIEC" vbProcedure="false">"c13459"</definedName>
    <definedName function="false" hidden="true" name="IQ_MUNI_ADVALOREM_TAX" vbProcedure="false">"c15144"</definedName>
    <definedName function="false" hidden="true" name="IQ_MUNI_AMT_TAX" vbProcedure="false">"c15146"</definedName>
    <definedName function="false" hidden="true" name="IQ_MUNI_BANK_QUALIFIED" vbProcedure="false">"c15148"</definedName>
    <definedName function="false" hidden="true" name="IQ_MUNI_DEP_TRUST_ELIGIBLE" vbProcedure="false">"c15149"</definedName>
    <definedName function="false" hidden="true" name="IQ_MUNI_ECONOMIC_DEFEASANCE" vbProcedure="false">"c15151"</definedName>
    <definedName function="false" hidden="true" name="IQ_MUNI_ESCROW" vbProcedure="false">"c15228"</definedName>
    <definedName function="false" hidden="true" name="IQ_MUNI_FED_TAX" vbProcedure="false">"c15147"</definedName>
    <definedName function="false" hidden="true" name="IQ_MUNI_LEGAL_DEFEASANCE" vbProcedure="false">"c15150"</definedName>
    <definedName function="false" hidden="true" name="IQ_MUNI_OFFERING_TYPE" vbProcedure="false">"c15143"</definedName>
    <definedName function="false" hidden="true" name="IQ_MUNI_OPTIONAL_REDEMPTION_DEFEASANCE" vbProcedure="false">"c15152"</definedName>
    <definedName function="false" hidden="true" name="IQ_MUNI_PRE_REFUNDED_DATE" vbProcedure="false">"c15154"</definedName>
    <definedName function="false" hidden="true" name="IQ_MUNI_PRE_REFUNDED_DATED_DATE" vbProcedure="false">"c15156"</definedName>
    <definedName function="false" hidden="true" name="IQ_MUNI_PRE_REFUNDED_PRICE" vbProcedure="false">"c15155"</definedName>
    <definedName function="false" hidden="true" name="IQ_MUNI_PRE_REFUNDED_TYPE" vbProcedure="false">"c15153"</definedName>
    <definedName function="false" hidden="true" name="IQ_MUNI_PURPOSE" vbProcedure="false">"c15226"</definedName>
    <definedName function="false" hidden="true" name="IQ_MUNI_STATE_TAX" vbProcedure="false">"c15145"</definedName>
    <definedName function="false" hidden="true" name="IQ_MUNI_TERRITORY" vbProcedure="false">"c15142"</definedName>
    <definedName function="false" hidden="true" name="IQ_MUNI_TYPE" vbProcedure="false">"c15227"</definedName>
    <definedName function="false" hidden="true" name="IQ_MUTUAL_FUND_ACQUISITIONS_OTHER" vbProcedure="false">"c20425"</definedName>
    <definedName function="false" hidden="true" name="IQ_MUTUAL_FUND_APPRECIATION_DEPRECIATION" vbProcedure="false">"c20424"</definedName>
    <definedName function="false" hidden="true" name="IQ_MUTUAL_FUND_BOP" vbProcedure="false">"c20420"</definedName>
    <definedName function="false" hidden="true" name="IQ_MUTUAL_FUND_EOP" vbProcedure="false">"c20426"</definedName>
    <definedName function="false" hidden="true" name="IQ_MUTUAL_FUND_LIST" vbProcedure="false">"c19092"</definedName>
    <definedName function="false" hidden="true" name="IQ_MUTUAL_FUND_NET_SALES" vbProcedure="false">"c20423"</definedName>
    <definedName function="false" hidden="true" name="IQ_MUTUAL_FUND_REDEMPTIONS" vbProcedure="false">"c20422"</definedName>
    <definedName function="false" hidden="true" name="IQ_MUTUAL_FUND_SALES" vbProcedure="false">"c20421"</definedName>
    <definedName function="false" hidden="true" name="IQ_NAMES_REVISION_DATE_" vbProcedure="false">42377.7128587963</definedName>
    <definedName function="false" hidden="true" name="IQ_NAPM_BUS_CONDITIONS" vbProcedure="false">"c6921"</definedName>
    <definedName function="false" hidden="true" name="IQ_NAPM_BUS_CONDITIONS_APR" vbProcedure="false">"c7581"</definedName>
    <definedName function="false" hidden="true" name="IQ_NAPM_BUS_CONDITIONS_APR_FC" vbProcedure="false">"c8461"</definedName>
    <definedName function="false" hidden="true" name="IQ_NAPM_BUS_CONDITIONS_FC" vbProcedure="false">"c7801"</definedName>
    <definedName function="false" hidden="true" name="IQ_NAPM_BUS_CONDITIONS_POP" vbProcedure="false">"c7141"</definedName>
    <definedName function="false" hidden="true" name="IQ_NAPM_BUS_CONDITIONS_POP_FC" vbProcedure="false">"c8021"</definedName>
    <definedName function="false" hidden="true" name="IQ_NAPM_BUS_CONDITIONS_YOY" vbProcedure="false">"c7361"</definedName>
    <definedName function="false" hidden="true" name="IQ_NAPM_BUS_CONDITIONS_YOY_FC" vbProcedure="false">"c8241"</definedName>
    <definedName function="false" hidden="true" name="IQ_NATIVE_COMPANY_NAME" vbProcedure="false">"c13822"</definedName>
    <definedName function="false" hidden="true" name="IQ_NATURAL_RESOURCES_COST" vbProcedure="false">"c17550"</definedName>
    <definedName function="false" hidden="true" name="IQ_NAV_ACT_OR_EST" vbProcedure="false">"c2225"</definedName>
    <definedName function="false" hidden="true" name="IQ_NAV_ACT_OR_EST_THOM" vbProcedure="false">"c5607"</definedName>
    <definedName function="false" hidden="true" name="IQ_NAV_DET_EST_CURRENCY_THOM" vbProcedure="false">"c12490"</definedName>
    <definedName function="false" hidden="true" name="IQ_NAV_DET_EST_DATE_THOM" vbProcedure="false">"c12241"</definedName>
    <definedName function="false" hidden="true" name="IQ_NAV_DET_EST_INCL_THOM" vbProcedure="false">"c12373"</definedName>
    <definedName function="false" hidden="true" name="IQ_NAV_DET_EST_ORIGIN_THOM" vbProcedure="false">"c12707"</definedName>
    <definedName function="false" hidden="true" name="IQ_NAV_DET_EST_THOM" vbProcedure="false">"c12091"</definedName>
    <definedName function="false" hidden="true" name="IQ_NAV_EST" vbProcedure="false">"c1751"</definedName>
    <definedName function="false" hidden="true" name="IQ_NAV_EST_DOWN_2MONTH" vbProcedure="false">"c16501"</definedName>
    <definedName function="false" hidden="true" name="IQ_NAV_EST_DOWN_3MONTH" vbProcedure="false">"c16505"</definedName>
    <definedName function="false" hidden="true" name="IQ_NAV_EST_DOWN_MONTH" vbProcedure="false">"c16497"</definedName>
    <definedName function="false" hidden="true" name="IQ_NAV_EST_NUM_ANALYSTS_2MONTH" vbProcedure="false">"c16499"</definedName>
    <definedName function="false" hidden="true" name="IQ_NAV_EST_NUM_ANALYSTS_3MONTH" vbProcedure="false">"c16503"</definedName>
    <definedName function="false" hidden="true" name="IQ_NAV_EST_NUM_ANALYSTS_MONTH" vbProcedure="false">"c16495"</definedName>
    <definedName function="false" hidden="true" name="IQ_NAV_EST_THOM" vbProcedure="false">"c5601"</definedName>
    <definedName function="false" hidden="true" name="IQ_NAV_EST_TOTAL_REVISED_2MONTH" vbProcedure="false">"c16502"</definedName>
    <definedName function="false" hidden="true" name="IQ_NAV_EST_TOTAL_REVISED_3MONTH" vbProcedure="false">"c16506"</definedName>
    <definedName function="false" hidden="true" name="IQ_NAV_EST_TOTAL_REVISED_MONTH" vbProcedure="false">"c16498"</definedName>
    <definedName function="false" hidden="true" name="IQ_NAV_EST_UP_2MONTH" vbProcedure="false">"c16500"</definedName>
    <definedName function="false" hidden="true" name="IQ_NAV_EST_UP_3MONTH" vbProcedure="false">"c16504"</definedName>
    <definedName function="false" hidden="true" name="IQ_NAV_EST_UP_MONTH" vbProcedure="false">"c16496"</definedName>
    <definedName function="false" hidden="true" name="IQ_NAV_HIGH_EST" vbProcedure="false">"c1753"</definedName>
    <definedName function="false" hidden="true" name="IQ_NAV_HIGH_EST_THOM" vbProcedure="false">"c5604"</definedName>
    <definedName function="false" hidden="true" name="IQ_NAV_LOW_EST" vbProcedure="false">"c1754"</definedName>
    <definedName function="false" hidden="true" name="IQ_NAV_LOW_EST_THOM" vbProcedure="false">"c5605"</definedName>
    <definedName function="false" hidden="true" name="IQ_NAV_MEDIAN_EST" vbProcedure="false">"c1752"</definedName>
    <definedName function="false" hidden="true" name="IQ_NAV_MEDIAN_EST_THOM" vbProcedure="false">"c5602"</definedName>
    <definedName function="false" hidden="true" name="IQ_NAV_NUM_EST" vbProcedure="false">"c1755"</definedName>
    <definedName function="false" hidden="true" name="IQ_NAV_NUM_EST_THOM" vbProcedure="false">"c5606"</definedName>
    <definedName function="false" hidden="true" name="IQ_NAV_RE" vbProcedure="false">"c15996"</definedName>
    <definedName function="false" hidden="true" name="IQ_NAV_SHARE_ACT_OR_EST" vbProcedure="false">"c2225"</definedName>
    <definedName function="false" hidden="true" name="IQ_NAV_SHARE_ACT_OR_EST_CIQ" vbProcedure="false">"c12038"</definedName>
    <definedName function="false" hidden="true" name="IQ_NAV_SHARE_ACT_OR_EST_REUT" vbProcedure="false">"c5623"</definedName>
    <definedName function="false" hidden="true" name="IQ_NAV_SHARE_DET_EST_CIQ" vbProcedure="false">"c12123"</definedName>
    <definedName function="false" hidden="true" name="IQ_NAV_SHARE_DET_EST_CURRENCY_CIQ" vbProcedure="false">"c12514"</definedName>
    <definedName function="false" hidden="true" name="IQ_NAV_SHARE_DET_EST_DATE_CIQ" vbProcedure="false">"c12269"</definedName>
    <definedName function="false" hidden="true" name="IQ_NAV_SHARE_DET_EST_INCL_CIQ" vbProcedure="false">"c12397"</definedName>
    <definedName function="false" hidden="true" name="IQ_NAV_SHARE_DET_EST_NOTE" vbProcedure="false">"c17540"</definedName>
    <definedName function="false" hidden="true" name="IQ_NAV_SHARE_DET_EST_NOTE_CIQ" vbProcedure="false">"c17493"</definedName>
    <definedName function="false" hidden="true" name="IQ_NAV_SHARE_DET_EST_ORIGIN" vbProcedure="false">"c12585"</definedName>
    <definedName function="false" hidden="true" name="IQ_NAV_SHARE_DET_EST_ORIGIN_CIQ" vbProcedure="false">"c12638"</definedName>
    <definedName function="false" hidden="true" name="IQ_NAV_SHARE_DET_EST_ORIGIN_THOM" vbProcedure="false">"c12611"</definedName>
    <definedName function="false" hidden="true" name="IQ_NAV_SHARE_EST" vbProcedure="false">"c5609"</definedName>
    <definedName function="false" hidden="true" name="IQ_NAV_SHARE_EST_CIQ" vbProcedure="false">"c12032"</definedName>
    <definedName function="false" hidden="true" name="IQ_NAV_SHARE_EST_DOWN_2MONTH" vbProcedure="false">"c16561"</definedName>
    <definedName function="false" hidden="true" name="IQ_NAV_SHARE_EST_DOWN_2MONTH_CIQ" vbProcedure="false">"c16825"</definedName>
    <definedName function="false" hidden="true" name="IQ_NAV_SHARE_EST_DOWN_3MONTH" vbProcedure="false">"c16565"</definedName>
    <definedName function="false" hidden="true" name="IQ_NAV_SHARE_EST_DOWN_3MONTH_CIQ" vbProcedure="false">"c16829"</definedName>
    <definedName function="false" hidden="true" name="IQ_NAV_SHARE_EST_DOWN_MONTH" vbProcedure="false">"c16557"</definedName>
    <definedName function="false" hidden="true" name="IQ_NAV_SHARE_EST_DOWN_MONTH_CIQ" vbProcedure="false">"c16821"</definedName>
    <definedName function="false" hidden="true" name="IQ_NAV_SHARE_EST_NOTE" vbProcedure="false">"c17522"</definedName>
    <definedName function="false" hidden="true" name="IQ_NAV_SHARE_EST_NOTE_CIQ" vbProcedure="false">"c17475"</definedName>
    <definedName function="false" hidden="true" name="IQ_NAV_SHARE_EST_NUM_ANALYSTS_2MONTH" vbProcedure="false">"c16559"</definedName>
    <definedName function="false" hidden="true" name="IQ_NAV_SHARE_EST_NUM_ANALYSTS_2MONTH_CIQ" vbProcedure="false">"c16823"</definedName>
    <definedName function="false" hidden="true" name="IQ_NAV_SHARE_EST_NUM_ANALYSTS_3MONTH" vbProcedure="false">"c16563"</definedName>
    <definedName function="false" hidden="true" name="IQ_NAV_SHARE_EST_NUM_ANALYSTS_3MONTH_CIQ" vbProcedure="false">"c16827"</definedName>
    <definedName function="false" hidden="true" name="IQ_NAV_SHARE_EST_NUM_ANALYSTS_MONTH" vbProcedure="false">"c16555"</definedName>
    <definedName function="false" hidden="true" name="IQ_NAV_SHARE_EST_NUM_ANALYSTS_MONTH_CIQ" vbProcedure="false">"c16819"</definedName>
    <definedName function="false" hidden="true" name="IQ_NAV_SHARE_EST_REUT" vbProcedure="false">"c5617"</definedName>
    <definedName function="false" hidden="true" name="IQ_NAV_SHARE_EST_TOTAL_REVISED_2MONTH" vbProcedure="false">"c16562"</definedName>
    <definedName function="false" hidden="true" name="IQ_NAV_SHARE_EST_TOTAL_REVISED_2MONTH_CIQ" vbProcedure="false">"c16826"</definedName>
    <definedName function="false" hidden="true" name="IQ_NAV_SHARE_EST_TOTAL_REVISED_3MONTH" vbProcedure="false">"c16566"</definedName>
    <definedName function="false" hidden="true" name="IQ_NAV_SHARE_EST_TOTAL_REVISED_3MONTH_CIQ" vbProcedure="false">"c16830"</definedName>
    <definedName function="false" hidden="true" name="IQ_NAV_SHARE_EST_TOTAL_REVISED_MONTH" vbProcedure="false">"c16558"</definedName>
    <definedName function="false" hidden="true" name="IQ_NAV_SHARE_EST_TOTAL_REVISED_MONTH_CIQ" vbProcedure="false">"c16822"</definedName>
    <definedName function="false" hidden="true" name="IQ_NAV_SHARE_EST_UP_2MONTH" vbProcedure="false">"c16560"</definedName>
    <definedName function="false" hidden="true" name="IQ_NAV_SHARE_EST_UP_2MONTH_CIQ" vbProcedure="false">"c16824"</definedName>
    <definedName function="false" hidden="true" name="IQ_NAV_SHARE_EST_UP_3MONTH" vbProcedure="false">"c16564"</definedName>
    <definedName function="false" hidden="true" name="IQ_NAV_SHARE_EST_UP_3MONTH_CIQ" vbProcedure="false">"c16828"</definedName>
    <definedName function="false" hidden="true" name="IQ_NAV_SHARE_EST_UP_MONTH" vbProcedure="false">"c16556"</definedName>
    <definedName function="false" hidden="true" name="IQ_NAV_SHARE_EST_UP_MONTH_CIQ" vbProcedure="false">"c16820"</definedName>
    <definedName function="false" hidden="true" name="IQ_NAV_SHARE_HIGH_EST" vbProcedure="false">"c5612"</definedName>
    <definedName function="false" hidden="true" name="IQ_NAV_SHARE_HIGH_EST_CIQ" vbProcedure="false">"c12035"</definedName>
    <definedName function="false" hidden="true" name="IQ_NAV_SHARE_HIGH_EST_REUT" vbProcedure="false">"c5620"</definedName>
    <definedName function="false" hidden="true" name="IQ_NAV_SHARE_LOW_EST" vbProcedure="false">"c5613"</definedName>
    <definedName function="false" hidden="true" name="IQ_NAV_SHARE_LOW_EST_CIQ" vbProcedure="false">"c12036"</definedName>
    <definedName function="false" hidden="true" name="IQ_NAV_SHARE_LOW_EST_REUT" vbProcedure="false">"c5621"</definedName>
    <definedName function="false" hidden="true" name="IQ_NAV_SHARE_MEDIAN_EST" vbProcedure="false">"c5610"</definedName>
    <definedName function="false" hidden="true" name="IQ_NAV_SHARE_MEDIAN_EST_CIQ" vbProcedure="false">"c12033"</definedName>
    <definedName function="false" hidden="true" name="IQ_NAV_SHARE_MEDIAN_EST_REUT" vbProcedure="false">"c5618"</definedName>
    <definedName function="false" hidden="true" name="IQ_NAV_SHARE_NUM_EST" vbProcedure="false">"c5614"</definedName>
    <definedName function="false" hidden="true" name="IQ_NAV_SHARE_NUM_EST_CIQ" vbProcedure="false">"c12037"</definedName>
    <definedName function="false" hidden="true" name="IQ_NAV_SHARE_NUM_EST_REUT" vbProcedure="false">"c5622"</definedName>
    <definedName function="false" hidden="true" name="IQ_NAV_SHARE_RE" vbProcedure="false">"c16011"</definedName>
    <definedName function="false" hidden="true" name="IQ_NAV_SHARE_STDDEV_EST" vbProcedure="false">"c5611"</definedName>
    <definedName function="false" hidden="true" name="IQ_NAV_SHARE_STDDEV_EST_CIQ" vbProcedure="false">"c12034"</definedName>
    <definedName function="false" hidden="true" name="IQ_NAV_SHARE_STDDEV_EST_REUT" vbProcedure="false">"c5619"</definedName>
    <definedName function="false" hidden="true" name="IQ_NAV_STDDEV_EST" vbProcedure="false">"c1756"</definedName>
    <definedName function="false" hidden="true" name="IQ_NAV_STDDEV_EST_THOM" vbProcedure="false">"c5603"</definedName>
    <definedName function="false" hidden="true" name="IQ_NCLS_CLOSED_END_1_4_FAM_LOANS_TOT_LOANS_FFIEC" vbProcedure="false">"c13891"</definedName>
    <definedName function="false" hidden="true" name="IQ_NCLS_COMM_IND_LOANS_TOT_LOANS_FFIEC" vbProcedure="false">"c13898"</definedName>
    <definedName function="false" hidden="true" name="IQ_NCLS_COMM_RE_FARM_LOANS_TOT_LOANS_FFIEC" vbProcedure="false">"c13897"</definedName>
    <definedName function="false" hidden="true" name="IQ_NCLS_COMM_RE_NONFARM_NONRES_TOT_LOANS_FFIEC" vbProcedure="false">"c13896"</definedName>
    <definedName function="false" hidden="true" name="IQ_NCLS_CONST_LAND_DEV_LOANS_TOT_LOANS_FFIEC" vbProcedure="false">"c13890"</definedName>
    <definedName function="false" hidden="true" name="IQ_NCLS_CONSUMER_LOANS_TOT_LOANS_FFIEC" vbProcedure="false">"c13899"</definedName>
    <definedName function="false" hidden="true" name="IQ_NCLS_FARM_LOANS_TOT_LOANS_FFIEC" vbProcedure="false">"c13895"</definedName>
    <definedName function="false" hidden="true" name="IQ_NCLS_HOME_EQUITY_LOANS_TOT_LOANS_FFIEC" vbProcedure="false">"c13892"</definedName>
    <definedName function="false" hidden="true" name="IQ_NCLS_MULTIFAM_5_LOANS_TOT_LOANS_FFIEC" vbProcedure="false">"c13894"</definedName>
    <definedName function="false" hidden="true" name="IQ_NCLS_TOT_1_4_FAM_LOANS_TOT_LOANS_FFIEC" vbProcedure="false">"c13893"</definedName>
    <definedName function="false" hidden="true" name="IQ_NCLS_TOT_LEASES_TOT_LOANS_FFIEC" vbProcedure="false">"c13900"</definedName>
    <definedName function="false" hidden="true" name="IQ_NCLS_TOT_LOANS_TOT_LOANS_FFIEC" vbProcedure="false">"c13901"</definedName>
    <definedName function="false" hidden="true" name="IQ_NCOS_CLOSED_END_1_4_FAM_LOANS_TOT_LOANS_FFIEC" vbProcedure="false">"c13879"</definedName>
    <definedName function="false" hidden="true" name="IQ_NCOS_COMM_IND_LOANS_TOT_LOANS_FFIEC" vbProcedure="false">"c13886"</definedName>
    <definedName function="false" hidden="true" name="IQ_NCOS_COMM_RE_FARM_LOANS_TOT_LOANS_FFIEC" vbProcedure="false">"c13885"</definedName>
    <definedName function="false" hidden="true" name="IQ_NCOS_COMM_RE_NONFARM_NONRES_TOT_LOANS_FFIEC" vbProcedure="false">"c13884"</definedName>
    <definedName function="false" hidden="true" name="IQ_NCOS_CONST_LAND_DEV_LOANS_TOT_LOANS_FFIEC" vbProcedure="false">"c13878"</definedName>
    <definedName function="false" hidden="true" name="IQ_NCOS_CONSUMER_LOANS_TOT_LOANS_FFIEC" vbProcedure="false">"c13887"</definedName>
    <definedName function="false" hidden="true" name="IQ_NCOS_FARM_LOANS_TOT_LOANS_FFIEC" vbProcedure="false">"c13883"</definedName>
    <definedName function="false" hidden="true" name="IQ_NCOS_HOME_EQUITY_LOANS_TOT_LOANS_FFIEC" vbProcedure="false">"c13880"</definedName>
    <definedName function="false" hidden="true" name="IQ_NCOS_MULTIFAM_5_LOANS_TOT_LOANS_FFIEC" vbProcedure="false">"c13882"</definedName>
    <definedName function="false" hidden="true" name="IQ_NCOS_TOT_1_4_FAM_LOANS_TOT_LOANS_FFIEC" vbProcedure="false">"c13881"</definedName>
    <definedName function="false" hidden="true" name="IQ_NCOS_TOT_LEASES_TOT_LOANS_FFIEC" vbProcedure="false">"c13888"</definedName>
    <definedName function="false" hidden="true" name="IQ_NCOS_TOT_LOANS_TOT_LOANS_FFIEC" vbProcedure="false">"c13889"</definedName>
    <definedName function="false" hidden="true" name="IQ_NEGATIVE_FAIR_VALUE_DERIVATIVES_BENEFICIARY_FFIEC" vbProcedure="false">"c13124"</definedName>
    <definedName function="false" hidden="true" name="IQ_NEGATIVE_FAIR_VALUE_DERIVATIVES_GUARANTOR_FFIEC" vbProcedure="false">"c13117"</definedName>
    <definedName function="false" hidden="true" name="IQ_NET_ADD_BASIC" vbProcedure="false">"c15782"</definedName>
    <definedName function="false" hidden="true" name="IQ_NET_ADD_BBAND" vbProcedure="false">"c15785"</definedName>
    <definedName function="false" hidden="true" name="IQ_NET_ADD_DIG" vbProcedure="false">"c15783"</definedName>
    <definedName function="false" hidden="true" name="IQ_NET_ADD_PHONE" vbProcedure="false">"c15786"</definedName>
    <definedName function="false" hidden="true" name="IQ_NET_ADD_POSTPAID_WIRELESS" vbProcedure="false">"c15754"</definedName>
    <definedName function="false" hidden="true" name="IQ_NET_ADD_PREPAID_WIRELESS" vbProcedure="false">"c15755"</definedName>
    <definedName function="false" hidden="true" name="IQ_NET_ADD_RESELL_WHOLESALE_WIRELESS" vbProcedure="false">"c15756"</definedName>
    <definedName function="false" hidden="true" name="IQ_NET_ADD_RGU" vbProcedure="false">"c15787"</definedName>
    <definedName function="false" hidden="true" name="IQ_NET_ADD_SATELLITE" vbProcedure="false">"c15784"</definedName>
    <definedName function="false" hidden="true" name="IQ_NET_ADD_TOTAL_WIRELESS" vbProcedure="false">"c15757"</definedName>
    <definedName function="false" hidden="true" name="IQ_NET_BOOKING_LOCATION_ADJUSTMENT_FOREIGN_FFIEC" vbProcedure="false">"c15385"</definedName>
    <definedName function="false" hidden="true" name="IQ_NET_CHANGE" vbProcedure="false">"c749"</definedName>
    <definedName function="false" hidden="true" name="IQ_NET_CHARGE_OFFS_FDIC" vbProcedure="false">"c6641"</definedName>
    <definedName function="false" hidden="true" name="IQ_NET_CHARGE_OFFS_LOANS_FDIC" vbProcedure="false">"c6751"</definedName>
    <definedName function="false" hidden="true" name="IQ_NET_CLAIM_ADJ_EXP_RESERVE_BOP" vbProcedure="false">"c15877"</definedName>
    <definedName function="false" hidden="true" name="IQ_NET_CLAIM_EXP_INCUR" vbProcedure="false">"c2757"</definedName>
    <definedName function="false" hidden="true" name="IQ_NET_CLAIM_EXP_INCUR_CY" vbProcedure="false">"c2761"</definedName>
    <definedName function="false" hidden="true" name="IQ_NET_CLAIM_EXP_INCUR_PY" vbProcedure="false">"c2762"</definedName>
    <definedName function="false" hidden="true" name="IQ_NET_CLAIM_EXP_PAID" vbProcedure="false">"c2760"</definedName>
    <definedName function="false" hidden="true" name="IQ_NET_CLAIM_EXP_PAID_CY" vbProcedure="false">"c2763"</definedName>
    <definedName function="false" hidden="true" name="IQ_NET_CLAIM_EXP_PAID_PY" vbProcedure="false">"c2764"</definedName>
    <definedName function="false" hidden="true" name="IQ_NET_CLAIM_EXP_RES" vbProcedure="false">"c2754"</definedName>
    <definedName function="false" hidden="true" name="IQ_NET_DEBT" vbProcedure="false">"c1584"</definedName>
    <definedName function="false" hidden="true" name="IQ_NET_DEBT_ACT_OR_EST" vbProcedure="false">"c3583"</definedName>
    <definedName function="false" hidden="true" name="IQ_NET_DEBT_ACT_OR_EST_CIQ" vbProcedure="false">"c5070"</definedName>
    <definedName function="false" hidden="true" name="IQ_NET_DEBT_ACT_OR_EST_CIQ_COL" vbProcedure="false">"c11717"</definedName>
    <definedName function="false" hidden="true" name="IQ_NET_DEBT_ACT_OR_EST_REUT" vbProcedure="false">"c5473"</definedName>
    <definedName function="false" hidden="true" name="IQ_NET_DEBT_ACT_OR_EST_THOM" vbProcedure="false">"c5309"</definedName>
    <definedName function="false" hidden="true" name="IQ_NET_DEBT_DET_EST" vbProcedure="false">"c12061"</definedName>
    <definedName function="false" hidden="true" name="IQ_NET_DEBT_DET_EST_CIQ" vbProcedure="false">"c12124"</definedName>
    <definedName function="false" hidden="true" name="IQ_NET_DEBT_DET_EST_CURRENCY" vbProcedure="false">"c12468"</definedName>
    <definedName function="false" hidden="true" name="IQ_NET_DEBT_DET_EST_CURRENCY_CIQ" vbProcedure="false">"c12515"</definedName>
    <definedName function="false" hidden="true" name="IQ_NET_DEBT_DET_EST_CURRENCY_THOM" vbProcedure="false">"c12491"</definedName>
    <definedName function="false" hidden="true" name="IQ_NET_DEBT_DET_EST_DATE" vbProcedure="false">"c12214"</definedName>
    <definedName function="false" hidden="true" name="IQ_NET_DEBT_DET_EST_DATE_CIQ" vbProcedure="false">"c12270"</definedName>
    <definedName function="false" hidden="true" name="IQ_NET_DEBT_DET_EST_DATE_THOM" vbProcedure="false">"c12242"</definedName>
    <definedName function="false" hidden="true" name="IQ_NET_DEBT_DET_EST_INCL" vbProcedure="false">"c12351"</definedName>
    <definedName function="false" hidden="true" name="IQ_NET_DEBT_DET_EST_INCL_CIQ" vbProcedure="false">"c12398"</definedName>
    <definedName function="false" hidden="true" name="IQ_NET_DEBT_DET_EST_INCL_THOM" vbProcedure="false">"c12374"</definedName>
    <definedName function="false" hidden="true" name="IQ_NET_DEBT_DET_EST_NOTE" vbProcedure="false">"c17541"</definedName>
    <definedName function="false" hidden="true" name="IQ_NET_DEBT_DET_EST_NOTE_CIQ" vbProcedure="false">"c17494"</definedName>
    <definedName function="false" hidden="true" name="IQ_NET_DEBT_DET_EST_ORIGIN" vbProcedure="false">"c12586"</definedName>
    <definedName function="false" hidden="true" name="IQ_NET_DEBT_DET_EST_ORIGIN_CIQ" vbProcedure="false">"c12639"</definedName>
    <definedName function="false" hidden="true" name="IQ_NET_DEBT_DET_EST_ORIGIN_THOM" vbProcedure="false">"c12612"</definedName>
    <definedName function="false" hidden="true" name="IQ_NET_DEBT_DET_EST_THOM" vbProcedure="false">"c12092"</definedName>
    <definedName function="false" hidden="true" name="IQ_NET_DEBT_EBITDA" vbProcedure="false">"c750"</definedName>
    <definedName function="false" hidden="true" name="IQ_NET_DEBT_EBITDA_CAPEX" vbProcedure="false">"c2949"</definedName>
    <definedName function="false" hidden="true" name="IQ_NET_DEBT_EST" vbProcedure="false">"c3517"</definedName>
    <definedName function="false" hidden="true" name="IQ_NET_DEBT_EST_CIQ" vbProcedure="false">"c3814"</definedName>
    <definedName function="false" hidden="true" name="IQ_NET_DEBT_EST_DOWN_2MONTH" vbProcedure="false">"c16513"</definedName>
    <definedName function="false" hidden="true" name="IQ_NET_DEBT_EST_DOWN_2MONTH_CIQ" vbProcedure="false">"c16777"</definedName>
    <definedName function="false" hidden="true" name="IQ_NET_DEBT_EST_DOWN_3MONTH" vbProcedure="false">"c16517"</definedName>
    <definedName function="false" hidden="true" name="IQ_NET_DEBT_EST_DOWN_3MONTH_CIQ" vbProcedure="false">"c16781"</definedName>
    <definedName function="false" hidden="true" name="IQ_NET_DEBT_EST_DOWN_MONTH" vbProcedure="false">"c16509"</definedName>
    <definedName function="false" hidden="true" name="IQ_NET_DEBT_EST_DOWN_MONTH_CIQ" vbProcedure="false">"c16773"</definedName>
    <definedName function="false" hidden="true" name="IQ_NET_DEBT_EST_NOTE" vbProcedure="false">"c17518"</definedName>
    <definedName function="false" hidden="true" name="IQ_NET_DEBT_EST_NOTE_CIQ" vbProcedure="false">"c17471"</definedName>
    <definedName function="false" hidden="true" name="IQ_NET_DEBT_EST_NUM_ANALYSTS_2MONTH" vbProcedure="false">"c16511"</definedName>
    <definedName function="false" hidden="true" name="IQ_NET_DEBT_EST_NUM_ANALYSTS_2MONTH_CIQ" vbProcedure="false">"c16775"</definedName>
    <definedName function="false" hidden="true" name="IQ_NET_DEBT_EST_NUM_ANALYSTS_3MONTH" vbProcedure="false">"c16515"</definedName>
    <definedName function="false" hidden="true" name="IQ_NET_DEBT_EST_NUM_ANALYSTS_3MONTH_CIQ" vbProcedure="false">"c16779"</definedName>
    <definedName function="false" hidden="true" name="IQ_NET_DEBT_EST_NUM_ANALYSTS_MONTH" vbProcedure="false">"c16507"</definedName>
    <definedName function="false" hidden="true" name="IQ_NET_DEBT_EST_NUM_ANALYSTS_MONTH_CIQ" vbProcedure="false">"c16771"</definedName>
    <definedName function="false" hidden="true" name="IQ_NET_DEBT_EST_REUT" vbProcedure="false">"c3976"</definedName>
    <definedName function="false" hidden="true" name="IQ_NET_DEBT_EST_THOM" vbProcedure="false">"c4027"</definedName>
    <definedName function="false" hidden="true" name="IQ_NET_DEBT_EST_TOTAL_REVISED_2MONTH" vbProcedure="false">"c16514"</definedName>
    <definedName function="false" hidden="true" name="IQ_NET_DEBT_EST_TOTAL_REVISED_2MONTH_CIQ" vbProcedure="false">"c16778"</definedName>
    <definedName function="false" hidden="true" name="IQ_NET_DEBT_EST_TOTAL_REVISED_3MONTH" vbProcedure="false">"c16518"</definedName>
    <definedName function="false" hidden="true" name="IQ_NET_DEBT_EST_TOTAL_REVISED_3MONTH_CIQ" vbProcedure="false">"c16782"</definedName>
    <definedName function="false" hidden="true" name="IQ_NET_DEBT_EST_TOTAL_REVISED_MONTH" vbProcedure="false">"c16510"</definedName>
    <definedName function="false" hidden="true" name="IQ_NET_DEBT_EST_TOTAL_REVISED_MONTH_CIQ" vbProcedure="false">"c16774"</definedName>
    <definedName function="false" hidden="true" name="IQ_NET_DEBT_EST_UP_2MONTH" vbProcedure="false">"c16512"</definedName>
    <definedName function="false" hidden="true" name="IQ_NET_DEBT_EST_UP_2MONTH_CIQ" vbProcedure="false">"c16776"</definedName>
    <definedName function="false" hidden="true" name="IQ_NET_DEBT_EST_UP_3MONTH" vbProcedure="false">"c16516"</definedName>
    <definedName function="false" hidden="true" name="IQ_NET_DEBT_EST_UP_3MONTH_CIQ" vbProcedure="false">"c16780"</definedName>
    <definedName function="false" hidden="true" name="IQ_NET_DEBT_EST_UP_MONTH" vbProcedure="false">"c16508"</definedName>
    <definedName function="false" hidden="true" name="IQ_NET_DEBT_EST_UP_MONTH_CIQ" vbProcedure="false">"c16772"</definedName>
    <definedName function="false" hidden="true" name="IQ_NET_DEBT_GUIDANCE" vbProcedure="false">"c4467"</definedName>
    <definedName function="false" hidden="true" name="IQ_NET_DEBT_GUIDANCE_CIQ" vbProcedure="false">"c5005"</definedName>
    <definedName function="false" hidden="true" name="IQ_NET_DEBT_GUIDANCE_CIQ_COL" vbProcedure="false">"c11652"</definedName>
    <definedName function="false" hidden="true" name="IQ_NET_DEBT_HIGH_EST" vbProcedure="false">"c3518"</definedName>
    <definedName function="false" hidden="true" name="IQ_NET_DEBT_HIGH_EST_CIQ" vbProcedure="false">"c3816"</definedName>
    <definedName function="false" hidden="true" name="IQ_NET_DEBT_HIGH_EST_REUT" vbProcedure="false">"c3978"</definedName>
    <definedName function="false" hidden="true" name="IQ_NET_DEBT_HIGH_EST_THOM" vbProcedure="false">"c4029"</definedName>
    <definedName function="false" hidden="true" name="IQ_NET_DEBT_HIGH_GUIDANCE" vbProcedure="false">"c4181"</definedName>
    <definedName function="false" hidden="true" name="IQ_NET_DEBT_HIGH_GUIDANCE_CIQ" vbProcedure="false">"c4593"</definedName>
    <definedName function="false" hidden="true" name="IQ_NET_DEBT_HIGH_GUIDANCE_CIQ_COL" vbProcedure="false">"c11242"</definedName>
    <definedName function="false" hidden="true" name="IQ_NET_DEBT_ISSUED" vbProcedure="false">"c751"</definedName>
    <definedName function="false" hidden="true" name="IQ_NET_DEBT_ISSUED_BNK" vbProcedure="false">"c752"</definedName>
    <definedName function="false" hidden="true" name="IQ_NET_DEBT_ISSUED_BR" vbProcedure="false">"c753"</definedName>
    <definedName function="false" hidden="true" name="IQ_NET_DEBT_ISSUED_FIN" vbProcedure="false">"c754"</definedName>
    <definedName function="false" hidden="true" name="IQ_NET_DEBT_ISSUED_INS" vbProcedure="false">"c755"</definedName>
    <definedName function="false" hidden="true" name="IQ_NET_DEBT_ISSUED_RE" vbProcedure="false">"c6238"</definedName>
    <definedName function="false" hidden="true" name="IQ_NET_DEBT_ISSUED_REIT" vbProcedure="false">"c756"</definedName>
    <definedName function="false" hidden="true" name="IQ_NET_DEBT_ISSUED_UTI" vbProcedure="false">"c757"</definedName>
    <definedName function="false" hidden="true" name="IQ_NET_DEBT_LOW_EST" vbProcedure="false">"c3519"</definedName>
    <definedName function="false" hidden="true" name="IQ_NET_DEBT_LOW_EST_CIQ" vbProcedure="false">"c3817"</definedName>
    <definedName function="false" hidden="true" name="IQ_NET_DEBT_LOW_EST_REUT" vbProcedure="false">"c3979"</definedName>
    <definedName function="false" hidden="true" name="IQ_NET_DEBT_LOW_EST_THOM" vbProcedure="false">"c4030"</definedName>
    <definedName function="false" hidden="true" name="IQ_NET_DEBT_LOW_GUIDANCE" vbProcedure="false">"c4221"</definedName>
    <definedName function="false" hidden="true" name="IQ_NET_DEBT_LOW_GUIDANCE_CIQ" vbProcedure="false">"c4633"</definedName>
    <definedName function="false" hidden="true" name="IQ_NET_DEBT_LOW_GUIDANCE_CIQ_COL" vbProcedure="false">"c11282"</definedName>
    <definedName function="false" hidden="true" name="IQ_NET_DEBT_MEDIAN_EST" vbProcedure="false">"c3520"</definedName>
    <definedName function="false" hidden="true" name="IQ_NET_DEBT_MEDIAN_EST_CIQ" vbProcedure="false">"c3815"</definedName>
    <definedName function="false" hidden="true" name="IQ_NET_DEBT_MEDIAN_EST_REUT" vbProcedure="false">"c3977"</definedName>
    <definedName function="false" hidden="true" name="IQ_NET_DEBT_MEDIAN_EST_THOM" vbProcedure="false">"c4028"</definedName>
    <definedName function="false" hidden="true" name="IQ_NET_DEBT_NUM_EST" vbProcedure="false">"c3515"</definedName>
    <definedName function="false" hidden="true" name="IQ_NET_DEBT_NUM_EST_CIQ" vbProcedure="false">"c3818"</definedName>
    <definedName function="false" hidden="true" name="IQ_NET_DEBT_NUM_EST_REUT" vbProcedure="false">"c3980"</definedName>
    <definedName function="false" hidden="true" name="IQ_NET_DEBT_NUM_EST_THOM" vbProcedure="false">"c4031"</definedName>
    <definedName function="false" hidden="true" name="IQ_NET_DEBT_STDDEV_EST" vbProcedure="false">"c3516"</definedName>
    <definedName function="false" hidden="true" name="IQ_NET_DEBT_STDDEV_EST_CIQ" vbProcedure="false">"c3819"</definedName>
    <definedName function="false" hidden="true" name="IQ_NET_DEBT_STDDEV_EST_REUT" vbProcedure="false">"c3981"</definedName>
    <definedName function="false" hidden="true" name="IQ_NET_DEBT_STDDEV_EST_THOM" vbProcedure="false">"c4032"</definedName>
    <definedName function="false" hidden="true" name="IQ_NET_EARNED" vbProcedure="false">"c2734"</definedName>
    <definedName function="false" hidden="true" name="IQ_NET_FUNDS_PURCHASED_ASSETS_TOT_FFIEC" vbProcedure="false">"c13448"</definedName>
    <definedName function="false" hidden="true" name="IQ_NET_GAIN_LOSS_OREO_EXP_FFIEC" vbProcedure="false">"c15370"</definedName>
    <definedName function="false" hidden="true" name="IQ_NET_GAIN_LOSS_OREO_INC_FFIEC" vbProcedure="false">"c15367"</definedName>
    <definedName function="false" hidden="true" name="IQ_NET_GAIN_LOSS_SALES_LOANS_EXP_FFIEC" vbProcedure="false">"c15371"</definedName>
    <definedName function="false" hidden="true" name="IQ_NET_GAIN_LOSS_SALES_LOANS_INC_FFIEC" vbProcedure="false">"c15368"</definedName>
    <definedName function="false" hidden="true" name="IQ_NET_GAIN_SALE_PREMISES_FIXED_ASSETS_EXP_FFIEC" vbProcedure="false">"c15372"</definedName>
    <definedName function="false" hidden="true" name="IQ_NET_GAIN_SALE_PREMISES_FIXED_ASSETS_INC_FFIEC" vbProcedure="false">"c15369"</definedName>
    <definedName function="false" hidden="true" name="IQ_NET_INC" vbProcedure="false">"c1394"</definedName>
    <definedName function="false" hidden="true" name="IQ_NET_INCOME_FDIC" vbProcedure="false">"c6587"</definedName>
    <definedName function="false" hidden="true" name="IQ_NET_INCOME_HOMEBUILDING_SALES" vbProcedure="false">"c15818"</definedName>
    <definedName function="false" hidden="true" name="IQ_NET_INCOME_LH_FFIEC" vbProcedure="false">"c13110"</definedName>
    <definedName function="false" hidden="true" name="IQ_NET_INCOME_PC_FFIEC" vbProcedure="false">"c13103"</definedName>
    <definedName function="false" hidden="true" name="IQ_NET_INCOME_SHE_FFIEC" vbProcedure="false">"c12960"</definedName>
    <definedName function="false" hidden="true" name="IQ_NET_INC_10K" vbProcedure="false">"IQ_NET_INC_10K"</definedName>
    <definedName function="false" hidden="true" name="IQ_NET_INC_10Q" vbProcedure="false">"IQ_NET_INC_10Q"</definedName>
    <definedName function="false" hidden="true" name="IQ_NET_INC_10Q1" vbProcedure="false">"IQ_NET_INC_10Q1"</definedName>
    <definedName function="false" hidden="true" name="IQ_NET_INC_BEFORE" vbProcedure="false">"c1368"</definedName>
    <definedName function="false" hidden="true" name="IQ_NET_INC_CF" vbProcedure="false">"c1397"</definedName>
    <definedName function="false" hidden="true" name="IQ_NET_INC_GROWTH_1" vbProcedure="false">"IQ_NET_INC_GROWTH_1"</definedName>
    <definedName function="false" hidden="true" name="IQ_NET_INC_GROWTH_2" vbProcedure="false">"IQ_NET_INC_GROWTH_2"</definedName>
    <definedName function="false" hidden="true" name="IQ_NET_INC_MARGIN" vbProcedure="false">"c1398"</definedName>
    <definedName function="false" hidden="true" name="IQ_NET_INTEREST_EXP" vbProcedure="false">"c769"</definedName>
    <definedName function="false" hidden="true" name="IQ_NET_INTEREST_EXP_RE" vbProcedure="false">"c6239"</definedName>
    <definedName function="false" hidden="true" name="IQ_NET_INTEREST_EXP_REIT" vbProcedure="false">"c770"</definedName>
    <definedName function="false" hidden="true" name="IQ_NET_INTEREST_EXP_UTI" vbProcedure="false">"c771"</definedName>
    <definedName function="false" hidden="true" name="IQ_NET_INTEREST_INC" vbProcedure="false">"c1392"</definedName>
    <definedName function="false" hidden="true" name="IQ_NET_INTEREST_INC_AFTER_LL" vbProcedure="false">"c1604"</definedName>
    <definedName function="false" hidden="true" name="IQ_NET_INTEREST_INC_INTERNATIONAL_OPS_FFIEC" vbProcedure="false">"c15375"</definedName>
    <definedName function="false" hidden="true" name="IQ_NET_INTEREST_MARGIN_FDIC" vbProcedure="false">"c6726"</definedName>
    <definedName function="false" hidden="true" name="IQ_NET_INT_INCOME_AVG_ASSET" vbProcedure="false">"c15706"</definedName>
    <definedName function="false" hidden="true" name="IQ_NET_INT_INCOME_FFIEC" vbProcedure="false">"c13001"</definedName>
    <definedName function="false" hidden="true" name="IQ_NET_INT_INCOME_FTE_FFIEC" vbProcedure="false">"c13036"</definedName>
    <definedName function="false" hidden="true" name="IQ_NET_INT_INC_10YR_ANN_CAGR" vbProcedure="false">"c6100"</definedName>
    <definedName function="false" hidden="true" name="IQ_NET_INT_INC_10YR_ANN_GROWTH" vbProcedure="false">"c758"</definedName>
    <definedName function="false" hidden="true" name="IQ_NET_INT_INC_1YR_ANN_GROWTH" vbProcedure="false">"c759"</definedName>
    <definedName function="false" hidden="true" name="IQ_NET_INT_INC_2YR_ANN_CAGR" vbProcedure="false">"c6101"</definedName>
    <definedName function="false" hidden="true" name="IQ_NET_INT_INC_2YR_ANN_GROWTH" vbProcedure="false">"c760"</definedName>
    <definedName function="false" hidden="true" name="IQ_NET_INT_INC_3YR_ANN_CAGR" vbProcedure="false">"c6102"</definedName>
    <definedName function="false" hidden="true" name="IQ_NET_INT_INC_3YR_ANN_GROWTH" vbProcedure="false">"c761"</definedName>
    <definedName function="false" hidden="true" name="IQ_NET_INT_INC_5YR_ANN_CAGR" vbProcedure="false">"c6103"</definedName>
    <definedName function="false" hidden="true" name="IQ_NET_INT_INC_5YR_ANN_GROWTH" vbProcedure="false">"c762"</definedName>
    <definedName function="false" hidden="true" name="IQ_NET_INT_INC_7YR_ANN_CAGR" vbProcedure="false">"c6104"</definedName>
    <definedName function="false" hidden="true" name="IQ_NET_INT_INC_7YR_ANN_GROWTH" vbProcedure="false">"c763"</definedName>
    <definedName function="false" hidden="true" name="IQ_NET_INT_INC_AFTER_LL_BNK_SUBTOTAL_AP" vbProcedure="false">"c8979"</definedName>
    <definedName function="false" hidden="true" name="IQ_NET_INT_INC_BNK" vbProcedure="false">"c764"</definedName>
    <definedName function="false" hidden="true" name="IQ_NET_INT_INC_BNK_AP" vbProcedure="false">"c8874"</definedName>
    <definedName function="false" hidden="true" name="IQ_NET_INT_INC_BNK_AP_ABS" vbProcedure="false">"c8893"</definedName>
    <definedName function="false" hidden="true" name="IQ_NET_INT_INC_BNK_FDIC" vbProcedure="false">"c6570"</definedName>
    <definedName function="false" hidden="true" name="IQ_NET_INT_INC_BNK_NAME_AP" vbProcedure="false">"c8912"</definedName>
    <definedName function="false" hidden="true" name="IQ_NET_INT_INC_BNK_NAME_AP_ABS" vbProcedure="false">"c8931"</definedName>
    <definedName function="false" hidden="true" name="IQ_NET_INT_INC_BNK_SUBTOTAL_AP" vbProcedure="false">"c8978"</definedName>
    <definedName function="false" hidden="true" name="IQ_NET_INT_INC_BR" vbProcedure="false">"c765"</definedName>
    <definedName function="false" hidden="true" name="IQ_NET_INT_INC_FIN" vbProcedure="false">"c766"</definedName>
    <definedName function="false" hidden="true" name="IQ_NET_INT_INC_TOTAL_REV" vbProcedure="false">"c767"</definedName>
    <definedName function="false" hidden="true" name="IQ_NET_INT_MARGIN" vbProcedure="false">"c768"</definedName>
    <definedName function="false" hidden="true" name="IQ_NET_LIFE_INS_IN_FORCE" vbProcedure="false">"c2769"</definedName>
    <definedName function="false" hidden="true" name="IQ_NET_LOANS" vbProcedure="false">"c772"</definedName>
    <definedName function="false" hidden="true" name="IQ_NET_LOANS_10YR_ANN_CAGR" vbProcedure="false">"c6105"</definedName>
    <definedName function="false" hidden="true" name="IQ_NET_LOANS_10YR_ANN_GROWTH" vbProcedure="false">"c773"</definedName>
    <definedName function="false" hidden="true" name="IQ_NET_LOANS_1YR_ANN_GROWTH" vbProcedure="false">"c774"</definedName>
    <definedName function="false" hidden="true" name="IQ_NET_LOANS_2YR_ANN_CAGR" vbProcedure="false">"c6106"</definedName>
    <definedName function="false" hidden="true" name="IQ_NET_LOANS_2YR_ANN_GROWTH" vbProcedure="false">"c775"</definedName>
    <definedName function="false" hidden="true" name="IQ_NET_LOANS_3YR_ANN_CAGR" vbProcedure="false">"c6107"</definedName>
    <definedName function="false" hidden="true" name="IQ_NET_LOANS_3YR_ANN_GROWTH" vbProcedure="false">"c776"</definedName>
    <definedName function="false" hidden="true" name="IQ_NET_LOANS_5YR_ANN_CAGR" vbProcedure="false">"c6108"</definedName>
    <definedName function="false" hidden="true" name="IQ_NET_LOANS_5YR_ANN_GROWTH" vbProcedure="false">"c777"</definedName>
    <definedName function="false" hidden="true" name="IQ_NET_LOANS_7YR_ANN_CAGR" vbProcedure="false">"c6109"</definedName>
    <definedName function="false" hidden="true" name="IQ_NET_LOANS_7YR_ANN_GROWTH" vbProcedure="false">"c778"</definedName>
    <definedName function="false" hidden="true" name="IQ_NET_LOANS_CORE_DEPOSITS_FFIEC" vbProcedure="false">"c13341"</definedName>
    <definedName function="false" hidden="true" name="IQ_NET_LOANS_DEPOSITS_FFIEC" vbProcedure="false">"c13340"</definedName>
    <definedName function="false" hidden="true" name="IQ_NET_LOANS_EQUITY_FFIEC" vbProcedure="false">"c13347"</definedName>
    <definedName function="false" hidden="true" name="IQ_NET_LOANS_LEASES_CORE_DEPOSITS_FDIC" vbProcedure="false">"c6743"</definedName>
    <definedName function="false" hidden="true" name="IQ_NET_LOANS_LEASES_DEPOSITS_FDIC" vbProcedure="false">"c6742"</definedName>
    <definedName function="false" hidden="true" name="IQ_NET_LOANS_TOTAL_DEPOSITS" vbProcedure="false">"c779"</definedName>
    <definedName function="false" hidden="true" name="IQ_NET_LOSSES" vbProcedure="false">"c15873"</definedName>
    <definedName function="false" hidden="true" name="IQ_NET_NEW_CLIENT_ASSETS" vbProcedure="false">"c20430"</definedName>
    <definedName function="false" hidden="true" name="IQ_NET_NONINTEREST_INC_EXP_INTERNATIONAL_OPS_FFIEC" vbProcedure="false">"c15387"</definedName>
    <definedName function="false" hidden="true" name="IQ_NET_OPERATING_INCOME_ASSETS_FDIC" vbProcedure="false">"c6729"</definedName>
    <definedName function="false" hidden="true" name="IQ_NET_PREMIUMS_WRITTEN_AVG_ASSETS" vbProcedure="false">"c15888"</definedName>
    <definedName function="false" hidden="true" name="IQ_NET_PREMIUMS_WRITTEN_AVG_EQUITY" vbProcedure="false">"c15891"</definedName>
    <definedName function="false" hidden="true" name="IQ_NET_PREMIUMS_WRITTEN_AVG_STATUTORY_SURPLUS" vbProcedure="false">"c15890"</definedName>
    <definedName function="false" hidden="true" name="IQ_NET_PREMIUMS_WRITTEN_GROSS_PREMIUMS_WRITTEN" vbProcedure="false">"c15889"</definedName>
    <definedName function="false" hidden="true" name="IQ_NET_PREMIUM_WRITTEN_STATUTORY_SURPLUS" vbProcedure="false">"c15880"</definedName>
    <definedName function="false" hidden="true" name="IQ_NET_RENTAL_EXP_FN" vbProcedure="false">"c780"</definedName>
    <definedName function="false" hidden="true" name="IQ_NET_SECURITIZATION_INCOME_FDIC" vbProcedure="false">"c6669"</definedName>
    <definedName function="false" hidden="true" name="IQ_NET_SECURITIZATION_INC_FOREIGN_FFIEC" vbProcedure="false">"c15379"</definedName>
    <definedName function="false" hidden="true" name="IQ_NET_SERVICING_FEES_FDIC" vbProcedure="false">"c6668"</definedName>
    <definedName function="false" hidden="true" name="IQ_NET_TO_GROSS_EARNED" vbProcedure="false">"c2750"</definedName>
    <definedName function="false" hidden="true" name="IQ_NET_TO_GROSS_WRITTEN" vbProcedure="false">"c2729"</definedName>
    <definedName function="false" hidden="true" name="IQ_NET_WORKING_CAP" vbProcedure="false">"c3493"</definedName>
    <definedName function="false" hidden="true" name="IQ_NET_WRITTEN" vbProcedure="false">"c2728"</definedName>
    <definedName function="false" hidden="true" name="IQ_NEWS" vbProcedure="false">"c13743"</definedName>
    <definedName function="false" hidden="true" name="IQ_NEWS_DATE" vbProcedure="false">"c13746"</definedName>
    <definedName function="false" hidden="true" name="IQ_NEWS_SOURCE" vbProcedure="false">"c13745"</definedName>
    <definedName function="false" hidden="true" name="IQ_NEWS_TIME" vbProcedure="false">"c13759"</definedName>
    <definedName function="false" hidden="true" name="IQ_NEWS_URL" vbProcedure="false">"c13744"</definedName>
    <definedName function="false" hidden="true" name="IQ_NEW_PREM" vbProcedure="false">"c2785"</definedName>
    <definedName function="false" hidden="true" name="IQ_NEXT_CALL_DATE" vbProcedure="false">"c2198"</definedName>
    <definedName function="false" hidden="true" name="IQ_NEXT_CALL_PRICE" vbProcedure="false">"c2199"</definedName>
    <definedName function="false" hidden="true" name="IQ_NEXT_DIV_AMOUNT" vbProcedure="false">"c17414"</definedName>
    <definedName function="false" hidden="true" name="IQ_NEXT_DIV_PAYMENT_DATE" vbProcedure="false">"c17413"</definedName>
    <definedName function="false" hidden="true" name="IQ_NEXT_DIV_PAYMENT_TYPE" vbProcedure="false">"c17415"</definedName>
    <definedName function="false" hidden="true" name="IQ_NEXT_DIV_RECORD_DATE" vbProcedure="false">"c17412"</definedName>
    <definedName function="false" hidden="true" name="IQ_NEXT_EARNINGS_DATE" vbProcedure="false">"c13592"</definedName>
    <definedName function="false" hidden="true" name="IQ_NEXT_INT_DATE" vbProcedure="false">"c2187"</definedName>
    <definedName function="false" hidden="true" name="IQ_NEXT_PUT_DATE" vbProcedure="false">"c2200"</definedName>
    <definedName function="false" hidden="true" name="IQ_NEXT_PUT_PRICE" vbProcedure="false">"c2201"</definedName>
    <definedName function="false" hidden="true" name="IQ_NEXT_SINK_FUND_AMOUNT" vbProcedure="false">"c2490"</definedName>
    <definedName function="false" hidden="true" name="IQ_NEXT_SINK_FUND_DATE" vbProcedure="false">"c2489"</definedName>
    <definedName function="false" hidden="true" name="IQ_NEXT_SINK_FUND_PRICE" vbProcedure="false">"c2491"</definedName>
    <definedName function="false" hidden="true" name="IQ_NEXT_XDIV_DATE" vbProcedure="false">"c17411"</definedName>
    <definedName function="false" hidden="true" name="IQ_NEXT_YR_PROD_EST_MAX_ALUM" vbProcedure="false">"c9251"</definedName>
    <definedName function="false" hidden="true" name="IQ_NEXT_YR_PROD_EST_MAX_CATHODE_COP" vbProcedure="false">"c9198"</definedName>
    <definedName function="false" hidden="true" name="IQ_NEXT_YR_PROD_EST_MAX_COP" vbProcedure="false">"c9196"</definedName>
    <definedName function="false" hidden="true" name="IQ_NEXT_YR_PROD_EST_MAX_DIAM" vbProcedure="false">"c9675"</definedName>
    <definedName function="false" hidden="true" name="IQ_NEXT_YR_PROD_EST_MAX_GOLD" vbProcedure="false">"c9036"</definedName>
    <definedName function="false" hidden="true" name="IQ_NEXT_YR_PROD_EST_MAX_IRON" vbProcedure="false">"c9410"</definedName>
    <definedName function="false" hidden="true" name="IQ_NEXT_YR_PROD_EST_MAX_LEAD" vbProcedure="false">"c9463"</definedName>
    <definedName function="false" hidden="true" name="IQ_NEXT_YR_PROD_EST_MAX_MANG" vbProcedure="false">"c9516"</definedName>
    <definedName function="false" hidden="true" name="IQ_NEXT_YR_PROD_EST_MAX_MOLYB" vbProcedure="false">"c9728"</definedName>
    <definedName function="false" hidden="true" name="IQ_NEXT_YR_PROD_EST_MAX_NICK" vbProcedure="false">"c9304"</definedName>
    <definedName function="false" hidden="true" name="IQ_NEXT_YR_PROD_EST_MAX_PLAT" vbProcedure="false">"c9142"</definedName>
    <definedName function="false" hidden="true" name="IQ_NEXT_YR_PROD_EST_MAX_SILVER" vbProcedure="false">"c9089"</definedName>
    <definedName function="false" hidden="true" name="IQ_NEXT_YR_PROD_EST_MAX_TITAN" vbProcedure="false">"c9569"</definedName>
    <definedName function="false" hidden="true" name="IQ_NEXT_YR_PROD_EST_MAX_URAN" vbProcedure="false">"c9622"</definedName>
    <definedName function="false" hidden="true" name="IQ_NEXT_YR_PROD_EST_MAX_ZINC" vbProcedure="false">"c9357"</definedName>
    <definedName function="false" hidden="true" name="IQ_NEXT_YR_PROD_EST_MIN_ALUM" vbProcedure="false">"c9250"</definedName>
    <definedName function="false" hidden="true" name="IQ_NEXT_YR_PROD_EST_MIN_CATHODE_COP" vbProcedure="false">"c9197"</definedName>
    <definedName function="false" hidden="true" name="IQ_NEXT_YR_PROD_EST_MIN_COP" vbProcedure="false">"c9195"</definedName>
    <definedName function="false" hidden="true" name="IQ_NEXT_YR_PROD_EST_MIN_DIAM" vbProcedure="false">"c9674"</definedName>
    <definedName function="false" hidden="true" name="IQ_NEXT_YR_PROD_EST_MIN_GOLD" vbProcedure="false">"c9035"</definedName>
    <definedName function="false" hidden="true" name="IQ_NEXT_YR_PROD_EST_MIN_IRON" vbProcedure="false">"c9409"</definedName>
    <definedName function="false" hidden="true" name="IQ_NEXT_YR_PROD_EST_MIN_LEAD" vbProcedure="false">"c9462"</definedName>
    <definedName function="false" hidden="true" name="IQ_NEXT_YR_PROD_EST_MIN_MANG" vbProcedure="false">"c9515"</definedName>
    <definedName function="false" hidden="true" name="IQ_NEXT_YR_PROD_EST_MIN_MOLYB" vbProcedure="false">"c9727"</definedName>
    <definedName function="false" hidden="true" name="IQ_NEXT_YR_PROD_EST_MIN_NICK" vbProcedure="false">"c9303"</definedName>
    <definedName function="false" hidden="true" name="IQ_NEXT_YR_PROD_EST_MIN_PLAT" vbProcedure="false">"c9141"</definedName>
    <definedName function="false" hidden="true" name="IQ_NEXT_YR_PROD_EST_MIN_SILVER" vbProcedure="false">"c9088"</definedName>
    <definedName function="false" hidden="true" name="IQ_NEXT_YR_PROD_EST_MIN_TITAN" vbProcedure="false">"c9568"</definedName>
    <definedName function="false" hidden="true" name="IQ_NEXT_YR_PROD_EST_MIN_URAN" vbProcedure="false">"c9621"</definedName>
    <definedName function="false" hidden="true" name="IQ_NEXT_YR_PROD_EST_MIN_ZINC" vbProcedure="false">"c9356"</definedName>
    <definedName function="false" hidden="true" name="IQ_NI" vbProcedure="false">"c781"</definedName>
    <definedName function="false" hidden="true" name="IQ_NI_10YR_ANN_CAGR" vbProcedure="false">"c6110"</definedName>
    <definedName function="false" hidden="true" name="IQ_NI_10YR_ANN_GROWTH" vbProcedure="false">"c782"</definedName>
    <definedName function="false" hidden="true" name="IQ_NI_1YR_ANN_GROWTH" vbProcedure="false">"c783"</definedName>
    <definedName function="false" hidden="true" name="IQ_NI_2YR_ANN_CAGR" vbProcedure="false">"c6111"</definedName>
    <definedName function="false" hidden="true" name="IQ_NI_2YR_ANN_GROWTH" vbProcedure="false">"c784"</definedName>
    <definedName function="false" hidden="true" name="IQ_NI_3YR_ANN_CAGR" vbProcedure="false">"c6112"</definedName>
    <definedName function="false" hidden="true" name="IQ_NI_3YR_ANN_GROWTH" vbProcedure="false">"c785"</definedName>
    <definedName function="false" hidden="true" name="IQ_NI_5YR_ANN_CAGR" vbProcedure="false">"c6113"</definedName>
    <definedName function="false" hidden="true" name="IQ_NI_5YR_ANN_GROWTH" vbProcedure="false">"c786"</definedName>
    <definedName function="false" hidden="true" name="IQ_NI_7YR_ANN_CAGR" vbProcedure="false">"c6114"</definedName>
    <definedName function="false" hidden="true" name="IQ_NI_7YR_ANN_GROWTH" vbProcedure="false">"c787"</definedName>
    <definedName function="false" hidden="true" name="IQ_NI_ACT_OR_EST" vbProcedure="false">"c2222"</definedName>
    <definedName function="false" hidden="true" name="IQ_NI_ACT_OR_EST_CIQ" vbProcedure="false">"c5065"</definedName>
    <definedName function="false" hidden="true" name="IQ_NI_ACT_OR_EST_CIQ_COL" vbProcedure="false">"c11712"</definedName>
    <definedName function="false" hidden="true" name="IQ_NI_ACT_OR_EST_REUT" vbProcedure="false">"c5468"</definedName>
    <definedName function="false" hidden="true" name="IQ_NI_ACT_OR_EST_THOM" vbProcedure="false">"c5306"</definedName>
    <definedName function="false" hidden="true" name="IQ_NI_AFTER_CAPITALIZED" vbProcedure="false">"c788"</definedName>
    <definedName function="false" hidden="true" name="IQ_NI_AVAIL_EXCL" vbProcedure="false">"c789"</definedName>
    <definedName function="false" hidden="true" name="IQ_NI_AVAIL_EXCL_MARGIN" vbProcedure="false">"c790"</definedName>
    <definedName function="false" hidden="true" name="IQ_NI_AVAIL_INCL" vbProcedure="false">"c791"</definedName>
    <definedName function="false" hidden="true" name="IQ_NI_AVAIL_SUBTOTAL_AP" vbProcedure="false">"c8984"</definedName>
    <definedName function="false" hidden="true" name="IQ_NI_AVG_ASSETS_FFIEC" vbProcedure="false">"c13370"</definedName>
    <definedName function="false" hidden="true" name="IQ_NI_BANK_AND_NONCONTROLLING_INTEREST_FFIEC" vbProcedure="false">"c15365"</definedName>
    <definedName function="false" hidden="true" name="IQ_NI_BEFORE_CAPITALIZED" vbProcedure="false">"c792"</definedName>
    <definedName function="false" hidden="true" name="IQ_NI_BEFORE_INTERNAL_ALLOCATIONS_FOREIGN_FFIEC" vbProcedure="false">"c15393"</definedName>
    <definedName function="false" hidden="true" name="IQ_NI_CF" vbProcedure="false">"c793"</definedName>
    <definedName function="false" hidden="true" name="IQ_NI_CHARGES_AP" vbProcedure="false">"c8879"</definedName>
    <definedName function="false" hidden="true" name="IQ_NI_CHARGES_AP_ABS" vbProcedure="false">"c8898"</definedName>
    <definedName function="false" hidden="true" name="IQ_NI_CHARGES_NAME_AP" vbProcedure="false">"c8917"</definedName>
    <definedName function="false" hidden="true" name="IQ_NI_CHARGES_NAME_AP_ABS" vbProcedure="false">"c8936"</definedName>
    <definedName function="false" hidden="true" name="IQ_NI_DET_EST" vbProcedure="false">"c12062"</definedName>
    <definedName function="false" hidden="true" name="IQ_NI_DET_EST_CIQ" vbProcedure="false">"c12125"</definedName>
    <definedName function="false" hidden="true" name="IQ_NI_DET_EST_CURRENCY" vbProcedure="false">"c12469"</definedName>
    <definedName function="false" hidden="true" name="IQ_NI_DET_EST_CURRENCY_CIQ" vbProcedure="false">"c12516"</definedName>
    <definedName function="false" hidden="true" name="IQ_NI_DET_EST_CURRENCY_THOM" vbProcedure="false">"c12492"</definedName>
    <definedName function="false" hidden="true" name="IQ_NI_DET_EST_DATE" vbProcedure="false">"c12215"</definedName>
    <definedName function="false" hidden="true" name="IQ_NI_DET_EST_DATE_CIQ" vbProcedure="false">"c12271"</definedName>
    <definedName function="false" hidden="true" name="IQ_NI_DET_EST_DATE_THOM" vbProcedure="false">"c12243"</definedName>
    <definedName function="false" hidden="true" name="IQ_NI_DET_EST_INCL" vbProcedure="false">"c12352"</definedName>
    <definedName function="false" hidden="true" name="IQ_NI_DET_EST_INCL_CIQ" vbProcedure="false">"c12399"</definedName>
    <definedName function="false" hidden="true" name="IQ_NI_DET_EST_INCL_THOM" vbProcedure="false">"c12375"</definedName>
    <definedName function="false" hidden="true" name="IQ_NI_DET_EST_NOTE" vbProcedure="false">"c17533"</definedName>
    <definedName function="false" hidden="true" name="IQ_NI_DET_EST_NOTE_CIQ" vbProcedure="false">"c17486"</definedName>
    <definedName function="false" hidden="true" name="IQ_NI_DET_EST_ORIGIN" vbProcedure="false">"c12587"</definedName>
    <definedName function="false" hidden="true" name="IQ_NI_DET_EST_ORIGIN_CIQ" vbProcedure="false">"c12640"</definedName>
    <definedName function="false" hidden="true" name="IQ_NI_DET_EST_ORIGIN_THOM" vbProcedure="false">"c12613"</definedName>
    <definedName function="false" hidden="true" name="IQ_NI_DET_EST_THOM" vbProcedure="false">"c12093"</definedName>
    <definedName function="false" hidden="true" name="IQ_NI_EST" vbProcedure="false">"c1716"</definedName>
    <definedName function="false" hidden="true" name="IQ_NI_EST_CIQ" vbProcedure="false">"c4702"</definedName>
    <definedName function="false" hidden="true" name="IQ_NI_EST_DOWN_2MONTH" vbProcedure="false">"c16429"</definedName>
    <definedName function="false" hidden="true" name="IQ_NI_EST_DOWN_2MONTH_CIQ" vbProcedure="false">"c16717"</definedName>
    <definedName function="false" hidden="true" name="IQ_NI_EST_DOWN_3MONTH" vbProcedure="false">"c16433"</definedName>
    <definedName function="false" hidden="true" name="IQ_NI_EST_DOWN_3MONTH_CIQ" vbProcedure="false">"c16721"</definedName>
    <definedName function="false" hidden="true" name="IQ_NI_EST_DOWN_MONTH" vbProcedure="false">"c16425"</definedName>
    <definedName function="false" hidden="true" name="IQ_NI_EST_DOWN_MONTH_CIQ" vbProcedure="false">"c16713"</definedName>
    <definedName function="false" hidden="true" name="IQ_NI_EST_NOTE" vbProcedure="false">"c17514"</definedName>
    <definedName function="false" hidden="true" name="IQ_NI_EST_NOTE_CIQ" vbProcedure="false">"c17467"</definedName>
    <definedName function="false" hidden="true" name="IQ_NI_EST_NUM_ANALYSTS_2MONTH" vbProcedure="false">"c16427"</definedName>
    <definedName function="false" hidden="true" name="IQ_NI_EST_NUM_ANALYSTS_2MONTH_CIQ" vbProcedure="false">"c16715"</definedName>
    <definedName function="false" hidden="true" name="IQ_NI_EST_NUM_ANALYSTS_3MONTH" vbProcedure="false">"c16431"</definedName>
    <definedName function="false" hidden="true" name="IQ_NI_EST_NUM_ANALYSTS_3MONTH_CIQ" vbProcedure="false">"c16719"</definedName>
    <definedName function="false" hidden="true" name="IQ_NI_EST_NUM_ANALYSTS_MONTH" vbProcedure="false">"c16423"</definedName>
    <definedName function="false" hidden="true" name="IQ_NI_EST_NUM_ANALYSTS_MONTH_CIQ" vbProcedure="false">"c16711"</definedName>
    <definedName function="false" hidden="true" name="IQ_NI_EST_REUT" vbProcedure="false">"c5368"</definedName>
    <definedName function="false" hidden="true" name="IQ_NI_EST_THOM" vbProcedure="false">"c5126"</definedName>
    <definedName function="false" hidden="true" name="IQ_NI_EST_TOTAL_REVISED_2MONTH" vbProcedure="false">"c16430"</definedName>
    <definedName function="false" hidden="true" name="IQ_NI_EST_TOTAL_REVISED_2MONTH_CIQ" vbProcedure="false">"c16718"</definedName>
    <definedName function="false" hidden="true" name="IQ_NI_EST_TOTAL_REVISED_3MONTH" vbProcedure="false">"c16434"</definedName>
    <definedName function="false" hidden="true" name="IQ_NI_EST_TOTAL_REVISED_3MONTH_CIQ" vbProcedure="false">"c16722"</definedName>
    <definedName function="false" hidden="true" name="IQ_NI_EST_TOTAL_REVISED_MONTH" vbProcedure="false">"c16426"</definedName>
    <definedName function="false" hidden="true" name="IQ_NI_EST_TOTAL_REVISED_MONTH_CIQ" vbProcedure="false">"c16714"</definedName>
    <definedName function="false" hidden="true" name="IQ_NI_EST_UP_2MONTH" vbProcedure="false">"c16428"</definedName>
    <definedName function="false" hidden="true" name="IQ_NI_EST_UP_2MONTH_CIQ" vbProcedure="false">"c16716"</definedName>
    <definedName function="false" hidden="true" name="IQ_NI_EST_UP_3MONTH" vbProcedure="false">"c16432"</definedName>
    <definedName function="false" hidden="true" name="IQ_NI_EST_UP_3MONTH_CIQ" vbProcedure="false">"c16720"</definedName>
    <definedName function="false" hidden="true" name="IQ_NI_EST_UP_MONTH" vbProcedure="false">"c16424"</definedName>
    <definedName function="false" hidden="true" name="IQ_NI_EST_UP_MONTH_CIQ" vbProcedure="false">"c16712"</definedName>
    <definedName function="false" hidden="true" name="IQ_NI_FFIEC" vbProcedure="false">"c13034"</definedName>
    <definedName function="false" hidden="true" name="IQ_NI_GAAP_GUIDANCE" vbProcedure="false">"c4470"</definedName>
    <definedName function="false" hidden="true" name="IQ_NI_GAAP_GUIDANCE_CIQ" vbProcedure="false">"c5008"</definedName>
    <definedName function="false" hidden="true" name="IQ_NI_GAAP_GUIDANCE_CIQ_COL" vbProcedure="false">"c11655"</definedName>
    <definedName function="false" hidden="true" name="IQ_NI_GAAP_HIGH_GUIDANCE" vbProcedure="false">"c4177"</definedName>
    <definedName function="false" hidden="true" name="IQ_NI_GAAP_HIGH_GUIDANCE_CIQ" vbProcedure="false">"c4589"</definedName>
    <definedName function="false" hidden="true" name="IQ_NI_GAAP_HIGH_GUIDANCE_CIQ_COL" vbProcedure="false">"c11238"</definedName>
    <definedName function="false" hidden="true" name="IQ_NI_GAAP_LOW_GUIDANCE" vbProcedure="false">"c4217"</definedName>
    <definedName function="false" hidden="true" name="IQ_NI_GAAP_LOW_GUIDANCE_CIQ" vbProcedure="false">"c4629"</definedName>
    <definedName function="false" hidden="true" name="IQ_NI_GAAP_LOW_GUIDANCE_CIQ_COL" vbProcedure="false">"c11278"</definedName>
    <definedName function="false" hidden="true" name="IQ_NI_GUIDANCE" vbProcedure="false">"c4469"</definedName>
    <definedName function="false" hidden="true" name="IQ_NI_GUIDANCE_CIQ" vbProcedure="false">"c5007"</definedName>
    <definedName function="false" hidden="true" name="IQ_NI_GUIDANCE_CIQ_COL" vbProcedure="false">"c11654"</definedName>
    <definedName function="false" hidden="true" name="IQ_NI_GW_DET_EST" vbProcedure="false">"c12063"</definedName>
    <definedName function="false" hidden="true" name="IQ_NI_GW_DET_EST_CIQ" vbProcedure="false">"c12126"</definedName>
    <definedName function="false" hidden="true" name="IQ_NI_GW_DET_EST_CURRENCY" vbProcedure="false">"c12470"</definedName>
    <definedName function="false" hidden="true" name="IQ_NI_GW_DET_EST_CURRENCY_CIQ" vbProcedure="false">"c12517"</definedName>
    <definedName function="false" hidden="true" name="IQ_NI_GW_DET_EST_DATE" vbProcedure="false">"c12216"</definedName>
    <definedName function="false" hidden="true" name="IQ_NI_GW_DET_EST_DATE_CIQ" vbProcedure="false">"c12272"</definedName>
    <definedName function="false" hidden="true" name="IQ_NI_GW_DET_EST_INCL" vbProcedure="false">"c12353"</definedName>
    <definedName function="false" hidden="true" name="IQ_NI_GW_DET_EST_INCL_CIQ" vbProcedure="false">"c12400"</definedName>
    <definedName function="false" hidden="true" name="IQ_NI_GW_DET_EST_NOTE" vbProcedure="false">"c17532"</definedName>
    <definedName function="false" hidden="true" name="IQ_NI_GW_DET_EST_NOTE_CIQ" vbProcedure="false">"c17485"</definedName>
    <definedName function="false" hidden="true" name="IQ_NI_GW_DET_EST_ORIGIN_CIQ" vbProcedure="false">"c12641"</definedName>
    <definedName function="false" hidden="true" name="IQ_NI_GW_EST" vbProcedure="false">"c1723"</definedName>
    <definedName function="false" hidden="true" name="IQ_NI_GW_EST_CIQ" vbProcedure="false">"c4709"</definedName>
    <definedName function="false" hidden="true" name="IQ_NI_GW_EST_DOWN_2MONTH" vbProcedure="false">"c16453"</definedName>
    <definedName function="false" hidden="true" name="IQ_NI_GW_EST_DOWN_2MONTH_CIQ" vbProcedure="false">"c16741"</definedName>
    <definedName function="false" hidden="true" name="IQ_NI_GW_EST_DOWN_3MONTH" vbProcedure="false">"c16457"</definedName>
    <definedName function="false" hidden="true" name="IQ_NI_GW_EST_DOWN_3MONTH_CIQ" vbProcedure="false">"c16745"</definedName>
    <definedName function="false" hidden="true" name="IQ_NI_GW_EST_DOWN_MONTH" vbProcedure="false">"c16449"</definedName>
    <definedName function="false" hidden="true" name="IQ_NI_GW_EST_DOWN_MONTH_CIQ" vbProcedure="false">"c16737"</definedName>
    <definedName function="false" hidden="true" name="IQ_NI_GW_EST_NOTE" vbProcedure="false">"c17516"</definedName>
    <definedName function="false" hidden="true" name="IQ_NI_GW_EST_NOTE_CIQ" vbProcedure="false">"c17469"</definedName>
    <definedName function="false" hidden="true" name="IQ_NI_GW_EST_NUM_ANALYSTS_2MONTH" vbProcedure="false">"c16451"</definedName>
    <definedName function="false" hidden="true" name="IQ_NI_GW_EST_NUM_ANALYSTS_2MONTH_CIQ" vbProcedure="false">"c16739"</definedName>
    <definedName function="false" hidden="true" name="IQ_NI_GW_EST_NUM_ANALYSTS_3MONTH" vbProcedure="false">"c16455"</definedName>
    <definedName function="false" hidden="true" name="IQ_NI_GW_EST_NUM_ANALYSTS_3MONTH_CIQ" vbProcedure="false">"c16743"</definedName>
    <definedName function="false" hidden="true" name="IQ_NI_GW_EST_NUM_ANALYSTS_MONTH" vbProcedure="false">"c16447"</definedName>
    <definedName function="false" hidden="true" name="IQ_NI_GW_EST_NUM_ANALYSTS_MONTH_CIQ" vbProcedure="false">"c16735"</definedName>
    <definedName function="false" hidden="true" name="IQ_NI_GW_EST_REUT" vbProcedure="false">"c5375"</definedName>
    <definedName function="false" hidden="true" name="IQ_NI_GW_EST_TOTAL_REVISED_2MONTH" vbProcedure="false">"c16454"</definedName>
    <definedName function="false" hidden="true" name="IQ_NI_GW_EST_TOTAL_REVISED_2MONTH_CIQ" vbProcedure="false">"c16742"</definedName>
    <definedName function="false" hidden="true" name="IQ_NI_GW_EST_TOTAL_REVISED_3MONTH" vbProcedure="false">"c16458"</definedName>
    <definedName function="false" hidden="true" name="IQ_NI_GW_EST_TOTAL_REVISED_3MONTH_CIQ" vbProcedure="false">"c16746"</definedName>
    <definedName function="false" hidden="true" name="IQ_NI_GW_EST_TOTAL_REVISED_MONTH" vbProcedure="false">"c16450"</definedName>
    <definedName function="false" hidden="true" name="IQ_NI_GW_EST_TOTAL_REVISED_MONTH_CIQ" vbProcedure="false">"c16738"</definedName>
    <definedName function="false" hidden="true" name="IQ_NI_GW_EST_UP_2MONTH" vbProcedure="false">"c16452"</definedName>
    <definedName function="false" hidden="true" name="IQ_NI_GW_EST_UP_2MONTH_CIQ" vbProcedure="false">"c16740"</definedName>
    <definedName function="false" hidden="true" name="IQ_NI_GW_EST_UP_3MONTH" vbProcedure="false">"c16456"</definedName>
    <definedName function="false" hidden="true" name="IQ_NI_GW_EST_UP_3MONTH_CIQ" vbProcedure="false">"c16744"</definedName>
    <definedName function="false" hidden="true" name="IQ_NI_GW_EST_UP_MONTH" vbProcedure="false">"c16448"</definedName>
    <definedName function="false" hidden="true" name="IQ_NI_GW_EST_UP_MONTH_CIQ" vbProcedure="false">"c16736"</definedName>
    <definedName function="false" hidden="true" name="IQ_NI_GW_GUIDANCE" vbProcedure="false">"c4471"</definedName>
    <definedName function="false" hidden="true" name="IQ_NI_GW_GUIDANCE_CIQ" vbProcedure="false">"c5009"</definedName>
    <definedName function="false" hidden="true" name="IQ_NI_GW_GUIDANCE_CIQ_COL" vbProcedure="false">"c11656"</definedName>
    <definedName function="false" hidden="true" name="IQ_NI_GW_HIGH_EST" vbProcedure="false">"c1725"</definedName>
    <definedName function="false" hidden="true" name="IQ_NI_GW_HIGH_EST_CIQ" vbProcedure="false">"c4711"</definedName>
    <definedName function="false" hidden="true" name="IQ_NI_GW_HIGH_EST_REUT" vbProcedure="false">"c5377"</definedName>
    <definedName function="false" hidden="true" name="IQ_NI_GW_HIGH_GUIDANCE" vbProcedure="false">"c4178"</definedName>
    <definedName function="false" hidden="true" name="IQ_NI_GW_HIGH_GUIDANCE_CIQ" vbProcedure="false">"c4590"</definedName>
    <definedName function="false" hidden="true" name="IQ_NI_GW_HIGH_GUIDANCE_CIQ_COL" vbProcedure="false">"c11239"</definedName>
    <definedName function="false" hidden="true" name="IQ_NI_GW_LOW_EST" vbProcedure="false">"c1726"</definedName>
    <definedName function="false" hidden="true" name="IQ_NI_GW_LOW_EST_CIQ" vbProcedure="false">"c4712"</definedName>
    <definedName function="false" hidden="true" name="IQ_NI_GW_LOW_EST_REUT" vbProcedure="false">"c5378"</definedName>
    <definedName function="false" hidden="true" name="IQ_NI_GW_LOW_GUIDANCE" vbProcedure="false">"c4218"</definedName>
    <definedName function="false" hidden="true" name="IQ_NI_GW_LOW_GUIDANCE_CIQ" vbProcedure="false">"c4630"</definedName>
    <definedName function="false" hidden="true" name="IQ_NI_GW_LOW_GUIDANCE_CIQ_COL" vbProcedure="false">"c11279"</definedName>
    <definedName function="false" hidden="true" name="IQ_NI_GW_MEDIAN_EST" vbProcedure="false">"c1724"</definedName>
    <definedName function="false" hidden="true" name="IQ_NI_GW_MEDIAN_EST_CIQ" vbProcedure="false">"c4710"</definedName>
    <definedName function="false" hidden="true" name="IQ_NI_GW_MEDIAN_EST_REUT" vbProcedure="false">"c5376"</definedName>
    <definedName function="false" hidden="true" name="IQ_NI_GW_NUM_EST" vbProcedure="false">"c1727"</definedName>
    <definedName function="false" hidden="true" name="IQ_NI_GW_NUM_EST_CIQ" vbProcedure="false">"c4713"</definedName>
    <definedName function="false" hidden="true" name="IQ_NI_GW_NUM_EST_REUT" vbProcedure="false">"c5379"</definedName>
    <definedName function="false" hidden="true" name="IQ_NI_GW_STDDEV_EST" vbProcedure="false">"c1728"</definedName>
    <definedName function="false" hidden="true" name="IQ_NI_GW_STDDEV_EST_CIQ" vbProcedure="false">"c4714"</definedName>
    <definedName function="false" hidden="true" name="IQ_NI_GW_STDDEV_EST_REUT" vbProcedure="false">"c5380"</definedName>
    <definedName function="false" hidden="true" name="IQ_NI_HIGH_EST" vbProcedure="false">"c1718"</definedName>
    <definedName function="false" hidden="true" name="IQ_NI_HIGH_EST_CIQ" vbProcedure="false">"c4704"</definedName>
    <definedName function="false" hidden="true" name="IQ_NI_HIGH_EST_REUT" vbProcedure="false">"c5370"</definedName>
    <definedName function="false" hidden="true" name="IQ_NI_HIGH_EST_THOM" vbProcedure="false">"c5128"</definedName>
    <definedName function="false" hidden="true" name="IQ_NI_HIGH_GUIDANCE" vbProcedure="false">"c4176"</definedName>
    <definedName function="false" hidden="true" name="IQ_NI_HIGH_GUIDANCE_CIQ" vbProcedure="false">"c4588"</definedName>
    <definedName function="false" hidden="true" name="IQ_NI_HIGH_GUIDANCE_CIQ_COL" vbProcedure="false">"c11237"</definedName>
    <definedName function="false" hidden="true" name="IQ_NI_LOW_EST" vbProcedure="false">"c1719"</definedName>
    <definedName function="false" hidden="true" name="IQ_NI_LOW_EST_CIQ" vbProcedure="false">"c4705"</definedName>
    <definedName function="false" hidden="true" name="IQ_NI_LOW_EST_REUT" vbProcedure="false">"c5371"</definedName>
    <definedName function="false" hidden="true" name="IQ_NI_LOW_EST_THOM" vbProcedure="false">"c5129"</definedName>
    <definedName function="false" hidden="true" name="IQ_NI_LOW_GUIDANCE" vbProcedure="false">"c4216"</definedName>
    <definedName function="false" hidden="true" name="IQ_NI_LOW_GUIDANCE_CIQ" vbProcedure="false">"c4628"</definedName>
    <definedName function="false" hidden="true" name="IQ_NI_LOW_GUIDANCE_CIQ_COL" vbProcedure="false">"c11277"</definedName>
    <definedName function="false" hidden="true" name="IQ_NI_MARGIN" vbProcedure="false">"c794"</definedName>
    <definedName function="false" hidden="true" name="IQ_NI_MEDIAN_EST" vbProcedure="false">"c1717"</definedName>
    <definedName function="false" hidden="true" name="IQ_NI_MEDIAN_EST_CIQ" vbProcedure="false">"c4703"</definedName>
    <definedName function="false" hidden="true" name="IQ_NI_MEDIAN_EST_REUT" vbProcedure="false">"c5369"</definedName>
    <definedName function="false" hidden="true" name="IQ_NI_MEDIAN_EST_THOM" vbProcedure="false">"c5127"</definedName>
    <definedName function="false" hidden="true" name="IQ_NI_NON_CONTROLLING_INTERESTS_FFIEC" vbProcedure="false">"c15366"</definedName>
    <definedName function="false" hidden="true" name="IQ_NI_NORM" vbProcedure="false">"c1901"</definedName>
    <definedName function="false" hidden="true" name="IQ_NI_NORM_10YR_ANN_CAGR" vbProcedure="false">"c6189"</definedName>
    <definedName function="false" hidden="true" name="IQ_NI_NORM_10YR_ANN_GROWTH" vbProcedure="false">"c1960"</definedName>
    <definedName function="false" hidden="true" name="IQ_NI_NORM_1YR_ANN_GROWTH" vbProcedure="false">"c1955"</definedName>
    <definedName function="false" hidden="true" name="IQ_NI_NORM_2YR_ANN_CAGR" vbProcedure="false">"c6185"</definedName>
    <definedName function="false" hidden="true" name="IQ_NI_NORM_2YR_ANN_GROWTH" vbProcedure="false">"c1956"</definedName>
    <definedName function="false" hidden="true" name="IQ_NI_NORM_3YR_ANN_CAGR" vbProcedure="false">"c6186"</definedName>
    <definedName function="false" hidden="true" name="IQ_NI_NORM_3YR_ANN_GROWTH" vbProcedure="false">"c1957"</definedName>
    <definedName function="false" hidden="true" name="IQ_NI_NORM_5YR_ANN_CAGR" vbProcedure="false">"c6187"</definedName>
    <definedName function="false" hidden="true" name="IQ_NI_NORM_5YR_ANN_GROWTH" vbProcedure="false">"c1958"</definedName>
    <definedName function="false" hidden="true" name="IQ_NI_NORM_7YR_ANN_CAGR" vbProcedure="false">"c6188"</definedName>
    <definedName function="false" hidden="true" name="IQ_NI_NORM_7YR_ANN_GROWTH" vbProcedure="false">"c1959"</definedName>
    <definedName function="false" hidden="true" name="IQ_NI_NORM_MARGIN" vbProcedure="false">"c1964"</definedName>
    <definedName function="false" hidden="true" name="IQ_NI_NUM_EST" vbProcedure="false">"c1720"</definedName>
    <definedName function="false" hidden="true" name="IQ_NI_NUM_EST_CIQ" vbProcedure="false">"c4706"</definedName>
    <definedName function="false" hidden="true" name="IQ_NI_NUM_EST_REUT" vbProcedure="false">"c5372"</definedName>
    <definedName function="false" hidden="true" name="IQ_NI_NUM_EST_THOM" vbProcedure="false">"c5130"</definedName>
    <definedName function="false" hidden="true" name="IQ_NI_REPORTED_DET_EST_CIQ" vbProcedure="false">"c12127"</definedName>
    <definedName function="false" hidden="true" name="IQ_NI_REPORTED_DET_EST_CURRENCY_CIQ" vbProcedure="false">"c12518"</definedName>
    <definedName function="false" hidden="true" name="IQ_NI_REPORTED_DET_EST_DATE_CIQ" vbProcedure="false">"c12273"</definedName>
    <definedName function="false" hidden="true" name="IQ_NI_REPORTED_DET_EST_INCL_CIQ" vbProcedure="false">"c12401"</definedName>
    <definedName function="false" hidden="true" name="IQ_NI_REPORTED_DET_EST_NOTE" vbProcedure="false">"c17537"</definedName>
    <definedName function="false" hidden="true" name="IQ_NI_REPORTED_DET_EST_NOTE_CIQ" vbProcedure="false">"c17490"</definedName>
    <definedName function="false" hidden="true" name="IQ_NI_REPORTED_DET_EST_ORIGIN" vbProcedure="false">"c12588"</definedName>
    <definedName function="false" hidden="true" name="IQ_NI_REPORTED_DET_EST_ORIGIN_CIQ" vbProcedure="false">"c12642"</definedName>
    <definedName function="false" hidden="true" name="IQ_NI_REPORTED_EST" vbProcedure="false">"c1730"</definedName>
    <definedName function="false" hidden="true" name="IQ_NI_REPORTED_EST_CIQ" vbProcedure="false">"c4716"</definedName>
    <definedName function="false" hidden="true" name="IQ_NI_REPORTED_EST_DOWN_2MONTH" vbProcedure="false">"c16441"</definedName>
    <definedName function="false" hidden="true" name="IQ_NI_REPORTED_EST_DOWN_2MONTH_CIQ" vbProcedure="false">"c16729"</definedName>
    <definedName function="false" hidden="true" name="IQ_NI_REPORTED_EST_DOWN_3MONTH" vbProcedure="false">"c16445"</definedName>
    <definedName function="false" hidden="true" name="IQ_NI_REPORTED_EST_DOWN_3MONTH_CIQ" vbProcedure="false">"c16733"</definedName>
    <definedName function="false" hidden="true" name="IQ_NI_REPORTED_EST_DOWN_MONTH" vbProcedure="false">"c16437"</definedName>
    <definedName function="false" hidden="true" name="IQ_NI_REPORTED_EST_DOWN_MONTH_CIQ" vbProcedure="false">"c16725"</definedName>
    <definedName function="false" hidden="true" name="IQ_NI_REPORTED_EST_NOTE" vbProcedure="false">"c17515"</definedName>
    <definedName function="false" hidden="true" name="IQ_NI_REPORTED_EST_NOTE_CIQ" vbProcedure="false">"c17468"</definedName>
    <definedName function="false" hidden="true" name="IQ_NI_REPORTED_EST_NUM_ANALYSTS_2MONTH" vbProcedure="false">"c16439"</definedName>
    <definedName function="false" hidden="true" name="IQ_NI_REPORTED_EST_NUM_ANALYSTS_2MONTH_CIQ" vbProcedure="false">"c16727"</definedName>
    <definedName function="false" hidden="true" name="IQ_NI_REPORTED_EST_NUM_ANALYSTS_3MONTH" vbProcedure="false">"c16443"</definedName>
    <definedName function="false" hidden="true" name="IQ_NI_REPORTED_EST_NUM_ANALYSTS_3MONTH_CIQ" vbProcedure="false">"c16731"</definedName>
    <definedName function="false" hidden="true" name="IQ_NI_REPORTED_EST_NUM_ANALYSTS_MONTH" vbProcedure="false">"c16435"</definedName>
    <definedName function="false" hidden="true" name="IQ_NI_REPORTED_EST_NUM_ANALYSTS_MONTH_CIQ" vbProcedure="false">"c16723"</definedName>
    <definedName function="false" hidden="true" name="IQ_NI_REPORTED_EST_REUT" vbProcedure="false">"c5382"</definedName>
    <definedName function="false" hidden="true" name="IQ_NI_REPORTED_EST_TOTAL_REVISED_2MONTH" vbProcedure="false">"c16442"</definedName>
    <definedName function="false" hidden="true" name="IQ_NI_REPORTED_EST_TOTAL_REVISED_2MONTH_CIQ" vbProcedure="false">"c16730"</definedName>
    <definedName function="false" hidden="true" name="IQ_NI_REPORTED_EST_TOTAL_REVISED_3MONTH" vbProcedure="false">"c16446"</definedName>
    <definedName function="false" hidden="true" name="IQ_NI_REPORTED_EST_TOTAL_REVISED_3MONTH_CIQ" vbProcedure="false">"c16734"</definedName>
    <definedName function="false" hidden="true" name="IQ_NI_REPORTED_EST_TOTAL_REVISED_MONTH" vbProcedure="false">"c16438"</definedName>
    <definedName function="false" hidden="true" name="IQ_NI_REPORTED_EST_TOTAL_REVISED_MONTH_CIQ" vbProcedure="false">"c16726"</definedName>
    <definedName function="false" hidden="true" name="IQ_NI_REPORTED_EST_UP_2MONTH" vbProcedure="false">"c16440"</definedName>
    <definedName function="false" hidden="true" name="IQ_NI_REPORTED_EST_UP_2MONTH_CIQ" vbProcedure="false">"c16728"</definedName>
    <definedName function="false" hidden="true" name="IQ_NI_REPORTED_EST_UP_3MONTH" vbProcedure="false">"c16444"</definedName>
    <definedName function="false" hidden="true" name="IQ_NI_REPORTED_EST_UP_3MONTH_CIQ" vbProcedure="false">"c16732"</definedName>
    <definedName function="false" hidden="true" name="IQ_NI_REPORTED_EST_UP_MONTH" vbProcedure="false">"c16436"</definedName>
    <definedName function="false" hidden="true" name="IQ_NI_REPORTED_EST_UP_MONTH_CIQ" vbProcedure="false">"c16724"</definedName>
    <definedName function="false" hidden="true" name="IQ_NI_REPORTED_HIGH_EST" vbProcedure="false">"c1732"</definedName>
    <definedName function="false" hidden="true" name="IQ_NI_REPORTED_HIGH_EST_CIQ" vbProcedure="false">"c4718"</definedName>
    <definedName function="false" hidden="true" name="IQ_NI_REPORTED_HIGH_EST_REUT" vbProcedure="false">"c5384"</definedName>
    <definedName function="false" hidden="true" name="IQ_NI_REPORTED_LOW_EST" vbProcedure="false">"c1733"</definedName>
    <definedName function="false" hidden="true" name="IQ_NI_REPORTED_LOW_EST_CIQ" vbProcedure="false">"c4719"</definedName>
    <definedName function="false" hidden="true" name="IQ_NI_REPORTED_LOW_EST_REUT" vbProcedure="false">"c5385"</definedName>
    <definedName function="false" hidden="true" name="IQ_NI_REPORTED_MEDIAN_EST" vbProcedure="false">"c1731"</definedName>
    <definedName function="false" hidden="true" name="IQ_NI_REPORTED_MEDIAN_EST_CIQ" vbProcedure="false">"c4717"</definedName>
    <definedName function="false" hidden="true" name="IQ_NI_REPORTED_MEDIAN_EST_REUT" vbProcedure="false">"c5383"</definedName>
    <definedName function="false" hidden="true" name="IQ_NI_REPORTED_NUM_EST" vbProcedure="false">"c1734"</definedName>
    <definedName function="false" hidden="true" name="IQ_NI_REPORTED_NUM_EST_CIQ" vbProcedure="false">"c4720"</definedName>
    <definedName function="false" hidden="true" name="IQ_NI_REPORTED_NUM_EST_REUT" vbProcedure="false">"c5386"</definedName>
    <definedName function="false" hidden="true" name="IQ_NI_REPORTED_STDDEV_EST" vbProcedure="false">"c1735"</definedName>
    <definedName function="false" hidden="true" name="IQ_NI_REPORTED_STDDEV_EST_CIQ" vbProcedure="false">"c4721"</definedName>
    <definedName function="false" hidden="true" name="IQ_NI_REPORTED_STDDEV_EST_REUT" vbProcedure="false">"c5387"</definedName>
    <definedName function="false" hidden="true" name="IQ_NI_SBC_ACT_OR_EST" vbProcedure="false">"c4474"</definedName>
    <definedName function="false" hidden="true" name="IQ_NI_SBC_ACT_OR_EST_CIQ" vbProcedure="false">"c5012"</definedName>
    <definedName function="false" hidden="true" name="IQ_NI_SBC_ACT_OR_EST_CIQ_COL" vbProcedure="false">"c11659"</definedName>
    <definedName function="false" hidden="true" name="IQ_NI_SBC_EST" vbProcedure="false">"c4473"</definedName>
    <definedName function="false" hidden="true" name="IQ_NI_SBC_EST_CIQ" vbProcedure="false">"c5011"</definedName>
    <definedName function="false" hidden="true" name="IQ_NI_SBC_GUIDANCE" vbProcedure="false">"c4475"</definedName>
    <definedName function="false" hidden="true" name="IQ_NI_SBC_GUIDANCE_CIQ" vbProcedure="false">"c5013"</definedName>
    <definedName function="false" hidden="true" name="IQ_NI_SBC_GUIDANCE_CIQ_COL" vbProcedure="false">"c11660"</definedName>
    <definedName function="false" hidden="true" name="IQ_NI_SBC_GW_ACT_OR_EST" vbProcedure="false">"c4478"</definedName>
    <definedName function="false" hidden="true" name="IQ_NI_SBC_GW_ACT_OR_EST_CIQ" vbProcedure="false">"c5016"</definedName>
    <definedName function="false" hidden="true" name="IQ_NI_SBC_GW_ACT_OR_EST_CIQ_COL" vbProcedure="false">"c11663"</definedName>
    <definedName function="false" hidden="true" name="IQ_NI_SBC_GW_EST" vbProcedure="false">"c4477"</definedName>
    <definedName function="false" hidden="true" name="IQ_NI_SBC_GW_EST_CIQ" vbProcedure="false">"c5015"</definedName>
    <definedName function="false" hidden="true" name="IQ_NI_SBC_GW_GUIDANCE" vbProcedure="false">"c4479"</definedName>
    <definedName function="false" hidden="true" name="IQ_NI_SBC_GW_GUIDANCE_CIQ" vbProcedure="false">"c5017"</definedName>
    <definedName function="false" hidden="true" name="IQ_NI_SBC_GW_GUIDANCE_CIQ_COL" vbProcedure="false">"c11664"</definedName>
    <definedName function="false" hidden="true" name="IQ_NI_SBC_GW_HIGH_EST" vbProcedure="false">"c4480"</definedName>
    <definedName function="false" hidden="true" name="IQ_NI_SBC_GW_HIGH_EST_CIQ" vbProcedure="false">"c5018"</definedName>
    <definedName function="false" hidden="true" name="IQ_NI_SBC_GW_HIGH_GUIDANCE" vbProcedure="false">"c4187"</definedName>
    <definedName function="false" hidden="true" name="IQ_NI_SBC_GW_HIGH_GUIDANCE_CIQ" vbProcedure="false">"c4599"</definedName>
    <definedName function="false" hidden="true" name="IQ_NI_SBC_GW_HIGH_GUIDANCE_CIQ_COL" vbProcedure="false">"c11248"</definedName>
    <definedName function="false" hidden="true" name="IQ_NI_SBC_GW_LOW_EST" vbProcedure="false">"c4481"</definedName>
    <definedName function="false" hidden="true" name="IQ_NI_SBC_GW_LOW_EST_CIQ" vbProcedure="false">"c5019"</definedName>
    <definedName function="false" hidden="true" name="IQ_NI_SBC_GW_LOW_GUIDANCE" vbProcedure="false">"c4227"</definedName>
    <definedName function="false" hidden="true" name="IQ_NI_SBC_GW_LOW_GUIDANCE_CIQ" vbProcedure="false">"c4639"</definedName>
    <definedName function="false" hidden="true" name="IQ_NI_SBC_GW_LOW_GUIDANCE_CIQ_COL" vbProcedure="false">"c11288"</definedName>
    <definedName function="false" hidden="true" name="IQ_NI_SBC_GW_MEDIAN_EST" vbProcedure="false">"c4482"</definedName>
    <definedName function="false" hidden="true" name="IQ_NI_SBC_GW_MEDIAN_EST_CIQ" vbProcedure="false">"c5020"</definedName>
    <definedName function="false" hidden="true" name="IQ_NI_SBC_GW_NUM_EST" vbProcedure="false">"c4483"</definedName>
    <definedName function="false" hidden="true" name="IQ_NI_SBC_GW_NUM_EST_CIQ" vbProcedure="false">"c5021"</definedName>
    <definedName function="false" hidden="true" name="IQ_NI_SBC_GW_STDDEV_EST" vbProcedure="false">"c4484"</definedName>
    <definedName function="false" hidden="true" name="IQ_NI_SBC_GW_STDDEV_EST_CIQ" vbProcedure="false">"c5022"</definedName>
    <definedName function="false" hidden="true" name="IQ_NI_SBC_HIGH_EST" vbProcedure="false">"c4486"</definedName>
    <definedName function="false" hidden="true" name="IQ_NI_SBC_HIGH_EST_CIQ" vbProcedure="false">"c5024"</definedName>
    <definedName function="false" hidden="true" name="IQ_NI_SBC_HIGH_GUIDANCE" vbProcedure="false">"c4186"</definedName>
    <definedName function="false" hidden="true" name="IQ_NI_SBC_HIGH_GUIDANCE_CIQ" vbProcedure="false">"c4598"</definedName>
    <definedName function="false" hidden="true" name="IQ_NI_SBC_HIGH_GUIDANCE_CIQ_COL" vbProcedure="false">"c11247"</definedName>
    <definedName function="false" hidden="true" name="IQ_NI_SBC_LOW_EST" vbProcedure="false">"c4487"</definedName>
    <definedName function="false" hidden="true" name="IQ_NI_SBC_LOW_EST_CIQ" vbProcedure="false">"c5025"</definedName>
    <definedName function="false" hidden="true" name="IQ_NI_SBC_LOW_GUIDANCE" vbProcedure="false">"c4226"</definedName>
    <definedName function="false" hidden="true" name="IQ_NI_SBC_LOW_GUIDANCE_CIQ" vbProcedure="false">"c4638"</definedName>
    <definedName function="false" hidden="true" name="IQ_NI_SBC_LOW_GUIDANCE_CIQ_COL" vbProcedure="false">"c11287"</definedName>
    <definedName function="false" hidden="true" name="IQ_NI_SBC_MEDIAN_EST" vbProcedure="false">"c4488"</definedName>
    <definedName function="false" hidden="true" name="IQ_NI_SBC_MEDIAN_EST_CIQ" vbProcedure="false">"c5026"</definedName>
    <definedName function="false" hidden="true" name="IQ_NI_SBC_NUM_EST" vbProcedure="false">"c4489"</definedName>
    <definedName function="false" hidden="true" name="IQ_NI_SBC_NUM_EST_CIQ" vbProcedure="false">"c5027"</definedName>
    <definedName function="false" hidden="true" name="IQ_NI_SBC_STDDEV_EST" vbProcedure="false">"c4490"</definedName>
    <definedName function="false" hidden="true" name="IQ_NI_SBC_STDDEV_EST_CIQ" vbProcedure="false">"c5028"</definedName>
    <definedName function="false" hidden="true" name="IQ_NI_SFAS" vbProcedure="false">"c795"</definedName>
    <definedName function="false" hidden="true" name="IQ_NI_STDDEV_EST" vbProcedure="false">"c1721"</definedName>
    <definedName function="false" hidden="true" name="IQ_NI_STDDEV_EST_CIQ" vbProcedure="false">"c4707"</definedName>
    <definedName function="false" hidden="true" name="IQ_NI_STDDEV_EST_REUT" vbProcedure="false">"c5373"</definedName>
    <definedName function="false" hidden="true" name="IQ_NI_STDDEV_EST_THOM" vbProcedure="false">"c5131"</definedName>
    <definedName function="false" hidden="true" name="IQ_NI_SUBTOTAL_AP" vbProcedure="false">"c8983"</definedName>
    <definedName function="false" hidden="true" name="IQ_NLA_PCT_LEASED_CONSOL" vbProcedure="false">"c8815"</definedName>
    <definedName function="false" hidden="true" name="IQ_NLA_PCT_LEASED_MANAGED" vbProcedure="false">"c8817"</definedName>
    <definedName function="false" hidden="true" name="IQ_NLA_PCT_LEASED_OTHER" vbProcedure="false">"c8818"</definedName>
    <definedName function="false" hidden="true" name="IQ_NLA_PCT_LEASED_TOTAL" vbProcedure="false">"c8819"</definedName>
    <definedName function="false" hidden="true" name="IQ_NLA_PCT_LEASED_UNCONSOL" vbProcedure="false">"c8816"</definedName>
    <definedName function="false" hidden="true" name="IQ_NLA_SQ_FT_CONSOL" vbProcedure="false">"c8800"</definedName>
    <definedName function="false" hidden="true" name="IQ_NLA_SQ_FT_MANAGED" vbProcedure="false">"c8802"</definedName>
    <definedName function="false" hidden="true" name="IQ_NLA_SQ_FT_OTHER" vbProcedure="false">"c8803"</definedName>
    <definedName function="false" hidden="true" name="IQ_NLA_SQ_FT_TOTAL" vbProcedure="false">"c8804"</definedName>
    <definedName function="false" hidden="true" name="IQ_NLA_SQ_FT_UNCONSOL" vbProcedure="false">"c8801"</definedName>
    <definedName function="false" hidden="true" name="IQ_NLA_SQ_METER_CONSOL" vbProcedure="false">"c8805"</definedName>
    <definedName function="false" hidden="true" name="IQ_NLA_SQ_METER_MANAGED" vbProcedure="false">"c8807"</definedName>
    <definedName function="false" hidden="true" name="IQ_NLA_SQ_METER_OTHER" vbProcedure="false">"c8808"</definedName>
    <definedName function="false" hidden="true" name="IQ_NLA_SQ_METER_TOTAL" vbProcedure="false">"c8809"</definedName>
    <definedName function="false" hidden="true" name="IQ_NLA_SQ_METER_UNCONSOL" vbProcedure="false">"c8806"</definedName>
    <definedName function="false" hidden="true" name="IQ_NOI_INCL_UNCONSOL" vbProcedure="false">"c16068"</definedName>
    <definedName function="false" hidden="true" name="IQ_NOL_CF_1YR" vbProcedure="false">"c3465"</definedName>
    <definedName function="false" hidden="true" name="IQ_NOL_CF_2YR" vbProcedure="false">"c3466"</definedName>
    <definedName function="false" hidden="true" name="IQ_NOL_CF_3YR" vbProcedure="false">"c3467"</definedName>
    <definedName function="false" hidden="true" name="IQ_NOL_CF_4YR" vbProcedure="false">"c3468"</definedName>
    <definedName function="false" hidden="true" name="IQ_NOL_CF_5YR" vbProcedure="false">"c3469"</definedName>
    <definedName function="false" hidden="true" name="IQ_NOL_CF_AFTER_FIVE" vbProcedure="false">"c3470"</definedName>
    <definedName function="false" hidden="true" name="IQ_NOL_CF_MAX_YEAR" vbProcedure="false">"c3473"</definedName>
    <definedName function="false" hidden="true" name="IQ_NOL_CF_NO_EXP" vbProcedure="false">"c3471"</definedName>
    <definedName function="false" hidden="true" name="IQ_NOL_CF_TOTAL" vbProcedure="false">"c3472"</definedName>
    <definedName function="false" hidden="true" name="IQ_NONCASH_INCOME_AMORT_CLOSED_END_LOANS_FFIEC" vbProcedure="false">"c13078"</definedName>
    <definedName function="false" hidden="true" name="IQ_NONCASH_PENSION_EXP" vbProcedure="false">"c3000"</definedName>
    <definedName function="false" hidden="true" name="IQ_NONCORE_ASSETS_TOT_FFIEC" vbProcedure="false">"c13443"</definedName>
    <definedName function="false" hidden="true" name="IQ_NONCURRENT_LOANS_1_4_FAMILY_FDIC" vbProcedure="false">"c6770"</definedName>
    <definedName function="false" hidden="true" name="IQ_NONCURRENT_LOANS_COMMERCIAL_INDUSTRIAL_FDIC" vbProcedure="false">"c6773"</definedName>
    <definedName function="false" hidden="true" name="IQ_NONCURRENT_LOANS_COMMERCIAL_RE_FDIC" vbProcedure="false">"c6768"</definedName>
    <definedName function="false" hidden="true" name="IQ_NONCURRENT_LOANS_COMMERCIAL_RE_NOT_SECURED_FDIC" vbProcedure="false">"c6778"</definedName>
    <definedName function="false" hidden="true" name="IQ_NONCURRENT_LOANS_CONSTRUCTION_LAND_DEV_FDIC" vbProcedure="false">"c6767"</definedName>
    <definedName function="false" hidden="true" name="IQ_NONCURRENT_LOANS_CREDIT_CARD_FDIC" vbProcedure="false">"c6775"</definedName>
    <definedName function="false" hidden="true" name="IQ_NONCURRENT_LOANS_GUARANTEED_FDIC" vbProcedure="false">"c6358"</definedName>
    <definedName function="false" hidden="true" name="IQ_NONCURRENT_LOANS_HOME_EQUITY_FDIC" vbProcedure="false">"c6771"</definedName>
    <definedName function="false" hidden="true" name="IQ_NONCURRENT_LOANS_INDIVIDUALS_FDIC" vbProcedure="false">"c6774"</definedName>
    <definedName function="false" hidden="true" name="IQ_NONCURRENT_LOANS_LEASES_FDIC" vbProcedure="false">"c6357"</definedName>
    <definedName function="false" hidden="true" name="IQ_NONCURRENT_LOANS_MULTIFAMILY_FDIC" vbProcedure="false">"c6769"</definedName>
    <definedName function="false" hidden="true" name="IQ_NONCURRENT_LOANS_OTHER_FAMILY_FDIC" vbProcedure="false">"c6772"</definedName>
    <definedName function="false" hidden="true" name="IQ_NONCURRENT_LOANS_OTHER_INDIVIDUAL_FDIC" vbProcedure="false">"c6776"</definedName>
    <definedName function="false" hidden="true" name="IQ_NONCURRENT_LOANS_OTHER_LOANS_FDIC" vbProcedure="false">"c6777"</definedName>
    <definedName function="false" hidden="true" name="IQ_NONCURRENT_LOANS_RE_FDIC" vbProcedure="false">"c6766"</definedName>
    <definedName function="false" hidden="true" name="IQ_NONCURRENT_LOANS_TOTAL_LOANS_FDIC" vbProcedure="false">"c6765"</definedName>
    <definedName function="false" hidden="true" name="IQ_NONCURRENT_OREO_ASSETS_FDIC" vbProcedure="false">"c6741"</definedName>
    <definedName function="false" hidden="true" name="IQ_NONDEF_CAPITAL_GOODS_ORDERS" vbProcedure="false">"c6932"</definedName>
    <definedName function="false" hidden="true" name="IQ_NONDEF_CAPITAL_GOODS_ORDERS_APR" vbProcedure="false">"c7592"</definedName>
    <definedName function="false" hidden="true" name="IQ_NONDEF_CAPITAL_GOODS_ORDERS_APR_FC" vbProcedure="false">"c8472"</definedName>
    <definedName function="false" hidden="true" name="IQ_NONDEF_CAPITAL_GOODS_ORDERS_FC" vbProcedure="false">"c7812"</definedName>
    <definedName function="false" hidden="true" name="IQ_NONDEF_CAPITAL_GOODS_ORDERS_POP" vbProcedure="false">"c7152"</definedName>
    <definedName function="false" hidden="true" name="IQ_NONDEF_CAPITAL_GOODS_ORDERS_POP_FC" vbProcedure="false">"c8032"</definedName>
    <definedName function="false" hidden="true" name="IQ_NONDEF_CAPITAL_GOODS_ORDERS_YOY" vbProcedure="false">"c7372"</definedName>
    <definedName function="false" hidden="true" name="IQ_NONDEF_CAPITAL_GOODS_ORDERS_YOY_FC" vbProcedure="false">"c8252"</definedName>
    <definedName function="false" hidden="true" name="IQ_NONDEF_CAPITAL_GOODS_SHIPMENTS" vbProcedure="false">"c6933"</definedName>
    <definedName function="false" hidden="true" name="IQ_NONDEF_CAPITAL_GOODS_SHIPMENTS_APR" vbProcedure="false">"c7593"</definedName>
    <definedName function="false" hidden="true" name="IQ_NONDEF_CAPITAL_GOODS_SHIPMENTS_APR_FC" vbProcedure="false">"c8473"</definedName>
    <definedName function="false" hidden="true" name="IQ_NONDEF_CAPITAL_GOODS_SHIPMENTS_FC" vbProcedure="false">"c7813"</definedName>
    <definedName function="false" hidden="true" name="IQ_NONDEF_CAPITAL_GOODS_SHIPMENTS_POP" vbProcedure="false">"c7153"</definedName>
    <definedName function="false" hidden="true" name="IQ_NONDEF_CAPITAL_GOODS_SHIPMENTS_POP_FC" vbProcedure="false">"c8033"</definedName>
    <definedName function="false" hidden="true" name="IQ_NONDEF_CAPITAL_GOODS_SHIPMENTS_YOY" vbProcedure="false">"c7373"</definedName>
    <definedName function="false" hidden="true" name="IQ_NONDEF_CAPITAL_GOODS_SHIPMENTS_YOY_FC" vbProcedure="false">"c8253"</definedName>
    <definedName function="false" hidden="true" name="IQ_NONDEF_SPENDING_SAAR" vbProcedure="false">"c6934"</definedName>
    <definedName function="false" hidden="true" name="IQ_NONDEF_SPENDING_SAAR_APR" vbProcedure="false">"c7594"</definedName>
    <definedName function="false" hidden="true" name="IQ_NONDEF_SPENDING_SAAR_APR_FC" vbProcedure="false">"c8474"</definedName>
    <definedName function="false" hidden="true" name="IQ_NONDEF_SPENDING_SAAR_FC" vbProcedure="false">"c7814"</definedName>
    <definedName function="false" hidden="true" name="IQ_NONDEF_SPENDING_SAAR_POP" vbProcedure="false">"c7154"</definedName>
    <definedName function="false" hidden="true" name="IQ_NONDEF_SPENDING_SAAR_POP_FC" vbProcedure="false">"c8034"</definedName>
    <definedName function="false" hidden="true" name="IQ_NONDEF_SPENDING_SAAR_YOY" vbProcedure="false">"c7374"</definedName>
    <definedName function="false" hidden="true" name="IQ_NONDEF_SPENDING_SAAR_YOY_FC" vbProcedure="false">"c8254"</definedName>
    <definedName function="false" hidden="true" name="IQ_NONFARM_EMP_HRS_PCT_CHANGE" vbProcedure="false">"c6935"</definedName>
    <definedName function="false" hidden="true" name="IQ_NONFARM_EMP_HRS_PCT_CHANGE_FC" vbProcedure="false">"c7815"</definedName>
    <definedName function="false" hidden="true" name="IQ_NONFARM_EMP_HRS_PCT_CHANGE_POP" vbProcedure="false">"c7155"</definedName>
    <definedName function="false" hidden="true" name="IQ_NONFARM_EMP_HRS_PCT_CHANGE_POP_FC" vbProcedure="false">"c8035"</definedName>
    <definedName function="false" hidden="true" name="IQ_NONFARM_EMP_HRS_PCT_CHANGE_YOY" vbProcedure="false">"c7375"</definedName>
    <definedName function="false" hidden="true" name="IQ_NONFARM_EMP_HRS_PCT_CHANGE_YOY_FC" vbProcedure="false">"c8255"</definedName>
    <definedName function="false" hidden="true" name="IQ_NONFARM_NONRES_DOM_FFIEC" vbProcedure="false">"c15271"</definedName>
    <definedName function="false" hidden="true" name="IQ_NONFARM_NONRES_GROSS_LOANS_FFIEC" vbProcedure="false">"c13405"</definedName>
    <definedName function="false" hidden="true" name="IQ_NONFARM_NONRES_LL_REC_DOM_FFIEC" vbProcedure="false">"c13626"</definedName>
    <definedName function="false" hidden="true" name="IQ_NONFARM_NONRES_RISK_BASED_FFIEC" vbProcedure="false">"c13426"</definedName>
    <definedName function="false" hidden="true" name="IQ_NONFARM_OUTPUT_PER_HR" vbProcedure="false">"c6936"</definedName>
    <definedName function="false" hidden="true" name="IQ_NONFARM_OUTPUT_PER_HR_APR" vbProcedure="false">"c7596"</definedName>
    <definedName function="false" hidden="true" name="IQ_NONFARM_OUTPUT_PER_HR_APR_FC" vbProcedure="false">"c8476"</definedName>
    <definedName function="false" hidden="true" name="IQ_NONFARM_OUTPUT_PER_HR_FC" vbProcedure="false">"c7816"</definedName>
    <definedName function="false" hidden="true" name="IQ_NONFARM_OUTPUT_PER_HR_POP" vbProcedure="false">"c7156"</definedName>
    <definedName function="false" hidden="true" name="IQ_NONFARM_OUTPUT_PER_HR_POP_FC" vbProcedure="false">"c8036"</definedName>
    <definedName function="false" hidden="true" name="IQ_NONFARM_OUTPUT_PER_HR_YOY" vbProcedure="false">"c7376"</definedName>
    <definedName function="false" hidden="true" name="IQ_NONFARM_OUTPUT_PER_HR_YOY_FC" vbProcedure="false">"c8256"</definedName>
    <definedName function="false" hidden="true" name="IQ_NONFARM_PAYROLLS" vbProcedure="false">"c6926"</definedName>
    <definedName function="false" hidden="true" name="IQ_NONFARM_PAYROLLS_APR" vbProcedure="false">"c7586"</definedName>
    <definedName function="false" hidden="true" name="IQ_NONFARM_PAYROLLS_APR_FC" vbProcedure="false">"c8466"</definedName>
    <definedName function="false" hidden="true" name="IQ_NONFARM_PAYROLLS_FC" vbProcedure="false">"c7806"</definedName>
    <definedName function="false" hidden="true" name="IQ_NONFARM_PAYROLLS_POP" vbProcedure="false">"c7146"</definedName>
    <definedName function="false" hidden="true" name="IQ_NONFARM_PAYROLLS_POP_FC" vbProcedure="false">"c8026"</definedName>
    <definedName function="false" hidden="true" name="IQ_NONFARM_PAYROLLS_YOY" vbProcedure="false">"c7366"</definedName>
    <definedName function="false" hidden="true" name="IQ_NONFARM_PAYROLLS_YOY_FC" vbProcedure="false">"c8246"</definedName>
    <definedName function="false" hidden="true" name="IQ_NONFARM_TOTAL_HR_INDEX" vbProcedure="false">"c6937"</definedName>
    <definedName function="false" hidden="true" name="IQ_NONFARM_TOTAL_HR_INDEX_APR" vbProcedure="false">"c7597"</definedName>
    <definedName function="false" hidden="true" name="IQ_NONFARM_TOTAL_HR_INDEX_APR_FC" vbProcedure="false">"c8477"</definedName>
    <definedName function="false" hidden="true" name="IQ_NONFARM_TOTAL_HR_INDEX_FC" vbProcedure="false">"c7817"</definedName>
    <definedName function="false" hidden="true" name="IQ_NONFARM_TOTAL_HR_INDEX_POP" vbProcedure="false">"c7157"</definedName>
    <definedName function="false" hidden="true" name="IQ_NONFARM_TOTAL_HR_INDEX_POP_FC" vbProcedure="false">"c8037"</definedName>
    <definedName function="false" hidden="true" name="IQ_NONFARM_TOTAL_HR_INDEX_YOY" vbProcedure="false">"c7377"</definedName>
    <definedName function="false" hidden="true" name="IQ_NONFARM_TOTAL_HR_INDEX_YOY_FC" vbProcedure="false">"c8257"</definedName>
    <definedName function="false" hidden="true" name="IQ_NONFARM_WAGES" vbProcedure="false">"c6938"</definedName>
    <definedName function="false" hidden="true" name="IQ_NONFARM_WAGES_APR" vbProcedure="false">"c7598"</definedName>
    <definedName function="false" hidden="true" name="IQ_NONFARM_WAGES_APR_FC" vbProcedure="false">"c8478"</definedName>
    <definedName function="false" hidden="true" name="IQ_NONFARM_WAGES_FC" vbProcedure="false">"c7818"</definedName>
    <definedName function="false" hidden="true" name="IQ_NONFARM_WAGES_INDEX" vbProcedure="false">"c6939"</definedName>
    <definedName function="false" hidden="true" name="IQ_NONFARM_WAGES_INDEX_APR" vbProcedure="false">"c7599"</definedName>
    <definedName function="false" hidden="true" name="IQ_NONFARM_WAGES_INDEX_APR_FC" vbProcedure="false">"c8479"</definedName>
    <definedName function="false" hidden="true" name="IQ_NONFARM_WAGES_INDEX_FC" vbProcedure="false">"c7819"</definedName>
    <definedName function="false" hidden="true" name="IQ_NONFARM_WAGES_INDEX_POP" vbProcedure="false">"c7159"</definedName>
    <definedName function="false" hidden="true" name="IQ_NONFARM_WAGES_INDEX_POP_FC" vbProcedure="false">"c8039"</definedName>
    <definedName function="false" hidden="true" name="IQ_NONFARM_WAGES_INDEX_YOY" vbProcedure="false">"c7379"</definedName>
    <definedName function="false" hidden="true" name="IQ_NONFARM_WAGES_INDEX_YOY_FC" vbProcedure="false">"c8259"</definedName>
    <definedName function="false" hidden="true" name="IQ_NONFARM_WAGES_POP" vbProcedure="false">"c7158"</definedName>
    <definedName function="false" hidden="true" name="IQ_NONFARM_WAGES_POP_FC" vbProcedure="false">"c8038"</definedName>
    <definedName function="false" hidden="true" name="IQ_NONFARM_WAGES_YOY" vbProcedure="false">"c7378"</definedName>
    <definedName function="false" hidden="true" name="IQ_NONFARM_WAGES_YOY_FC" vbProcedure="false">"c8258"</definedName>
    <definedName function="false" hidden="true" name="IQ_NONINTEREST_BEARING_BALANCES_FDIC" vbProcedure="false">"c6394"</definedName>
    <definedName function="false" hidden="true" name="IQ_NONINTEREST_BEARING_CASH_FFIEC" vbProcedure="false">"c12774"</definedName>
    <definedName function="false" hidden="true" name="IQ_NONINTEREST_BEARING_DEPOSITS_DOMESTIC_FDIC" vbProcedure="false">"c6477"</definedName>
    <definedName function="false" hidden="true" name="IQ_NONINTEREST_BEARING_DEPOSITS_FOREIGN_FDIC" vbProcedure="false">"c6484"</definedName>
    <definedName function="false" hidden="true" name="IQ_NONINTEREST_EXPENSE_EARNING_ASSETS_FDIC" vbProcedure="false">"c6728"</definedName>
    <definedName function="false" hidden="true" name="IQ_NONINTEREST_INCOME_EARNING_ASSETS_FDIC" vbProcedure="false">"c6727"</definedName>
    <definedName function="false" hidden="true" name="IQ_NONINTEREST_INC_FOREIGN_FFIEC" vbProcedure="false">"c15376"</definedName>
    <definedName function="false" hidden="true" name="IQ_NONMORTGAGE_SERVICING_FDIC" vbProcedure="false">"c6336"</definedName>
    <definedName function="false" hidden="true" name="IQ_NONQUALIFYING_PREFERRED_T1_FFIEC" vbProcedure="false">"c13134"</definedName>
    <definedName function="false" hidden="true" name="IQ_NONRECOURSE_DEBT" vbProcedure="false">"c2550"</definedName>
    <definedName function="false" hidden="true" name="IQ_NONRECOURSE_DEBT_PCT" vbProcedure="false">"c2551"</definedName>
    <definedName function="false" hidden="true" name="IQ_NONRES_FIXED_INVEST" vbProcedure="false">"c6931"</definedName>
    <definedName function="false" hidden="true" name="IQ_NONRES_FIXED_INVEST_APR" vbProcedure="false">"c7591"</definedName>
    <definedName function="false" hidden="true" name="IQ_NONRES_FIXED_INVEST_POP" vbProcedure="false">"c7151"</definedName>
    <definedName function="false" hidden="true" name="IQ_NONRES_FIXED_INVEST_PRIV_APR_FC_UNUSED" vbProcedure="false">"c8468"</definedName>
    <definedName function="false" hidden="true" name="IQ_NONRES_FIXED_INVEST_PRIV_APR_FC_UNUSED_UNUSED_UNUSED" vbProcedure="false">"c8468"</definedName>
    <definedName function="false" hidden="true" name="IQ_NONRES_FIXED_INVEST_PRIV_APR_UNUSED" vbProcedure="false">"c7588"</definedName>
    <definedName function="false" hidden="true" name="IQ_NONRES_FIXED_INVEST_PRIV_APR_UNUSED_UNUSED_UNUSED" vbProcedure="false">"c7588"</definedName>
    <definedName function="false" hidden="true" name="IQ_NONRES_FIXED_INVEST_PRIV_FC_UNUSED" vbProcedure="false">"c7808"</definedName>
    <definedName function="false" hidden="true" name="IQ_NONRES_FIXED_INVEST_PRIV_FC_UNUSED_UNUSED_UNUSED" vbProcedure="false">"c7808"</definedName>
    <definedName function="false" hidden="true" name="IQ_NONRES_FIXED_INVEST_PRIV_POP_FC_UNUSED" vbProcedure="false">"c8028"</definedName>
    <definedName function="false" hidden="true" name="IQ_NONRES_FIXED_INVEST_PRIV_POP_FC_UNUSED_UNUSED_UNUSED" vbProcedure="false">"c8028"</definedName>
    <definedName function="false" hidden="true" name="IQ_NONRES_FIXED_INVEST_PRIV_POP_UNUSED" vbProcedure="false">"c7148"</definedName>
    <definedName function="false" hidden="true" name="IQ_NONRES_FIXED_INVEST_PRIV_POP_UNUSED_UNUSED_UNUSED" vbProcedure="false">"c7148"</definedName>
    <definedName function="false" hidden="true" name="IQ_NONRES_FIXED_INVEST_PRIV_REAL" vbProcedure="false">"c6989"</definedName>
    <definedName function="false" hidden="true" name="IQ_NONRES_FIXED_INVEST_PRIV_REAL_APR" vbProcedure="false">"c7649"</definedName>
    <definedName function="false" hidden="true" name="IQ_NONRES_FIXED_INVEST_PRIV_REAL_APR_FC" vbProcedure="false">"c8529"</definedName>
    <definedName function="false" hidden="true" name="IQ_NONRES_FIXED_INVEST_PRIV_REAL_FC" vbProcedure="false">"c7869"</definedName>
    <definedName function="false" hidden="true" name="IQ_NONRES_FIXED_INVEST_PRIV_REAL_POP" vbProcedure="false">"c7209"</definedName>
    <definedName function="false" hidden="true" name="IQ_NONRES_FIXED_INVEST_PRIV_REAL_POP_FC" vbProcedure="false">"c8089"</definedName>
    <definedName function="false" hidden="true" name="IQ_NONRES_FIXED_INVEST_PRIV_REAL_SAAR" vbProcedure="false">"c6990"</definedName>
    <definedName function="false" hidden="true" name="IQ_NONRES_FIXED_INVEST_PRIV_REAL_SAAR_APR" vbProcedure="false">"c7650"</definedName>
    <definedName function="false" hidden="true" name="IQ_NONRES_FIXED_INVEST_PRIV_REAL_SAAR_APR_FC" vbProcedure="false">"c8530"</definedName>
    <definedName function="false" hidden="true" name="IQ_NONRES_FIXED_INVEST_PRIV_REAL_SAAR_FC" vbProcedure="false">"c7870"</definedName>
    <definedName function="false" hidden="true" name="IQ_NONRES_FIXED_INVEST_PRIV_REAL_SAAR_POP" vbProcedure="false">"c7210"</definedName>
    <definedName function="false" hidden="true" name="IQ_NONRES_FIXED_INVEST_PRIV_REAL_SAAR_POP_FC" vbProcedure="false">"c8090"</definedName>
    <definedName function="false" hidden="true" name="IQ_NONRES_FIXED_INVEST_PRIV_REAL_SAAR_USD_APR_FC" vbProcedure="false">"c11981"</definedName>
    <definedName function="false" hidden="true" name="IQ_NONRES_FIXED_INVEST_PRIV_REAL_SAAR_USD_FC" vbProcedure="false">"c11978"</definedName>
    <definedName function="false" hidden="true" name="IQ_NONRES_FIXED_INVEST_PRIV_REAL_SAAR_USD_POP_FC" vbProcedure="false">"c11979"</definedName>
    <definedName function="false" hidden="true" name="IQ_NONRES_FIXED_INVEST_PRIV_REAL_SAAR_USD_YOY_FC" vbProcedure="false">"c11980"</definedName>
    <definedName function="false" hidden="true" name="IQ_NONRES_FIXED_INVEST_PRIV_REAL_SAAR_YOY" vbProcedure="false">"c7430"</definedName>
    <definedName function="false" hidden="true" name="IQ_NONRES_FIXED_INVEST_PRIV_REAL_SAAR_YOY_FC" vbProcedure="false">"c8310"</definedName>
    <definedName function="false" hidden="true" name="IQ_NONRES_FIXED_INVEST_PRIV_REAL_USD_APR_FC" vbProcedure="false">"c11977"</definedName>
    <definedName function="false" hidden="true" name="IQ_NONRES_FIXED_INVEST_PRIV_REAL_USD_FC" vbProcedure="false">"c11974"</definedName>
    <definedName function="false" hidden="true" name="IQ_NONRES_FIXED_INVEST_PRIV_REAL_USD_POP_FC" vbProcedure="false">"c11975"</definedName>
    <definedName function="false" hidden="true" name="IQ_NONRES_FIXED_INVEST_PRIV_REAL_USD_YOY_FC" vbProcedure="false">"c11976"</definedName>
    <definedName function="false" hidden="true" name="IQ_NONRES_FIXED_INVEST_PRIV_REAL_YOY" vbProcedure="false">"c7429"</definedName>
    <definedName function="false" hidden="true" name="IQ_NONRES_FIXED_INVEST_PRIV_REAL_YOY_FC" vbProcedure="false">"c8309"</definedName>
    <definedName function="false" hidden="true" name="IQ_NONRES_FIXED_INVEST_PRIV_SAAR" vbProcedure="false">"c6929"</definedName>
    <definedName function="false" hidden="true" name="IQ_NONRES_FIXED_INVEST_PRIV_SAAR_APR" vbProcedure="false">"c7589"</definedName>
    <definedName function="false" hidden="true" name="IQ_NONRES_FIXED_INVEST_PRIV_SAAR_APR_FC" vbProcedure="false">"c8469"</definedName>
    <definedName function="false" hidden="true" name="IQ_NONRES_FIXED_INVEST_PRIV_SAAR_FC" vbProcedure="false">"c7809"</definedName>
    <definedName function="false" hidden="true" name="IQ_NONRES_FIXED_INVEST_PRIV_SAAR_POP" vbProcedure="false">"c7149"</definedName>
    <definedName function="false" hidden="true" name="IQ_NONRES_FIXED_INVEST_PRIV_SAAR_POP_FC" vbProcedure="false">"c8029"</definedName>
    <definedName function="false" hidden="true" name="IQ_NONRES_FIXED_INVEST_PRIV_SAAR_USD_APR_FC" vbProcedure="false">"c11877"</definedName>
    <definedName function="false" hidden="true" name="IQ_NONRES_FIXED_INVEST_PRIV_SAAR_USD_FC" vbProcedure="false">"c11874"</definedName>
    <definedName function="false" hidden="true" name="IQ_NONRES_FIXED_INVEST_PRIV_SAAR_USD_POP_FC" vbProcedure="false">"c11875"</definedName>
    <definedName function="false" hidden="true" name="IQ_NONRES_FIXED_INVEST_PRIV_SAAR_USD_YOY_FC" vbProcedure="false">"c11876"</definedName>
    <definedName function="false" hidden="true" name="IQ_NONRES_FIXED_INVEST_PRIV_SAAR_YOY" vbProcedure="false">"c7369"</definedName>
    <definedName function="false" hidden="true" name="IQ_NONRES_FIXED_INVEST_PRIV_SAAR_YOY_FC" vbProcedure="false">"c8249"</definedName>
    <definedName function="false" hidden="true" name="IQ_NONRES_FIXED_INVEST_PRIV_UNUSED" vbProcedure="false">"c6928"</definedName>
    <definedName function="false" hidden="true" name="IQ_NONRES_FIXED_INVEST_PRIV_UNUSED_UNUSED_UNUSED" vbProcedure="false">"c6928"</definedName>
    <definedName function="false" hidden="true" name="IQ_NONRES_FIXED_INVEST_PRIV_USD_APR_FC" vbProcedure="false">"c11873"</definedName>
    <definedName function="false" hidden="true" name="IQ_NONRES_FIXED_INVEST_PRIV_USD_FC" vbProcedure="false">"c11870"</definedName>
    <definedName function="false" hidden="true" name="IQ_NONRES_FIXED_INVEST_PRIV_USD_POP_FC" vbProcedure="false">"c11871"</definedName>
    <definedName function="false" hidden="true" name="IQ_NONRES_FIXED_INVEST_PRIV_USD_YOY_FC" vbProcedure="false">"c11872"</definedName>
    <definedName function="false" hidden="true" name="IQ_NONRES_FIXED_INVEST_PRIV_YOY_FC_UNUSED" vbProcedure="false">"c8248"</definedName>
    <definedName function="false" hidden="true" name="IQ_NONRES_FIXED_INVEST_PRIV_YOY_FC_UNUSED_UNUSED_UNUSED" vbProcedure="false">"c8248"</definedName>
    <definedName function="false" hidden="true" name="IQ_NONRES_FIXED_INVEST_PRIV_YOY_UNUSED" vbProcedure="false">"c7368"</definedName>
    <definedName function="false" hidden="true" name="IQ_NONRES_FIXED_INVEST_PRIV_YOY_UNUSED_UNUSED_UNUSED" vbProcedure="false">"c7368"</definedName>
    <definedName function="false" hidden="true" name="IQ_NONRES_FIXED_INVEST_REAL" vbProcedure="false">"c6993"</definedName>
    <definedName function="false" hidden="true" name="IQ_NONRES_FIXED_INVEST_REAL_APR" vbProcedure="false">"c7653"</definedName>
    <definedName function="false" hidden="true" name="IQ_NONRES_FIXED_INVEST_REAL_POP" vbProcedure="false">"c7213"</definedName>
    <definedName function="false" hidden="true" name="IQ_NONRES_FIXED_INVEST_REAL_SAAR" vbProcedure="false">"c6987"</definedName>
    <definedName function="false" hidden="true" name="IQ_NONRES_FIXED_INVEST_REAL_SAAR_APR" vbProcedure="false">"c7647"</definedName>
    <definedName function="false" hidden="true" name="IQ_NONRES_FIXED_INVEST_REAL_SAAR_APR_FC" vbProcedure="false">"c8527"</definedName>
    <definedName function="false" hidden="true" name="IQ_NONRES_FIXED_INVEST_REAL_SAAR_FC" vbProcedure="false">"c7867"</definedName>
    <definedName function="false" hidden="true" name="IQ_NONRES_FIXED_INVEST_REAL_SAAR_POP" vbProcedure="false">"c7207"</definedName>
    <definedName function="false" hidden="true" name="IQ_NONRES_FIXED_INVEST_REAL_SAAR_POP_FC" vbProcedure="false">"c8087"</definedName>
    <definedName function="false" hidden="true" name="IQ_NONRES_FIXED_INVEST_REAL_SAAR_YOY" vbProcedure="false">"c7427"</definedName>
    <definedName function="false" hidden="true" name="IQ_NONRES_FIXED_INVEST_REAL_SAAR_YOY_FC" vbProcedure="false">"c8307"</definedName>
    <definedName function="false" hidden="true" name="IQ_NONRES_FIXED_INVEST_REAL_USD_APR_FC" vbProcedure="false">"c11973"</definedName>
    <definedName function="false" hidden="true" name="IQ_NONRES_FIXED_INVEST_REAL_USD_FC" vbProcedure="false">"c11970"</definedName>
    <definedName function="false" hidden="true" name="IQ_NONRES_FIXED_INVEST_REAL_USD_POP_FC" vbProcedure="false">"c11971"</definedName>
    <definedName function="false" hidden="true" name="IQ_NONRES_FIXED_INVEST_REAL_USD_YOY_FC" vbProcedure="false">"c11972"</definedName>
    <definedName function="false" hidden="true" name="IQ_NONRES_FIXED_INVEST_REAL_YOY" vbProcedure="false">"c7433"</definedName>
    <definedName function="false" hidden="true" name="IQ_NONRES_FIXED_INVEST_STRUCT" vbProcedure="false">"c6930"</definedName>
    <definedName function="false" hidden="true" name="IQ_NONRES_FIXED_INVEST_STRUCT_APR" vbProcedure="false">"c7590"</definedName>
    <definedName function="false" hidden="true" name="IQ_NONRES_FIXED_INVEST_STRUCT_APR_FC" vbProcedure="false">"c8470"</definedName>
    <definedName function="false" hidden="true" name="IQ_NONRES_FIXED_INVEST_STRUCT_FC" vbProcedure="false">"c7810"</definedName>
    <definedName function="false" hidden="true" name="IQ_NONRES_FIXED_INVEST_STRUCT_POP" vbProcedure="false">"c7150"</definedName>
    <definedName function="false" hidden="true" name="IQ_NONRES_FIXED_INVEST_STRUCT_POP_FC" vbProcedure="false">"c8030"</definedName>
    <definedName function="false" hidden="true" name="IQ_NONRES_FIXED_INVEST_STRUCT_REAL" vbProcedure="false">"c6992"</definedName>
    <definedName function="false" hidden="true" name="IQ_NONRES_FIXED_INVEST_STRUCT_REAL_APR" vbProcedure="false">"c7652"</definedName>
    <definedName function="false" hidden="true" name="IQ_NONRES_FIXED_INVEST_STRUCT_REAL_APR_FC" vbProcedure="false">"c8532"</definedName>
    <definedName function="false" hidden="true" name="IQ_NONRES_FIXED_INVEST_STRUCT_REAL_FC" vbProcedure="false">"c7872"</definedName>
    <definedName function="false" hidden="true" name="IQ_NONRES_FIXED_INVEST_STRUCT_REAL_POP" vbProcedure="false">"c7212"</definedName>
    <definedName function="false" hidden="true" name="IQ_NONRES_FIXED_INVEST_STRUCT_REAL_POP_FC" vbProcedure="false">"c8092"</definedName>
    <definedName function="false" hidden="true" name="IQ_NONRES_FIXED_INVEST_STRUCT_REAL_SAAR" vbProcedure="false">"c6991"</definedName>
    <definedName function="false" hidden="true" name="IQ_NONRES_FIXED_INVEST_STRUCT_REAL_SAAR_APR" vbProcedure="false">"c7651"</definedName>
    <definedName function="false" hidden="true" name="IQ_NONRES_FIXED_INVEST_STRUCT_REAL_SAAR_APR_FC" vbProcedure="false">"c8531"</definedName>
    <definedName function="false" hidden="true" name="IQ_NONRES_FIXED_INVEST_STRUCT_REAL_SAAR_FC" vbProcedure="false">"c7871"</definedName>
    <definedName function="false" hidden="true" name="IQ_NONRES_FIXED_INVEST_STRUCT_REAL_SAAR_POP" vbProcedure="false">"c7211"</definedName>
    <definedName function="false" hidden="true" name="IQ_NONRES_FIXED_INVEST_STRUCT_REAL_SAAR_POP_FC" vbProcedure="false">"c8091"</definedName>
    <definedName function="false" hidden="true" name="IQ_NONRES_FIXED_INVEST_STRUCT_REAL_SAAR_YOY" vbProcedure="false">"c7431"</definedName>
    <definedName function="false" hidden="true" name="IQ_NONRES_FIXED_INVEST_STRUCT_REAL_SAAR_YOY_FC" vbProcedure="false">"c8311"</definedName>
    <definedName function="false" hidden="true" name="IQ_NONRES_FIXED_INVEST_STRUCT_REAL_USD_APR_FC" vbProcedure="false">"c11985"</definedName>
    <definedName function="false" hidden="true" name="IQ_NONRES_FIXED_INVEST_STRUCT_REAL_USD_FC" vbProcedure="false">"c11982"</definedName>
    <definedName function="false" hidden="true" name="IQ_NONRES_FIXED_INVEST_STRUCT_REAL_USD_POP_FC" vbProcedure="false">"c11983"</definedName>
    <definedName function="false" hidden="true" name="IQ_NONRES_FIXED_INVEST_STRUCT_REAL_USD_YOY_FC" vbProcedure="false">"c11984"</definedName>
    <definedName function="false" hidden="true" name="IQ_NONRES_FIXED_INVEST_STRUCT_REAL_YOY" vbProcedure="false">"c7432"</definedName>
    <definedName function="false" hidden="true" name="IQ_NONRES_FIXED_INVEST_STRUCT_REAL_YOY_FC" vbProcedure="false">"c8312"</definedName>
    <definedName function="false" hidden="true" name="IQ_NONRES_FIXED_INVEST_STRUCT_USD_APR_FC" vbProcedure="false">"c11881"</definedName>
    <definedName function="false" hidden="true" name="IQ_NONRES_FIXED_INVEST_STRUCT_USD_FC" vbProcedure="false">"c11878"</definedName>
    <definedName function="false" hidden="true" name="IQ_NONRES_FIXED_INVEST_STRUCT_USD_POP_FC" vbProcedure="false">"c11879"</definedName>
    <definedName function="false" hidden="true" name="IQ_NONRES_FIXED_INVEST_STRUCT_USD_YOY_FC" vbProcedure="false">"c11880"</definedName>
    <definedName function="false" hidden="true" name="IQ_NONRES_FIXED_INVEST_STRUCT_YOY" vbProcedure="false">"c7370"</definedName>
    <definedName function="false" hidden="true" name="IQ_NONRES_FIXED_INVEST_STRUCT_YOY_FC" vbProcedure="false">"c8250"</definedName>
    <definedName function="false" hidden="true" name="IQ_NONRES_FIXED_INVEST_USD_APR_FC" vbProcedure="false">"c11869"</definedName>
    <definedName function="false" hidden="true" name="IQ_NONRES_FIXED_INVEST_USD_FC" vbProcedure="false">"c11866"</definedName>
    <definedName function="false" hidden="true" name="IQ_NONRES_FIXED_INVEST_USD_POP_FC" vbProcedure="false">"c11867"</definedName>
    <definedName function="false" hidden="true" name="IQ_NONRES_FIXED_INVEST_USD_YOY_FC" vbProcedure="false">"c11868"</definedName>
    <definedName function="false" hidden="true" name="IQ_NONRES_FIXED_INVEST_YOY" vbProcedure="false">"c7371"</definedName>
    <definedName function="false" hidden="true" name="IQ_NONTRADING_SECURITIES_FAIR_VALUE_TOT_FFIEC" vbProcedure="false">"c13211"</definedName>
    <definedName function="false" hidden="true" name="IQ_NONTRADING_SECURITIES_LEVEL_1_FFIEC" vbProcedure="false">"c13219"</definedName>
    <definedName function="false" hidden="true" name="IQ_NONTRADING_SECURITIES_LEVEL_2_FFIEC" vbProcedure="false">"c13227"</definedName>
    <definedName function="false" hidden="true" name="IQ_NONTRADING_SECURITIES_LEVEL_3_FFIEC" vbProcedure="false">"c13235"</definedName>
    <definedName function="false" hidden="true" name="IQ_NONTRANSACTION_ACCOUNTS_FDIC" vbProcedure="false">"c6552"</definedName>
    <definedName function="false" hidden="true" name="IQ_NONUTIL_REV" vbProcedure="false">"c2089"</definedName>
    <definedName function="false" hidden="true" name="IQ_NON_ACCRUAL_ASSET_SOLD_DURING_QTR_FFIEC" vbProcedure="false">"c15350"</definedName>
    <definedName function="false" hidden="true" name="IQ_NON_ACCRUAL_LOANS" vbProcedure="false">"c796"</definedName>
    <definedName function="false" hidden="true" name="IQ_NON_ACCRU_ALLOW_RECEIVABLES_FFIEC" vbProcedure="false">"c13353"</definedName>
    <definedName function="false" hidden="true" name="IQ_NON_CASH" vbProcedure="false">"c1399"</definedName>
    <definedName function="false" hidden="true" name="IQ_NON_CASH_ITEMS" vbProcedure="false">"c797"</definedName>
    <definedName function="false" hidden="true" name="IQ_NON_CD_DEPOSITS" vbProcedure="false">"c15718"</definedName>
    <definedName function="false" hidden="true" name="IQ_NON_CD_DEPOSITS_TOTAL_DEPOSITS" vbProcedure="false">"c15725"</definedName>
    <definedName function="false" hidden="true" name="IQ_NON_CURRENT_LOANS_FFIEC" vbProcedure="false">"c13860"</definedName>
    <definedName function="false" hidden="true" name="IQ_NON_FARM_NONRES_PROPERTIES_TRADING_DOM_FFIEC" vbProcedure="false">"c12931"</definedName>
    <definedName function="false" hidden="true" name="IQ_NON_INS_EXP" vbProcedure="false">"c798"</definedName>
    <definedName function="false" hidden="true" name="IQ_NON_INS_REV" vbProcedure="false">"c799"</definedName>
    <definedName function="false" hidden="true" name="IQ_NON_INTEREST_EXP" vbProcedure="false">"c1400"</definedName>
    <definedName function="false" hidden="true" name="IQ_NON_INTEREST_INC" vbProcedure="false">"c1401"</definedName>
    <definedName function="false" hidden="true" name="IQ_NON_INT_BAL_OTHER_INSTITUTIONS_FFIEC" vbProcedure="false">"c12950"</definedName>
    <definedName function="false" hidden="true" name="IQ_NON_INT_BEARING_DEPOSITS" vbProcedure="false">"c800"</definedName>
    <definedName function="false" hidden="true" name="IQ_NON_INT_BEAR_CD" vbProcedure="false">"c11750"</definedName>
    <definedName function="false" hidden="true" name="IQ_NON_INT_DEPOSITS_DOM_FFIEC" vbProcedure="false">"c12851"</definedName>
    <definedName function="false" hidden="true" name="IQ_NON_INT_DEPOSITS_FOREIGN_FFIEC" vbProcedure="false">"c12854"</definedName>
    <definedName function="false" hidden="true" name="IQ_NON_INT_EXP" vbProcedure="false">"c801"</definedName>
    <definedName function="false" hidden="true" name="IQ_NON_INT_EXPENSE_AVG_ASSET" vbProcedure="false">"c15708"</definedName>
    <definedName function="false" hidden="true" name="IQ_NON_INT_EXPENSE_FFIEC" vbProcedure="false">"c13028"</definedName>
    <definedName function="false" hidden="true" name="IQ_NON_INT_EXP_AVG_ASSETS_FFIEC" vbProcedure="false">"c18878"</definedName>
    <definedName function="false" hidden="true" name="IQ_NON_INT_EXP_BNK_AP" vbProcedure="false">"c8877"</definedName>
    <definedName function="false" hidden="true" name="IQ_NON_INT_EXP_BNK_AP_ABS" vbProcedure="false">"c8896"</definedName>
    <definedName function="false" hidden="true" name="IQ_NON_INT_EXP_BNK_NAME_AP" vbProcedure="false">"c8915"</definedName>
    <definedName function="false" hidden="true" name="IQ_NON_INT_EXP_BNK_NAME_AP_ABS" vbProcedure="false">"c8934"</definedName>
    <definedName function="false" hidden="true" name="IQ_NON_INT_EXP_BNK_SUBTOTAL_AP" vbProcedure="false">"c8981"</definedName>
    <definedName function="false" hidden="true" name="IQ_NON_INT_EXP_FDIC" vbProcedure="false">"c6579"</definedName>
    <definedName function="false" hidden="true" name="IQ_NON_INT_INC" vbProcedure="false">"c802"</definedName>
    <definedName function="false" hidden="true" name="IQ_NON_INT_INCOME_AVG_ASSET" vbProcedure="false">"c15707"</definedName>
    <definedName function="false" hidden="true" name="IQ_NON_INT_INCOME_FFIEC" vbProcedure="false">"c13017"</definedName>
    <definedName function="false" hidden="true" name="IQ_NON_INT_INC_10YR_ANN_CAGR" vbProcedure="false">"c6115"</definedName>
    <definedName function="false" hidden="true" name="IQ_NON_INT_INC_10YR_ANN_GROWTH" vbProcedure="false">"c803"</definedName>
    <definedName function="false" hidden="true" name="IQ_NON_INT_INC_1YR_ANN_GROWTH" vbProcedure="false">"c804"</definedName>
    <definedName function="false" hidden="true" name="IQ_NON_INT_INC_2YR_ANN_CAGR" vbProcedure="false">"c6116"</definedName>
    <definedName function="false" hidden="true" name="IQ_NON_INT_INC_2YR_ANN_GROWTH" vbProcedure="false">"c805"</definedName>
    <definedName function="false" hidden="true" name="IQ_NON_INT_INC_3YR_ANN_CAGR" vbProcedure="false">"c6117"</definedName>
    <definedName function="false" hidden="true" name="IQ_NON_INT_INC_3YR_ANN_GROWTH" vbProcedure="false">"c806"</definedName>
    <definedName function="false" hidden="true" name="IQ_NON_INT_INC_5YR_ANN_CAGR" vbProcedure="false">"c6118"</definedName>
    <definedName function="false" hidden="true" name="IQ_NON_INT_INC_5YR_ANN_GROWTH" vbProcedure="false">"c807"</definedName>
    <definedName function="false" hidden="true" name="IQ_NON_INT_INC_7YR_ANN_CAGR" vbProcedure="false">"c6119"</definedName>
    <definedName function="false" hidden="true" name="IQ_NON_INT_INC_7YR_ANN_GROWTH" vbProcedure="false">"c808"</definedName>
    <definedName function="false" hidden="true" name="IQ_NON_INT_INC_AVG_ASSETS_FFIEC" vbProcedure="false">"c13359"</definedName>
    <definedName function="false" hidden="true" name="IQ_NON_INT_INC_BNK_AP" vbProcedure="false">"c8876"</definedName>
    <definedName function="false" hidden="true" name="IQ_NON_INT_INC_BNK_AP_ABS" vbProcedure="false">"c8895"</definedName>
    <definedName function="false" hidden="true" name="IQ_NON_INT_INC_BNK_NAME_AP" vbProcedure="false">"c8914"</definedName>
    <definedName function="false" hidden="true" name="IQ_NON_INT_INC_BNK_NAME_AP_ABS" vbProcedure="false">"c8933"</definedName>
    <definedName function="false" hidden="true" name="IQ_NON_INT_INC_BNK_SUBTOTAL_AP" vbProcedure="false">"c8980"</definedName>
    <definedName function="false" hidden="true" name="IQ_NON_INT_INC_FDIC" vbProcedure="false">"c6575"</definedName>
    <definedName function="false" hidden="true" name="IQ_NON_INT_INC_OPERATING_INC_FFIEC" vbProcedure="false">"c13382"</definedName>
    <definedName function="false" hidden="true" name="IQ_NON_OPER_EXP" vbProcedure="false">"c809"</definedName>
    <definedName function="false" hidden="true" name="IQ_NON_OPER_INC" vbProcedure="false">"c810"</definedName>
    <definedName function="false" hidden="true" name="IQ_NON_PERFORMING_ASSETS" vbProcedure="false">"c826"</definedName>
    <definedName function="false" hidden="true" name="IQ_NON_PERFORMING_ASSETS_FFIEC" vbProcedure="false">"c13859"</definedName>
    <definedName function="false" hidden="true" name="IQ_NON_PERFORMING_LOANS" vbProcedure="false">"c827"</definedName>
    <definedName function="false" hidden="true" name="IQ_NON_PERFORMING_LOANS_FFIEC" vbProcedure="false">"c13861"</definedName>
    <definedName function="false" hidden="true" name="IQ_NON_PERF_ASSETS_10YR_ANN_CAGR" vbProcedure="false">"c6120"</definedName>
    <definedName function="false" hidden="true" name="IQ_NON_PERF_ASSETS_10YR_ANN_GROWTH" vbProcedure="false">"c811"</definedName>
    <definedName function="false" hidden="true" name="IQ_NON_PERF_ASSETS_1YR_ANN_GROWTH" vbProcedure="false">"c812"</definedName>
    <definedName function="false" hidden="true" name="IQ_NON_PERF_ASSETS_2YR_ANN_CAGR" vbProcedure="false">"c6121"</definedName>
    <definedName function="false" hidden="true" name="IQ_NON_PERF_ASSETS_2YR_ANN_GROWTH" vbProcedure="false">"c813"</definedName>
    <definedName function="false" hidden="true" name="IQ_NON_PERF_ASSETS_3YR_ANN_CAGR" vbProcedure="false">"c6122"</definedName>
    <definedName function="false" hidden="true" name="IQ_NON_PERF_ASSETS_3YR_ANN_GROWTH" vbProcedure="false">"c814"</definedName>
    <definedName function="false" hidden="true" name="IQ_NON_PERF_ASSETS_5YR_ANN_CAGR" vbProcedure="false">"c6123"</definedName>
    <definedName function="false" hidden="true" name="IQ_NON_PERF_ASSETS_5YR_ANN_GROWTH" vbProcedure="false">"c815"</definedName>
    <definedName function="false" hidden="true" name="IQ_NON_PERF_ASSETS_7YR_ANN_CAGR" vbProcedure="false">"c6124"</definedName>
    <definedName function="false" hidden="true" name="IQ_NON_PERF_ASSETS_7YR_ANN_GROWTH" vbProcedure="false">"c816"</definedName>
    <definedName function="false" hidden="true" name="IQ_NON_PERF_ASSETS_EQUITY" vbProcedure="false">"c15702"</definedName>
    <definedName function="false" hidden="true" name="IQ_NON_PERF_ASSETS_LOANS_OREO" vbProcedure="false">"c15701"</definedName>
    <definedName function="false" hidden="true" name="IQ_NON_PERF_ASSETS_TOTAL_ASSETS" vbProcedure="false">"c817"</definedName>
    <definedName function="false" hidden="true" name="IQ_NON_PERF_LOANS_10YR_ANN_CAGR" vbProcedure="false">"c6125"</definedName>
    <definedName function="false" hidden="true" name="IQ_NON_PERF_LOANS_10YR_ANN_GROWTH" vbProcedure="false">"c818"</definedName>
    <definedName function="false" hidden="true" name="IQ_NON_PERF_LOANS_1YR_ANN_GROWTH" vbProcedure="false">"c819"</definedName>
    <definedName function="false" hidden="true" name="IQ_NON_PERF_LOANS_2YR_ANN_CAGR" vbProcedure="false">"c6126"</definedName>
    <definedName function="false" hidden="true" name="IQ_NON_PERF_LOANS_2YR_ANN_GROWTH" vbProcedure="false">"c820"</definedName>
    <definedName function="false" hidden="true" name="IQ_NON_PERF_LOANS_3YR_ANN_CAGR" vbProcedure="false">"c6127"</definedName>
    <definedName function="false" hidden="true" name="IQ_NON_PERF_LOANS_3YR_ANN_GROWTH" vbProcedure="false">"c821"</definedName>
    <definedName function="false" hidden="true" name="IQ_NON_PERF_LOANS_5YR_ANN_CAGR" vbProcedure="false">"c6128"</definedName>
    <definedName function="false" hidden="true" name="IQ_NON_PERF_LOANS_5YR_ANN_GROWTH" vbProcedure="false">"c822"</definedName>
    <definedName function="false" hidden="true" name="IQ_NON_PERF_LOANS_7YR_ANN_CAGR" vbProcedure="false">"c6129"</definedName>
    <definedName function="false" hidden="true" name="IQ_NON_PERF_LOANS_7YR_ANN_GROWTH" vbProcedure="false">"c823"</definedName>
    <definedName function="false" hidden="true" name="IQ_NON_PERF_LOANS_TOTAL_ASSETS" vbProcedure="false">"c824"</definedName>
    <definedName function="false" hidden="true" name="IQ_NON_PERF_LOANS_TOTAL_LOANS" vbProcedure="false">"c825"</definedName>
    <definedName function="false" hidden="true" name="IQ_NON_RENTAL_NOI" vbProcedure="false">"c16066"</definedName>
    <definedName function="false" hidden="true" name="IQ_NON_RENTAL_OPERATING_EXPENSE" vbProcedure="false">"c16046"</definedName>
    <definedName function="false" hidden="true" name="IQ_NON_RE_DA" vbProcedure="false">"c16179"</definedName>
    <definedName function="false" hidden="true" name="IQ_NON_US_ADDRESSEES_TOTAL_LOANS_FOREIGN_FDIC" vbProcedure="false">"c6443"</definedName>
    <definedName function="false" hidden="true" name="IQ_NON_US_ADDRESS_LEASE_FIN_REC_FFIEC" vbProcedure="false">"c13625"</definedName>
    <definedName function="false" hidden="true" name="IQ_NON_US_CHARGE_OFFS_AND_RECOVERIES_FDIC" vbProcedure="false">"c6650"</definedName>
    <definedName function="false" hidden="true" name="IQ_NON_US_CHARGE_OFFS_FDIC" vbProcedure="false">"c6648"</definedName>
    <definedName function="false" hidden="true" name="IQ_NON_US_COMMERCIAL_INDUSTRIAL_CHARGE_OFFS_FDIC" vbProcedure="false">"c6651"</definedName>
    <definedName function="false" hidden="true" name="IQ_NON_US_NET_LOANS_FDIC" vbProcedure="false">"c6376"</definedName>
    <definedName function="false" hidden="true" name="IQ_NON_US_RECOVERIES_FDIC" vbProcedure="false">"c6649"</definedName>
    <definedName function="false" hidden="true" name="IQ_NORMAL_INC_AFTER" vbProcedure="false">"c1605"</definedName>
    <definedName function="false" hidden="true" name="IQ_NORMAL_INC_AVAIL" vbProcedure="false">"c1606"</definedName>
    <definedName function="false" hidden="true" name="IQ_NORMAL_INC_BEFORE" vbProcedure="false">"c1607"</definedName>
    <definedName function="false" hidden="true" name="IQ_NORM_EPS_ACT_OR_EST" vbProcedure="false">"c2249"</definedName>
    <definedName function="false" hidden="true" name="IQ_NORM_EPS_ACT_OR_EST_CIQ" vbProcedure="false">"c5069"</definedName>
    <definedName function="false" hidden="true" name="IQ_NORM_EPS_ACT_OR_EST_REUT" vbProcedure="false">"c5472"</definedName>
    <definedName function="false" hidden="true" name="IQ_NOTES_PAY" vbProcedure="false">"c1423"</definedName>
    <definedName function="false" hidden="true" name="IQ_NOTIONAL_AMOUNT_CREDIT_DERIVATIVES_FDIC" vbProcedure="false">"c6507"</definedName>
    <definedName function="false" hidden="true" name="IQ_NOTIONAL_AMT_DERIVATIVES_BENEFICIARY_FFIEC" vbProcedure="false">"c13118"</definedName>
    <definedName function="false" hidden="true" name="IQ_NOTIONAL_AMT_DERIVATIVES_GUARANTOR_FFIEC" vbProcedure="false">"c13111"</definedName>
    <definedName function="false" hidden="true" name="IQ_NOTIONAL_VALUE_EXCHANGE_SWAPS_FDIC" vbProcedure="false">"c6516"</definedName>
    <definedName function="false" hidden="true" name="IQ_NOTIONAL_VALUE_OTHER_SWAPS_FDIC" vbProcedure="false">"c6521"</definedName>
    <definedName function="false" hidden="true" name="IQ_NOTIONAL_VALUE_RATE_SWAPS_FDIC" vbProcedure="false">"c6511"</definedName>
    <definedName function="false" hidden="true" name="IQ_NOW_ACCOUNT" vbProcedure="false">"c828"</definedName>
    <definedName function="false" hidden="true" name="IQ_NOW_ATS_ACCOUNTS_COMMERCIAL_BANK_SUBS_FFIEC" vbProcedure="false">"c12946"</definedName>
    <definedName function="false" hidden="true" name="IQ_NOW_ATS_ACCOUNTS_OTHER_INSTITUTIONS_FFIEC" vbProcedure="false">"c12951"</definedName>
    <definedName function="false" hidden="true" name="IQ_NOW_OTHER_TRANS_ACCTS_TOT_DEPOSITS_FFIEC" vbProcedure="false">"c13903"</definedName>
    <definedName function="false" hidden="true" name="IQ_NPPE" vbProcedure="false">"c829"</definedName>
    <definedName function="false" hidden="true" name="IQ_NPPE_10YR_ANN_CAGR" vbProcedure="false">"c6130"</definedName>
    <definedName function="false" hidden="true" name="IQ_NPPE_10YR_ANN_GROWTH" vbProcedure="false">"c830"</definedName>
    <definedName function="false" hidden="true" name="IQ_NPPE_1YR_ANN_GROWTH" vbProcedure="false">"c831"</definedName>
    <definedName function="false" hidden="true" name="IQ_NPPE_2YR_ANN_CAGR" vbProcedure="false">"c6131"</definedName>
    <definedName function="false" hidden="true" name="IQ_NPPE_2YR_ANN_GROWTH" vbProcedure="false">"c832"</definedName>
    <definedName function="false" hidden="true" name="IQ_NPPE_3YR_ANN_CAGR" vbProcedure="false">"c6132"</definedName>
    <definedName function="false" hidden="true" name="IQ_NPPE_3YR_ANN_GROWTH" vbProcedure="false">"c833"</definedName>
    <definedName function="false" hidden="true" name="IQ_NPPE_5YR_ANN_CAGR" vbProcedure="false">"c6133"</definedName>
    <definedName function="false" hidden="true" name="IQ_NPPE_5YR_ANN_GROWTH" vbProcedure="false">"c834"</definedName>
    <definedName function="false" hidden="true" name="IQ_NPPE_7YR_ANN_CAGR" vbProcedure="false">"c6134"</definedName>
    <definedName function="false" hidden="true" name="IQ_NPPE_7YR_ANN_GROWTH" vbProcedure="false">"c835"</definedName>
    <definedName function="false" hidden="true" name="IQ_NTM" vbProcedure="false">6000</definedName>
    <definedName function="false" hidden="true" name="IQ_NUKE" vbProcedure="false">"c836"</definedName>
    <definedName function="false" hidden="true" name="IQ_NUKE_CF" vbProcedure="false">"c837"</definedName>
    <definedName function="false" hidden="true" name="IQ_NUKE_CONTR" vbProcedure="false">"c838"</definedName>
    <definedName function="false" hidden="true" name="IQ_NUMBER_ADRHOLDERS" vbProcedure="false">"c1970"</definedName>
    <definedName function="false" hidden="true" name="IQ_NUMBER_CELL_SITES" vbProcedure="false">"c15762"</definedName>
    <definedName function="false" hidden="true" name="IQ_NUMBER_DAYS" vbProcedure="false">"c1904"</definedName>
    <definedName function="false" hidden="true" name="IQ_NUMBER_DEPOSITS_LESS_THAN_100K_FDIC" vbProcedure="false">"c6495"</definedName>
    <definedName function="false" hidden="true" name="IQ_NUMBER_DEPOSITS_MORE_THAN_100K_FDIC" vbProcedure="false">"c6493"</definedName>
    <definedName function="false" hidden="true" name="IQ_NUMBER_MINES_ALUM" vbProcedure="false">"c9248"</definedName>
    <definedName function="false" hidden="true" name="IQ_NUMBER_MINES_COAL" vbProcedure="false">"c9822"</definedName>
    <definedName function="false" hidden="true" name="IQ_NUMBER_MINES_COP" vbProcedure="false">"c9193"</definedName>
    <definedName function="false" hidden="true" name="IQ_NUMBER_MINES_DIAM" vbProcedure="false">"c9672"</definedName>
    <definedName function="false" hidden="true" name="IQ_NUMBER_MINES_GOLD" vbProcedure="false">"c9033"</definedName>
    <definedName function="false" hidden="true" name="IQ_NUMBER_MINES_IRON" vbProcedure="false">"c9407"</definedName>
    <definedName function="false" hidden="true" name="IQ_NUMBER_MINES_LEAD" vbProcedure="false">"c9460"</definedName>
    <definedName function="false" hidden="true" name="IQ_NUMBER_MINES_MANG" vbProcedure="false">"c9513"</definedName>
    <definedName function="false" hidden="true" name="IQ_NUMBER_MINES_MOLYB" vbProcedure="false">"c9725"</definedName>
    <definedName function="false" hidden="true" name="IQ_NUMBER_MINES_NICK" vbProcedure="false">"c9301"</definedName>
    <definedName function="false" hidden="true" name="IQ_NUMBER_MINES_PLAT" vbProcedure="false">"c9139"</definedName>
    <definedName function="false" hidden="true" name="IQ_NUMBER_MINES_SILVER" vbProcedure="false">"c9086"</definedName>
    <definedName function="false" hidden="true" name="IQ_NUMBER_MINES_TITAN" vbProcedure="false">"c9566"</definedName>
    <definedName function="false" hidden="true" name="IQ_NUMBER_MINES_URAN" vbProcedure="false">"c9619"</definedName>
    <definedName function="false" hidden="true" name="IQ_NUMBER_MINES_ZINC" vbProcedure="false">"c9354"</definedName>
    <definedName function="false" hidden="true" name="IQ_NUMBER_SHAREHOLDERS" vbProcedure="false">"c1967"</definedName>
    <definedName function="false" hidden="true" name="IQ_NUMBER_SHAREHOLDERS_CLASSA" vbProcedure="false">"c1968"</definedName>
    <definedName function="false" hidden="true" name="IQ_NUMBER_SHAREHOLDERS_CLASSB" vbProcedure="false">"c1969"</definedName>
    <definedName function="false" hidden="true" name="IQ_NUMBER_SHAREHOLDERS_OTHER" vbProcedure="false">"c1969"</definedName>
    <definedName function="false" hidden="true" name="IQ_NUMBER_TRADES_EXECUTED" vbProcedure="false">"c20428"</definedName>
    <definedName function="false" hidden="true" name="IQ_NUMBER_WIRELESS_TOWERS" vbProcedure="false">"c15766"</definedName>
    <definedName function="false" hidden="true" name="IQ_NUM_BRANCHES" vbProcedure="false">"c2088"</definedName>
    <definedName function="false" hidden="true" name="IQ_NUM_CONTRIBUTORS" vbProcedure="false">"c13739"</definedName>
    <definedName function="false" hidden="true" name="IQ_NUM_OFFICES" vbProcedure="false">"c2088"</definedName>
    <definedName function="false" hidden="true" name="IQ_OBLIGATIONS_OF_STATES_TOTAL_LOANS_FOREIGN_FDIC" vbProcedure="false">"c6447"</definedName>
    <definedName function="false" hidden="true" name="IQ_OBLIGATIONS_STATES_FDIC" vbProcedure="false">"c6431"</definedName>
    <definedName function="false" hidden="true" name="IQ_OBLIGATION_STATES_POLI_SUBD_US_LL_REC_DOM_FFIEC" vbProcedure="false">"c15295"</definedName>
    <definedName function="false" hidden="true" name="IQ_OBLIGATION_STATES_POLI_SUBD_US_LL_REC_FFIEC" vbProcedure="false">"c15294"</definedName>
    <definedName function="false" hidden="true" name="IQ_OCCUPANCY_CONSOL" vbProcedure="false">"c8840"</definedName>
    <definedName function="false" hidden="true" name="IQ_OCCUPANCY_EXP_AVG_ASSETS_FFIEC" vbProcedure="false">"c13372"</definedName>
    <definedName function="false" hidden="true" name="IQ_OCCUPANCY_EXP_OPERATING_INC_FFIEC" vbProcedure="false">"c13380"</definedName>
    <definedName function="false" hidden="true" name="IQ_OCCUPANCY_MANAGED" vbProcedure="false">"c8842"</definedName>
    <definedName function="false" hidden="true" name="IQ_OCCUPANCY_OTHER" vbProcedure="false">"c8843"</definedName>
    <definedName function="false" hidden="true" name="IQ_OCCUPANCY_SAME_PROP" vbProcedure="false">"c8845"</definedName>
    <definedName function="false" hidden="true" name="IQ_OCCUPANCY_TOTAL" vbProcedure="false">"c8844"</definedName>
    <definedName function="false" hidden="true" name="IQ_OCCUPANCY_UNCONSOL" vbProcedure="false">"c8841"</definedName>
    <definedName function="false" hidden="true" name="IQ_OCCUPY_EXP" vbProcedure="false">"c839"</definedName>
    <definedName function="false" hidden="true" name="IQ_OFFER_AMOUNT" vbProcedure="false">"c2152"</definedName>
    <definedName function="false" hidden="true" name="IQ_OFFER_COUPON" vbProcedure="false">"c2147"</definedName>
    <definedName function="false" hidden="true" name="IQ_OFFER_COUPON_TYPE" vbProcedure="false">"c2148"</definedName>
    <definedName function="false" hidden="true" name="IQ_OFFER_DATE" vbProcedure="false">"c2149"</definedName>
    <definedName function="false" hidden="true" name="IQ_OFFER_PRICE" vbProcedure="false">"c2150"</definedName>
    <definedName function="false" hidden="true" name="IQ_OFFER_YIELD" vbProcedure="false">"c2151"</definedName>
    <definedName function="false" hidden="true" name="IQ_OG_10DISC" vbProcedure="false">"c1998"</definedName>
    <definedName function="false" hidden="true" name="IQ_OG_10DISC_GAS" vbProcedure="false">"c2018"</definedName>
    <definedName function="false" hidden="true" name="IQ_OG_10DISC_OIL" vbProcedure="false">"c2008"</definedName>
    <definedName function="false" hidden="true" name="IQ_OG_ACQ_COST_PROVED" vbProcedure="false">"c1975"</definedName>
    <definedName function="false" hidden="true" name="IQ_OG_ACQ_COST_PROVED_GAS" vbProcedure="false">"c1987"</definedName>
    <definedName function="false" hidden="true" name="IQ_OG_ACQ_COST_PROVED_OIL" vbProcedure="false">"c1981"</definedName>
    <definedName function="false" hidden="true" name="IQ_OG_ACQ_COST_UNPROVED" vbProcedure="false">"c1976"</definedName>
    <definedName function="false" hidden="true" name="IQ_OG_ACQ_COST_UNPROVED_GAS" vbProcedure="false">"c1988"</definedName>
    <definedName function="false" hidden="true" name="IQ_OG_ACQ_COST_UNPROVED_OIL" vbProcedure="false">"c1982"</definedName>
    <definedName function="false" hidden="true" name="IQ_OG_AVG_DAILY_GAS_EQUIV_PRODUCTION_MMCFE" vbProcedure="false">"c10061"</definedName>
    <definedName function="false" hidden="true" name="IQ_OG_AVG_DAILY_OIL_EQUIV_PRODUCTION_KBOE" vbProcedure="false">"c10060"</definedName>
    <definedName function="false" hidden="true" name="IQ_OG_AVG_DAILY_PRODUCTION_GAS_MMCM" vbProcedure="false">"c10059"</definedName>
    <definedName function="false" hidden="true" name="IQ_OG_AVG_DAILY_PROD_GAS" vbProcedure="false">"c2910"</definedName>
    <definedName function="false" hidden="true" name="IQ_OG_AVG_DAILY_PROD_NGL" vbProcedure="false">"c2911"</definedName>
    <definedName function="false" hidden="true" name="IQ_OG_AVG_DAILY_PROD_OIL" vbProcedure="false">"c2909"</definedName>
    <definedName function="false" hidden="true" name="IQ_OG_AVG_DAILY_SALES_VOL_EQ_INC_GAS" vbProcedure="false">"c5797"</definedName>
    <definedName function="false" hidden="true" name="IQ_OG_AVG_DAILY_SALES_VOL_EQ_INC_NGL" vbProcedure="false">"c5798"</definedName>
    <definedName function="false" hidden="true" name="IQ_OG_AVG_DAILY_SALES_VOL_EQ_INC_OIL" vbProcedure="false">"c5796"</definedName>
    <definedName function="false" hidden="true" name="IQ_OG_AVG_GAS_PRICE_CBM_HEDGED" vbProcedure="false">"c10054"</definedName>
    <definedName function="false" hidden="true" name="IQ_OG_AVG_GAS_PRICE_CBM_UNHEDGED" vbProcedure="false">"c10055"</definedName>
    <definedName function="false" hidden="true" name="IQ_OG_AVG_PRODUCTION_COST_BBL" vbProcedure="false">"c10062"</definedName>
    <definedName function="false" hidden="true" name="IQ_OG_AVG_PRODUCTION_COST_BOE" vbProcedure="false">"c10064"</definedName>
    <definedName function="false" hidden="true" name="IQ_OG_AVG_PRODUCTION_COST_MCF" vbProcedure="false">"c10063"</definedName>
    <definedName function="false" hidden="true" name="IQ_OG_AVG_PRODUCTION_COST_MCFE" vbProcedure="false">"c10065"</definedName>
    <definedName function="false" hidden="true" name="IQ_OG_CLOSE_BALANCE_GAS" vbProcedure="false">"c2049"</definedName>
    <definedName function="false" hidden="true" name="IQ_OG_CLOSE_BALANCE_NGL" vbProcedure="false">"c2920"</definedName>
    <definedName function="false" hidden="true" name="IQ_OG_CLOSE_BALANCE_OIL" vbProcedure="false">"c2037"</definedName>
    <definedName function="false" hidden="true" name="IQ_OG_DAILY_PRDUCTION_GROWTH_GAS" vbProcedure="false">"c12732"</definedName>
    <definedName function="false" hidden="true" name="IQ_OG_DAILY_PRDUCTION_GROWTH_GAS_EQUIVALENT" vbProcedure="false">"c12733"</definedName>
    <definedName function="false" hidden="true" name="IQ_OG_DAILY_PRDUCTION_GROWTH_NGL" vbProcedure="false">"c12734"</definedName>
    <definedName function="false" hidden="true" name="IQ_OG_DAILY_PRDUCTION_GROWTH_OIL" vbProcedure="false">"c12735"</definedName>
    <definedName function="false" hidden="true" name="IQ_OG_DAILY_PRDUCTION_GROWTH_OIL_EQUIVALENT" vbProcedure="false">"c12736"</definedName>
    <definedName function="false" hidden="true" name="IQ_OG_DAILY_PRODUCTION_GROWTH_GAS" vbProcedure="false">"c10073"</definedName>
    <definedName function="false" hidden="true" name="IQ_OG_DAILY_PRODUCTION_GROWTH_GAS_EQUIVALENT" vbProcedure="false">"c10076"</definedName>
    <definedName function="false" hidden="true" name="IQ_OG_DAILY_PRODUCTION_GROWTH_NGL" vbProcedure="false">"c10074"</definedName>
    <definedName function="false" hidden="true" name="IQ_OG_DAILY_PRODUCTION_GROWTH_OIL" vbProcedure="false">"c10072"</definedName>
    <definedName function="false" hidden="true" name="IQ_OG_DAILY_PRODUCTION_GROWTH_OIL_EQUIVALENT" vbProcedure="false">"c10075"</definedName>
    <definedName function="false" hidden="true" name="IQ_OG_DCF_BEFORE_TAXES" vbProcedure="false">"c2023"</definedName>
    <definedName function="false" hidden="true" name="IQ_OG_DCF_BEFORE_TAXES_GAS" vbProcedure="false">"c2025"</definedName>
    <definedName function="false" hidden="true" name="IQ_OG_DCF_BEFORE_TAXES_OIL" vbProcedure="false">"c2024"</definedName>
    <definedName function="false" hidden="true" name="IQ_OG_DEVELOPED_ACRE_GROSS_EQ_INC" vbProcedure="false">"c5802"</definedName>
    <definedName function="false" hidden="true" name="IQ_OG_DEVELOPED_ACRE_NET_EQ_INC" vbProcedure="false">"c5803"</definedName>
    <definedName function="false" hidden="true" name="IQ_OG_DEVELOPED_RESERVES_GAS" vbProcedure="false">"c2053"</definedName>
    <definedName function="false" hidden="true" name="IQ_OG_DEVELOPED_RESERVES_GAS_BCM" vbProcedure="false">"c10045"</definedName>
    <definedName function="false" hidden="true" name="IQ_OG_DEVELOPED_RESERVES_NGL" vbProcedure="false">"c2922"</definedName>
    <definedName function="false" hidden="true" name="IQ_OG_DEVELOPED_RESERVES_OIL" vbProcedure="false">"c2054"</definedName>
    <definedName function="false" hidden="true" name="IQ_OG_DEVELOPMENT_COSTS" vbProcedure="false">"c1978"</definedName>
    <definedName function="false" hidden="true" name="IQ_OG_DEVELOPMENT_COSTS_GAS" vbProcedure="false">"c1990"</definedName>
    <definedName function="false" hidden="true" name="IQ_OG_DEVELOPMENT_COSTS_OIL" vbProcedure="false">"c1984"</definedName>
    <definedName function="false" hidden="true" name="IQ_OG_EQUITY_AFFILIATES_RESERVES_GAS_BCM" vbProcedure="false">"c10047"</definedName>
    <definedName function="false" hidden="true" name="IQ_OG_EQUITY_DCF" vbProcedure="false">"c2002"</definedName>
    <definedName function="false" hidden="true" name="IQ_OG_EQUITY_DCF_GAS" vbProcedure="false">"c2022"</definedName>
    <definedName function="false" hidden="true" name="IQ_OG_EQUITY_DCF_OIL" vbProcedure="false">"c2012"</definedName>
    <definedName function="false" hidden="true" name="IQ_OG_EQUITY_RESERVES_GAS" vbProcedure="false">"c2050"</definedName>
    <definedName function="false" hidden="true" name="IQ_OG_EQUITY_RESERVES_NGL" vbProcedure="false">"c2921"</definedName>
    <definedName function="false" hidden="true" name="IQ_OG_EQUITY_RESERVES_OIL" vbProcedure="false">"c2038"</definedName>
    <definedName function="false" hidden="true" name="IQ_OG_EQUTY_RESERVES_GAS" vbProcedure="false">"c2050"</definedName>
    <definedName function="false" hidden="true" name="IQ_OG_EQUTY_RESERVES_NGL" vbProcedure="false">"c2921"</definedName>
    <definedName function="false" hidden="true" name="IQ_OG_EQUTY_RESERVES_OIL" vbProcedure="false">"c2038"</definedName>
    <definedName function="false" hidden="true" name="IQ_OG_EXPLORATION_COSTS" vbProcedure="false">"c1977"</definedName>
    <definedName function="false" hidden="true" name="IQ_OG_EXPLORATION_COSTS_GAS" vbProcedure="false">"c1989"</definedName>
    <definedName function="false" hidden="true" name="IQ_OG_EXPLORATION_COSTS_OIL" vbProcedure="false">"c1983"</definedName>
    <definedName function="false" hidden="true" name="IQ_OG_EXPLORATION_DEVELOPMENT_COST" vbProcedure="false">"c10081"</definedName>
    <definedName function="false" hidden="true" name="IQ_OG_EXT_DISC_GAS" vbProcedure="false">"c2043"</definedName>
    <definedName function="false" hidden="true" name="IQ_OG_EXT_DISC_NGL" vbProcedure="false">"c2914"</definedName>
    <definedName function="false" hidden="true" name="IQ_OG_EXT_DISC_OIL" vbProcedure="false">"c2031"</definedName>
    <definedName function="false" hidden="true" name="IQ_OG_FUTURE_CASH_INFLOWS" vbProcedure="false">"c1993"</definedName>
    <definedName function="false" hidden="true" name="IQ_OG_FUTURE_CASH_INFLOWS_GAS" vbProcedure="false">"c2013"</definedName>
    <definedName function="false" hidden="true" name="IQ_OG_FUTURE_CASH_INFLOWS_OIL" vbProcedure="false">"c2003"</definedName>
    <definedName function="false" hidden="true" name="IQ_OG_FUTURE_DEVELOPMENT_COSTS" vbProcedure="false">"c1995"</definedName>
    <definedName function="false" hidden="true" name="IQ_OG_FUTURE_DEVELOPMENT_COSTS_GAS" vbProcedure="false">"c2015"</definedName>
    <definedName function="false" hidden="true" name="IQ_OG_FUTURE_DEVELOPMENT_COSTS_OIL" vbProcedure="false">"c2005"</definedName>
    <definedName function="false" hidden="true" name="IQ_OG_FUTURE_INC_TAXES" vbProcedure="false">"c1997"</definedName>
    <definedName function="false" hidden="true" name="IQ_OG_FUTURE_INC_TAXES_GAS" vbProcedure="false">"c2017"</definedName>
    <definedName function="false" hidden="true" name="IQ_OG_FUTURE_INC_TAXES_OIL" vbProcedure="false">"c2007"</definedName>
    <definedName function="false" hidden="true" name="IQ_OG_FUTURE_PRODUCTION_COSTS" vbProcedure="false">"c1994"</definedName>
    <definedName function="false" hidden="true" name="IQ_OG_FUTURE_PRODUCTION_COSTS_GAS" vbProcedure="false">"c2014"</definedName>
    <definedName function="false" hidden="true" name="IQ_OG_FUTURE_PRODUCTION_COSTS_OIL" vbProcedure="false">"c2004"</definedName>
    <definedName function="false" hidden="true" name="IQ_OG_GAS_PRICE_HEDGED" vbProcedure="false">"c2056"</definedName>
    <definedName function="false" hidden="true" name="IQ_OG_GAS_PRICE_UNHEDGED" vbProcedure="false">"c2058"</definedName>
    <definedName function="false" hidden="true" name="IQ_OG_GROSS_DEVELOPED_AREA_SQ_KM" vbProcedure="false">"c10079"</definedName>
    <definedName function="false" hidden="true" name="IQ_OG_GROSS_DEVELOPMENT_DRY_WELLS_DRILLED" vbProcedure="false">"c10098"</definedName>
    <definedName function="false" hidden="true" name="IQ_OG_GROSS_DEVELOPMENT_PRODUCTIVE_WELLS_DRILLED" vbProcedure="false">"c10097"</definedName>
    <definedName function="false" hidden="true" name="IQ_OG_GROSS_DEVELOPMENT_PRODUCTIVE_WELLS_DRILLED_GAS" vbProcedure="false">"c15907"</definedName>
    <definedName function="false" hidden="true" name="IQ_OG_GROSS_DEVELOPMENT_PRODUCTIVE_WELLS_DRILLED_OIL" vbProcedure="false">"c15906"</definedName>
    <definedName function="false" hidden="true" name="IQ_OG_GROSS_DEVELOPMENT_TOTAL_WELLS_DRILLED" vbProcedure="false">"c10099"</definedName>
    <definedName function="false" hidden="true" name="IQ_OG_GROSS_EXPLORATORY_DRY_WELLS_DRILLED" vbProcedure="false">"c10095"</definedName>
    <definedName function="false" hidden="true" name="IQ_OG_GROSS_EXPLORATORY_PRODUCTIVE_WELLS_DRILLED" vbProcedure="false">"c10094"</definedName>
    <definedName function="false" hidden="true" name="IQ_OG_GROSS_EXPLORATORY_PRODUCTIVE_WELLS_DRILLED_GAS" vbProcedure="false">"c15905"</definedName>
    <definedName function="false" hidden="true" name="IQ_OG_GROSS_EXPLORATORY_PRODUCTIVE_WELLS_DRILLED_OIL" vbProcedure="false">"c15904"</definedName>
    <definedName function="false" hidden="true" name="IQ_OG_GROSS_EXPLORATORY_TOTAL_WELLS_DRILLED" vbProcedure="false">"c10096"</definedName>
    <definedName function="false" hidden="true" name="IQ_OG_GROSS_OPERATED_WELLS" vbProcedure="false">"c10092"</definedName>
    <definedName function="false" hidden="true" name="IQ_OG_GROSS_PRODUCING_WELLS_GAS" vbProcedure="false">"c15897"</definedName>
    <definedName function="false" hidden="true" name="IQ_OG_GROSS_PRODUCING_WELLS_OIL" vbProcedure="false">"c15896"</definedName>
    <definedName function="false" hidden="true" name="IQ_OG_GROSS_PRODUCTIVE_WELLS_DRILLED_GAS" vbProcedure="false">"c15901"</definedName>
    <definedName function="false" hidden="true" name="IQ_OG_GROSS_PRODUCTIVE_WELLS_DRILLED_OIL" vbProcedure="false">"c15900"</definedName>
    <definedName function="false" hidden="true" name="IQ_OG_GROSS_PRODUCTIVE_WELLS_GAS" vbProcedure="false">"c10087"</definedName>
    <definedName function="false" hidden="true" name="IQ_OG_GROSS_PRODUCTIVE_WELLS_OIL" vbProcedure="false">"c10086"</definedName>
    <definedName function="false" hidden="true" name="IQ_OG_GROSS_PRODUCTIVE_WELLS_TOTAL" vbProcedure="false">"c10088"</definedName>
    <definedName function="false" hidden="true" name="IQ_OG_GROSS_TOTAL_WELLS_DRILLED" vbProcedure="false">"c10100"</definedName>
    <definedName function="false" hidden="true" name="IQ_OG_GROSS_UNDEVELOPED_AREA_SQ_KM" vbProcedure="false">"c10077"</definedName>
    <definedName function="false" hidden="true" name="IQ_OG_GROSS_WELLS_DRILLING" vbProcedure="false">"c10108"</definedName>
    <definedName function="false" hidden="true" name="IQ_OG_IMPROVED_RECOVERY_GAS" vbProcedure="false">"c2044"</definedName>
    <definedName function="false" hidden="true" name="IQ_OG_IMPROVED_RECOVERY_NGL" vbProcedure="false">"c2915"</definedName>
    <definedName function="false" hidden="true" name="IQ_OG_IMPROVED_RECOVERY_OIL" vbProcedure="false">"c2032"</definedName>
    <definedName function="false" hidden="true" name="IQ_OG_LIQUID_GAS_PRICE_HEDGED" vbProcedure="false">"c2233"</definedName>
    <definedName function="false" hidden="true" name="IQ_OG_LIQUID_GAS_PRICE_UNHEDGED" vbProcedure="false">"c2234"</definedName>
    <definedName function="false" hidden="true" name="IQ_OG_NET_DEVELOPED_AREA_SQ_KM" vbProcedure="false">"c10080"</definedName>
    <definedName function="false" hidden="true" name="IQ_OG_NET_DEVELOPMENT_DRY_WELLS_DRILLED" vbProcedure="false">"c10105"</definedName>
    <definedName function="false" hidden="true" name="IQ_OG_NET_DEVELOPMENT_PRODUCTIVE_WELLS_DRILLED" vbProcedure="false">"c10104"</definedName>
    <definedName function="false" hidden="true" name="IQ_OG_NET_DEVELOPMENT_PRODUCTIVE_WELLS_DRILLED_GAS" vbProcedure="false">"c15911"</definedName>
    <definedName function="false" hidden="true" name="IQ_OG_NET_DEVELOPMENT_PRODUCTIVE_WELLS_DRILLED_OIL" vbProcedure="false">"c15910"</definedName>
    <definedName function="false" hidden="true" name="IQ_OG_NET_DEVELOPMENT_TOTAL_WELLS_DRILLED" vbProcedure="false">"c10106"</definedName>
    <definedName function="false" hidden="true" name="IQ_OG_NET_EXPLORATORY_DRY_WELLS_DRILLED" vbProcedure="false">"c10102"</definedName>
    <definedName function="false" hidden="true" name="IQ_OG_NET_EXPLORATORY_PRODUCTIVE_WELLS_DRILLED" vbProcedure="false">"c10101"</definedName>
    <definedName function="false" hidden="true" name="IQ_OG_NET_EXPLORATORY_PRODUCTIVE_WELLS_DRILLED_GAS" vbProcedure="false">"c15909"</definedName>
    <definedName function="false" hidden="true" name="IQ_OG_NET_EXPLORATORY_PRODUCTIVE_WELLS_DRILLED_OIL" vbProcedure="false">"c15908"</definedName>
    <definedName function="false" hidden="true" name="IQ_OG_NET_EXPLORATORY_TOTAL_WELLS_DRILLED" vbProcedure="false">"c10103"</definedName>
    <definedName function="false" hidden="true" name="IQ_OG_NET_FUTURE_CASH_FLOWS" vbProcedure="false">"c1996"</definedName>
    <definedName function="false" hidden="true" name="IQ_OG_NET_FUTURE_CASH_FLOWS_GAS" vbProcedure="false">"c2016"</definedName>
    <definedName function="false" hidden="true" name="IQ_OG_NET_FUTURE_CASH_FLOWS_OIL" vbProcedure="false">"c2006"</definedName>
    <definedName function="false" hidden="true" name="IQ_OG_NET_OPERATED_WELLS" vbProcedure="false">"c10093"</definedName>
    <definedName function="false" hidden="true" name="IQ_OG_NET_PRODUCING_WELLS_GAS" vbProcedure="false">"c15899"</definedName>
    <definedName function="false" hidden="true" name="IQ_OG_NET_PRODUCING_WELLS_OIL" vbProcedure="false">"c15898"</definedName>
    <definedName function="false" hidden="true" name="IQ_OG_NET_PRODUCTIVE_WELLS_DRILLED_GAS" vbProcedure="false">"c15903"</definedName>
    <definedName function="false" hidden="true" name="IQ_OG_NET_PRODUCTIVE_WELLS_DRILLED_OIL" vbProcedure="false">"c15902"</definedName>
    <definedName function="false" hidden="true" name="IQ_OG_NET_PRODUCTIVE_WELLS_GAS" vbProcedure="false">"c10090"</definedName>
    <definedName function="false" hidden="true" name="IQ_OG_NET_PRODUCTIVE_WELLS_OIL" vbProcedure="false">"c10089"</definedName>
    <definedName function="false" hidden="true" name="IQ_OG_NET_PRODUCTIVE_WELLS_TOTAL" vbProcedure="false">"c10091"</definedName>
    <definedName function="false" hidden="true" name="IQ_OG_NET_TOTAL_WELLS_DRILLED" vbProcedure="false">"c10107"</definedName>
    <definedName function="false" hidden="true" name="IQ_OG_NET_UNDEVELOPED_AREA_SQ_KM" vbProcedure="false">"c10078"</definedName>
    <definedName function="false" hidden="true" name="IQ_OG_NET_WELLS_DRILLING" vbProcedure="false">"c10109"</definedName>
    <definedName function="false" hidden="true" name="IQ_OG_NUMBER_WELLS_NEW" vbProcedure="false">"c10085"</definedName>
    <definedName function="false" hidden="true" name="IQ_OG_OIL_PRICE_HEDGED" vbProcedure="false">"c2055"</definedName>
    <definedName function="false" hidden="true" name="IQ_OG_OIL_PRICE_UNHEDGED" vbProcedure="false">"c2057"</definedName>
    <definedName function="false" hidden="true" name="IQ_OG_OPEN_BALANCE_GAS" vbProcedure="false">"c2041"</definedName>
    <definedName function="false" hidden="true" name="IQ_OG_OPEN_BALANCE_NGL" vbProcedure="false">"c2912"</definedName>
    <definedName function="false" hidden="true" name="IQ_OG_OPEN_BALANCE_OIL" vbProcedure="false">"c2029"</definedName>
    <definedName function="false" hidden="true" name="IQ_OG_OTHER_ADJ" vbProcedure="false">"c1999"</definedName>
    <definedName function="false" hidden="true" name="IQ_OG_OTHER_ADJ_FCF" vbProcedure="false">"c1999"</definedName>
    <definedName function="false" hidden="true" name="IQ_OG_OTHER_ADJ_FCF_GAS" vbProcedure="false">"c2019"</definedName>
    <definedName function="false" hidden="true" name="IQ_OG_OTHER_ADJ_FCF_OIL" vbProcedure="false">"c2009"</definedName>
    <definedName function="false" hidden="true" name="IQ_OG_OTHER_ADJ_GAS" vbProcedure="false">"c2048"</definedName>
    <definedName function="false" hidden="true" name="IQ_OG_OTHER_ADJ_NGL" vbProcedure="false">"c2919"</definedName>
    <definedName function="false" hidden="true" name="IQ_OG_OTHER_ADJ_OIL" vbProcedure="false">"c2036"</definedName>
    <definedName function="false" hidden="true" name="IQ_OG_OTHER_COSTS" vbProcedure="false">"c1979"</definedName>
    <definedName function="false" hidden="true" name="IQ_OG_OTHER_COSTS_GAS" vbProcedure="false">"c1991"</definedName>
    <definedName function="false" hidden="true" name="IQ_OG_OTHER_COSTS_OIL" vbProcedure="false">"c1985"</definedName>
    <definedName function="false" hidden="true" name="IQ_OG_PRDUCTION_GROWTH_GAS" vbProcedure="false">"c12737"</definedName>
    <definedName function="false" hidden="true" name="IQ_OG_PRDUCTION_GROWTH_GAS_EQUIVALENT" vbProcedure="false">"c12738"</definedName>
    <definedName function="false" hidden="true" name="IQ_OG_PRDUCTION_GROWTH_NGL" vbProcedure="false">"c12739"</definedName>
    <definedName function="false" hidden="true" name="IQ_OG_PRDUCTION_GROWTH_OIL" vbProcedure="false">"c12740"</definedName>
    <definedName function="false" hidden="true" name="IQ_OG_PRDUCTION_GROWTH_OIL_EQUIVALENT" vbProcedure="false">"c12741"</definedName>
    <definedName function="false" hidden="true" name="IQ_OG_PRDUCTION_GROWTH_TOAL" vbProcedure="false">"c12742"</definedName>
    <definedName function="false" hidden="true" name="IQ_OG_PRODUCTION_GAS" vbProcedure="false">"c2047"</definedName>
    <definedName function="false" hidden="true" name="IQ_OG_PRODUCTION_GROWTH_GAS" vbProcedure="false">"c10067"</definedName>
    <definedName function="false" hidden="true" name="IQ_OG_PRODUCTION_GROWTH_GAS_EQUIVALENT" vbProcedure="false">"c10070"</definedName>
    <definedName function="false" hidden="true" name="IQ_OG_PRODUCTION_GROWTH_NGL" vbProcedure="false">"c10068"</definedName>
    <definedName function="false" hidden="true" name="IQ_OG_PRODUCTION_GROWTH_OIL" vbProcedure="false">"c10066"</definedName>
    <definedName function="false" hidden="true" name="IQ_OG_PRODUCTION_GROWTH_OIL_EQUIVALENT" vbProcedure="false">"c10069"</definedName>
    <definedName function="false" hidden="true" name="IQ_OG_PRODUCTION_GROWTH_TOTAL" vbProcedure="false">"c10071"</definedName>
    <definedName function="false" hidden="true" name="IQ_OG_PRODUCTION_NGL" vbProcedure="false">"c2918"</definedName>
    <definedName function="false" hidden="true" name="IQ_OG_PRODUCTION_OIL" vbProcedure="false">"c2035"</definedName>
    <definedName function="false" hidden="true" name="IQ_OG_PURCHASES_GAS" vbProcedure="false">"c2045"</definedName>
    <definedName function="false" hidden="true" name="IQ_OG_PURCHASES_NGL" vbProcedure="false">"c2916"</definedName>
    <definedName function="false" hidden="true" name="IQ_OG_PURCHASES_OIL" vbProcedure="false">"c2033"</definedName>
    <definedName function="false" hidden="true" name="IQ_OG_RESERVE_REPLACEMENT_RATIO" vbProcedure="false">"c5799"</definedName>
    <definedName function="false" hidden="true" name="IQ_OG_REVISIONS_GAS" vbProcedure="false">"c2042"</definedName>
    <definedName function="false" hidden="true" name="IQ_OG_REVISIONS_NGL" vbProcedure="false">"c2913"</definedName>
    <definedName function="false" hidden="true" name="IQ_OG_REVISIONS_OIL" vbProcedure="false">"c2030"</definedName>
    <definedName function="false" hidden="true" name="IQ_OG_RIGS_NON_OPERATED" vbProcedure="false">"c10083"</definedName>
    <definedName function="false" hidden="true" name="IQ_OG_RIGS_OPERATED" vbProcedure="false">"c10082"</definedName>
    <definedName function="false" hidden="true" name="IQ_OG_RIGS_TOTAL" vbProcedure="false">"c10084"</definedName>
    <definedName function="false" hidden="true" name="IQ_OG_SALES_IN_PLACE_GAS" vbProcedure="false">"c2046"</definedName>
    <definedName function="false" hidden="true" name="IQ_OG_SALES_IN_PLACE_NGL" vbProcedure="false">"c2917"</definedName>
    <definedName function="false" hidden="true" name="IQ_OG_SALES_IN_PLACE_OIL" vbProcedure="false">"c2034"</definedName>
    <definedName function="false" hidden="true" name="IQ_OG_SALES_VOL_EQ_INC_GAS" vbProcedure="false">"c5794"</definedName>
    <definedName function="false" hidden="true" name="IQ_OG_SALES_VOL_EQ_INC_NGL" vbProcedure="false">"c5795"</definedName>
    <definedName function="false" hidden="true" name="IQ_OG_SALES_VOL_EQ_INC_OIL" vbProcedure="false">"c5793"</definedName>
    <definedName function="false" hidden="true" name="IQ_OG_STANDARDIZED_DCF" vbProcedure="false">"c2000"</definedName>
    <definedName function="false" hidden="true" name="IQ_OG_STANDARDIZED_DCF_GAS" vbProcedure="false">"c2020"</definedName>
    <definedName function="false" hidden="true" name="IQ_OG_STANDARDIZED_DCF_HEDGED" vbProcedure="false">"c2001"</definedName>
    <definedName function="false" hidden="true" name="IQ_OG_STANDARDIZED_DCF_HEDGED_GAS" vbProcedure="false">"c2021"</definedName>
    <definedName function="false" hidden="true" name="IQ_OG_STANDARDIZED_DCF_HEDGED_OIL" vbProcedure="false">"c2011"</definedName>
    <definedName function="false" hidden="true" name="IQ_OG_STANDARDIZED_DCF_OIL" vbProcedure="false">"c2010"</definedName>
    <definedName function="false" hidden="true" name="IQ_OG_TAXES" vbProcedure="false">"c2026"</definedName>
    <definedName function="false" hidden="true" name="IQ_OG_TAXES_GAS" vbProcedure="false">"c2028"</definedName>
    <definedName function="false" hidden="true" name="IQ_OG_TAXES_OIL" vbProcedure="false">"c2027"</definedName>
    <definedName function="false" hidden="true" name="IQ_OG_TOTAL_COSTS" vbProcedure="false">"c1980"</definedName>
    <definedName function="false" hidden="true" name="IQ_OG_TOTAL_COSTS_GAS" vbProcedure="false">"c1992"</definedName>
    <definedName function="false" hidden="true" name="IQ_OG_TOTAL_COSTS_OIL" vbProcedure="false">"c1986"</definedName>
    <definedName function="false" hidden="true" name="IQ_OG_TOTAL_EST_PROVED_RESERVES_GAS" vbProcedure="false">"c2052"</definedName>
    <definedName function="false" hidden="true" name="IQ_OG_TOTAL_GAS_EQUIV_PRODUCTION_BCFE" vbProcedure="false">"c10058"</definedName>
    <definedName function="false" hidden="true" name="IQ_OG_TOTAL_GAS_PRODUCTION" vbProcedure="false">"c2060"</definedName>
    <definedName function="false" hidden="true" name="IQ_OG_TOTAL_LIQUID_GAS_PRODUCTION" vbProcedure="false">"c2235"</definedName>
    <definedName function="false" hidden="true" name="IQ_OG_TOTAL_OIL_EQUIV_PRODUCTION_MMBOE" vbProcedure="false">"c10057"</definedName>
    <definedName function="false" hidden="true" name="IQ_OG_TOTAL_OIL_PRODUCTION" vbProcedure="false">"c2059"</definedName>
    <definedName function="false" hidden="true" name="IQ_OG_TOTAL_OIL_PRODUCTON" vbProcedure="false">"c2059"</definedName>
    <definedName function="false" hidden="true" name="IQ_OG_TOTAL_POSSIBLE_RESERVES_GAS_BCF" vbProcedure="false">"c10050"</definedName>
    <definedName function="false" hidden="true" name="IQ_OG_TOTAL_POSSIBLE_RESERVES_GAS_BCM" vbProcedure="false">"c10051"</definedName>
    <definedName function="false" hidden="true" name="IQ_OG_TOTAL_POSSIBLE_RESERVES_OIL_MMBBLS" vbProcedure="false">"c10053"</definedName>
    <definedName function="false" hidden="true" name="IQ_OG_TOTAL_PROBABLE_RESERVES_GAS_BCF" vbProcedure="false">"c10048"</definedName>
    <definedName function="false" hidden="true" name="IQ_OG_TOTAL_PROBABLE_RESERVES_GAS_BCM" vbProcedure="false">"c10049"</definedName>
    <definedName function="false" hidden="true" name="IQ_OG_TOTAL_PROBABLE_RESERVES_OIL_MMBBLS" vbProcedure="false">"c10052"</definedName>
    <definedName function="false" hidden="true" name="IQ_OG_TOTAL_PRODUCTION_GAS_BCM" vbProcedure="false">"c10056"</definedName>
    <definedName function="false" hidden="true" name="IQ_OG_TOTAL_PROVED_RESERVES_GAS_BCM" vbProcedure="false">"c10046"</definedName>
    <definedName function="false" hidden="true" name="IQ_OG_UNDEVELOPED_ACRE_GROSS_EQ_INC" vbProcedure="false">"c5800"</definedName>
    <definedName function="false" hidden="true" name="IQ_OG_UNDEVELOPED_ACRE_NET_EQ_INC" vbProcedure="false">"c5801"</definedName>
    <definedName function="false" hidden="true" name="IQ_OG_UNDEVELOPED_RESERVES_GAS" vbProcedure="false">"c2051"</definedName>
    <definedName function="false" hidden="true" name="IQ_OG_UNDEVELOPED_RESERVES_GAS_BCM" vbProcedure="false">"c10044"</definedName>
    <definedName function="false" hidden="true" name="IQ_OG_UNDEVELOPED_RESERVES_NGL" vbProcedure="false">"c2923"</definedName>
    <definedName function="false" hidden="true" name="IQ_OG_UNDEVELOPED_RESERVES_OIL" vbProcedure="false">"c2039"</definedName>
    <definedName function="false" hidden="true" name="IQ_OIL_IMPAIR" vbProcedure="false">"c840"</definedName>
    <definedName function="false" hidden="true" name="IQ_OL_COMM_AFTER_FIVE" vbProcedure="false">"c841"</definedName>
    <definedName function="false" hidden="true" name="IQ_OL_COMM_CY" vbProcedure="false">"c842"</definedName>
    <definedName function="false" hidden="true" name="IQ_OL_COMM_CY1" vbProcedure="false">"c843"</definedName>
    <definedName function="false" hidden="true" name="IQ_OL_COMM_CY2" vbProcedure="false">"c844"</definedName>
    <definedName function="false" hidden="true" name="IQ_OL_COMM_CY3" vbProcedure="false">"c845"</definedName>
    <definedName function="false" hidden="true" name="IQ_OL_COMM_CY4" vbProcedure="false">"c846"</definedName>
    <definedName function="false" hidden="true" name="IQ_OL_COMM_NEXT_FIVE" vbProcedure="false">"c847"</definedName>
    <definedName function="false" hidden="true" name="IQ_OPEB_ACCRUED_LIAB" vbProcedure="false">"c3308"</definedName>
    <definedName function="false" hidden="true" name="IQ_OPEB_ACCRUED_LIAB_DOM" vbProcedure="false">"c3306"</definedName>
    <definedName function="false" hidden="true" name="IQ_OPEB_ACCRUED_LIAB_FOREIGN" vbProcedure="false">"c3307"</definedName>
    <definedName function="false" hidden="true" name="IQ_OPEB_ACCUM_OTHER_CI" vbProcedure="false">"c3314"</definedName>
    <definedName function="false" hidden="true" name="IQ_OPEB_ACCUM_OTHER_CI_DOM" vbProcedure="false">"c3312"</definedName>
    <definedName function="false" hidden="true" name="IQ_OPEB_ACCUM_OTHER_CI_FOREIGN" vbProcedure="false">"c3313"</definedName>
    <definedName function="false" hidden="true" name="IQ_OPEB_ACT_NEXT" vbProcedure="false">"c5774"</definedName>
    <definedName function="false" hidden="true" name="IQ_OPEB_ACT_NEXT_DOM" vbProcedure="false">"c5772"</definedName>
    <definedName function="false" hidden="true" name="IQ_OPEB_ACT_NEXT_FOREIGN" vbProcedure="false">"c5773"</definedName>
    <definedName function="false" hidden="true" name="IQ_OPEB_AMT_RECOG_NEXT" vbProcedure="false">"c5783"</definedName>
    <definedName function="false" hidden="true" name="IQ_OPEB_AMT_RECOG_NEXT_DOM" vbProcedure="false">"c5781"</definedName>
    <definedName function="false" hidden="true" name="IQ_OPEB_AMT_RECOG_NEXT_FOREIGN" vbProcedure="false">"c5782"</definedName>
    <definedName function="false" hidden="true" name="IQ_OPEB_ASSETS" vbProcedure="false">"c3356"</definedName>
    <definedName function="false" hidden="true" name="IQ_OPEB_ASSETS_ACQ" vbProcedure="false">"c3347"</definedName>
    <definedName function="false" hidden="true" name="IQ_OPEB_ASSETS_ACQ_DOM" vbProcedure="false">"c3345"</definedName>
    <definedName function="false" hidden="true" name="IQ_OPEB_ASSETS_ACQ_FOREIGN" vbProcedure="false">"c3346"</definedName>
    <definedName function="false" hidden="true" name="IQ_OPEB_ASSETS_ACTUAL_RETURN" vbProcedure="false">"c3332"</definedName>
    <definedName function="false" hidden="true" name="IQ_OPEB_ASSETS_ACTUAL_RETURN_DOM" vbProcedure="false">"c3330"</definedName>
    <definedName function="false" hidden="true" name="IQ_OPEB_ASSETS_ACTUAL_RETURN_FOREIGN" vbProcedure="false">"c3331"</definedName>
    <definedName function="false" hidden="true" name="IQ_OPEB_ASSETS_BEG" vbProcedure="false">"c3329"</definedName>
    <definedName function="false" hidden="true" name="IQ_OPEB_ASSETS_BEG_DOM" vbProcedure="false">"c3327"</definedName>
    <definedName function="false" hidden="true" name="IQ_OPEB_ASSETS_BEG_FOREIGN" vbProcedure="false">"c3328"</definedName>
    <definedName function="false" hidden="true" name="IQ_OPEB_ASSETS_BENEFITS_PAID" vbProcedure="false">"c3341"</definedName>
    <definedName function="false" hidden="true" name="IQ_OPEB_ASSETS_BENEFITS_PAID_DOM" vbProcedure="false">"c3339"</definedName>
    <definedName function="false" hidden="true" name="IQ_OPEB_ASSETS_BENEFITS_PAID_FOREIGN" vbProcedure="false">"c3340"</definedName>
    <definedName function="false" hidden="true" name="IQ_OPEB_ASSETS_CURTAIL" vbProcedure="false">"c3350"</definedName>
    <definedName function="false" hidden="true" name="IQ_OPEB_ASSETS_CURTAIL_DOM" vbProcedure="false">"c3348"</definedName>
    <definedName function="false" hidden="true" name="IQ_OPEB_ASSETS_CURTAIL_FOREIGN" vbProcedure="false">"c3349"</definedName>
    <definedName function="false" hidden="true" name="IQ_OPEB_ASSETS_DOM" vbProcedure="false">"c3354"</definedName>
    <definedName function="false" hidden="true" name="IQ_OPEB_ASSETS_EMPLOYER_CONTRIBUTIONS" vbProcedure="false">"c3335"</definedName>
    <definedName function="false" hidden="true" name="IQ_OPEB_ASSETS_EMPLOYER_CONTRIBUTIONS_DOM" vbProcedure="false">"c3333"</definedName>
    <definedName function="false" hidden="true" name="IQ_OPEB_ASSETS_EMPLOYER_CONTRIBUTIONS_FOREIGN" vbProcedure="false">"c3334"</definedName>
    <definedName function="false" hidden="true" name="IQ_OPEB_ASSETS_FOREIGN" vbProcedure="false">"c3355"</definedName>
    <definedName function="false" hidden="true" name="IQ_OPEB_ASSETS_FX_ADJ" vbProcedure="false">"c3344"</definedName>
    <definedName function="false" hidden="true" name="IQ_OPEB_ASSETS_FX_ADJ_DOM" vbProcedure="false">"c3342"</definedName>
    <definedName function="false" hidden="true" name="IQ_OPEB_ASSETS_FX_ADJ_FOREIGN" vbProcedure="false">"c3343"</definedName>
    <definedName function="false" hidden="true" name="IQ_OPEB_ASSETS_OTHER_PLAN_ADJ" vbProcedure="false">"c3353"</definedName>
    <definedName function="false" hidden="true" name="IQ_OPEB_ASSETS_OTHER_PLAN_ADJ_DOM" vbProcedure="false">"c3351"</definedName>
    <definedName function="false" hidden="true" name="IQ_OPEB_ASSETS_OTHER_PLAN_ADJ_FOREIGN" vbProcedure="false">"c3352"</definedName>
    <definedName function="false" hidden="true" name="IQ_OPEB_ASSETS_PARTICIP_CONTRIBUTIONS" vbProcedure="false">"c3338"</definedName>
    <definedName function="false" hidden="true" name="IQ_OPEB_ASSETS_PARTICIP_CONTRIBUTIONS_DOM" vbProcedure="false">"c3336"</definedName>
    <definedName function="false" hidden="true" name="IQ_OPEB_ASSETS_PARTICIP_CONTRIBUTIONS_FOREIGN" vbProcedure="false">"c3337"</definedName>
    <definedName function="false" hidden="true" name="IQ_OPEB_BENEFIT_INFO_DATE" vbProcedure="false">"c3410"</definedName>
    <definedName function="false" hidden="true" name="IQ_OPEB_BENEFIT_INFO_DATE_DOM" vbProcedure="false">"c3408"</definedName>
    <definedName function="false" hidden="true" name="IQ_OPEB_BENEFIT_INFO_DATE_FOREIGN" vbProcedure="false">"c3409"</definedName>
    <definedName function="false" hidden="true" name="IQ_OPEB_BREAKDOWN_EQ" vbProcedure="false">"c3275"</definedName>
    <definedName function="false" hidden="true" name="IQ_OPEB_BREAKDOWN_EQ_DOM" vbProcedure="false">"c3273"</definedName>
    <definedName function="false" hidden="true" name="IQ_OPEB_BREAKDOWN_EQ_FOREIGN" vbProcedure="false">"c3274"</definedName>
    <definedName function="false" hidden="true" name="IQ_OPEB_BREAKDOWN_FI" vbProcedure="false">"c3278"</definedName>
    <definedName function="false" hidden="true" name="IQ_OPEB_BREAKDOWN_FI_DOM" vbProcedure="false">"c3276"</definedName>
    <definedName function="false" hidden="true" name="IQ_OPEB_BREAKDOWN_FI_FOREIGN" vbProcedure="false">"c3277"</definedName>
    <definedName function="false" hidden="true" name="IQ_OPEB_BREAKDOWN_OTHER" vbProcedure="false">"c3284"</definedName>
    <definedName function="false" hidden="true" name="IQ_OPEB_BREAKDOWN_OTHER_DOM" vbProcedure="false">"c3282"</definedName>
    <definedName function="false" hidden="true" name="IQ_OPEB_BREAKDOWN_OTHER_FOREIGN" vbProcedure="false">"c3283"</definedName>
    <definedName function="false" hidden="true" name="IQ_OPEB_BREAKDOWN_PCT_EQ" vbProcedure="false">"c3263"</definedName>
    <definedName function="false" hidden="true" name="IQ_OPEB_BREAKDOWN_PCT_EQ_DOM" vbProcedure="false">"c3261"</definedName>
    <definedName function="false" hidden="true" name="IQ_OPEB_BREAKDOWN_PCT_EQ_FOREIGN" vbProcedure="false">"c3262"</definedName>
    <definedName function="false" hidden="true" name="IQ_OPEB_BREAKDOWN_PCT_FI" vbProcedure="false">"c3266"</definedName>
    <definedName function="false" hidden="true" name="IQ_OPEB_BREAKDOWN_PCT_FI_DOM" vbProcedure="false">"c3264"</definedName>
    <definedName function="false" hidden="true" name="IQ_OPEB_BREAKDOWN_PCT_FI_FOREIGN" vbProcedure="false">"c3265"</definedName>
    <definedName function="false" hidden="true" name="IQ_OPEB_BREAKDOWN_PCT_OTHER" vbProcedure="false">"c3272"</definedName>
    <definedName function="false" hidden="true" name="IQ_OPEB_BREAKDOWN_PCT_OTHER_DOM" vbProcedure="false">"c3270"</definedName>
    <definedName function="false" hidden="true" name="IQ_OPEB_BREAKDOWN_PCT_OTHER_FOREIGN" vbProcedure="false">"c3271"</definedName>
    <definedName function="false" hidden="true" name="IQ_OPEB_BREAKDOWN_PCT_RE" vbProcedure="false">"c3269"</definedName>
    <definedName function="false" hidden="true" name="IQ_OPEB_BREAKDOWN_PCT_RE_DOM" vbProcedure="false">"c3267"</definedName>
    <definedName function="false" hidden="true" name="IQ_OPEB_BREAKDOWN_PCT_RE_FOREIGN" vbProcedure="false">"c3268"</definedName>
    <definedName function="false" hidden="true" name="IQ_OPEB_BREAKDOWN_RE" vbProcedure="false">"c3281"</definedName>
    <definedName function="false" hidden="true" name="IQ_OPEB_BREAKDOWN_RE_DOM" vbProcedure="false">"c3279"</definedName>
    <definedName function="false" hidden="true" name="IQ_OPEB_BREAKDOWN_RE_FOREIGN" vbProcedure="false">"c3280"</definedName>
    <definedName function="false" hidden="true" name="IQ_OPEB_CI_ACT" vbProcedure="false">"c5759"</definedName>
    <definedName function="false" hidden="true" name="IQ_OPEB_CI_ACT_DOM" vbProcedure="false">"c5757"</definedName>
    <definedName function="false" hidden="true" name="IQ_OPEB_CI_ACT_FOREIGN" vbProcedure="false">"c5758"</definedName>
    <definedName function="false" hidden="true" name="IQ_OPEB_CI_NET_AMT_RECOG" vbProcedure="false">"c5771"</definedName>
    <definedName function="false" hidden="true" name="IQ_OPEB_CI_NET_AMT_RECOG_DOM" vbProcedure="false">"c5769"</definedName>
    <definedName function="false" hidden="true" name="IQ_OPEB_CI_NET_AMT_RECOG_FOREIGN" vbProcedure="false">"c5770"</definedName>
    <definedName function="false" hidden="true" name="IQ_OPEB_CI_OTHER_MISC_ADJ" vbProcedure="false">"c5768"</definedName>
    <definedName function="false" hidden="true" name="IQ_OPEB_CI_OTHER_MISC_ADJ_DOM" vbProcedure="false">"c5766"</definedName>
    <definedName function="false" hidden="true" name="IQ_OPEB_CI_OTHER_MISC_ADJ_FOREIGN" vbProcedure="false">"c5767"</definedName>
    <definedName function="false" hidden="true" name="IQ_OPEB_CI_PRIOR_SERVICE" vbProcedure="false">"c5762"</definedName>
    <definedName function="false" hidden="true" name="IQ_OPEB_CI_PRIOR_SERVICE_DOM" vbProcedure="false">"c5760"</definedName>
    <definedName function="false" hidden="true" name="IQ_OPEB_CI_PRIOR_SERVICE_FOREIGN" vbProcedure="false">"c5761"</definedName>
    <definedName function="false" hidden="true" name="IQ_OPEB_CI_TRANSITION" vbProcedure="false">"c5765"</definedName>
    <definedName function="false" hidden="true" name="IQ_OPEB_CI_TRANSITION_DOM" vbProcedure="false">"c5763"</definedName>
    <definedName function="false" hidden="true" name="IQ_OPEB_CI_TRANSITION_FOREIGN" vbProcedure="false">"c5764"</definedName>
    <definedName function="false" hidden="true" name="IQ_OPEB_CL" vbProcedure="false">"c5789"</definedName>
    <definedName function="false" hidden="true" name="IQ_OPEB_CL_DOM" vbProcedure="false">"c5787"</definedName>
    <definedName function="false" hidden="true" name="IQ_OPEB_CL_FOREIGN" vbProcedure="false">"c5788"</definedName>
    <definedName function="false" hidden="true" name="IQ_OPEB_DECREASE_EFFECT_PBO" vbProcedure="false">"c3458"</definedName>
    <definedName function="false" hidden="true" name="IQ_OPEB_DECREASE_EFFECT_PBO_DOM" vbProcedure="false">"c3456"</definedName>
    <definedName function="false" hidden="true" name="IQ_OPEB_DECREASE_EFFECT_PBO_FOREIGN" vbProcedure="false">"c3457"</definedName>
    <definedName function="false" hidden="true" name="IQ_OPEB_DECREASE_EFFECT_SERVICE_INT_COST" vbProcedure="false">"c3455"</definedName>
    <definedName function="false" hidden="true" name="IQ_OPEB_DECREASE_EFFECT_SERVICE_INT_COST_DOM" vbProcedure="false">"c3453"</definedName>
    <definedName function="false" hidden="true" name="IQ_OPEB_DECREASE_EFFECT_SERVICE_INT_COST_FOREIGN" vbProcedure="false">"c3454"</definedName>
    <definedName function="false" hidden="true" name="IQ_OPEB_DISC_RATE_MAX" vbProcedure="false">"c3422"</definedName>
    <definedName function="false" hidden="true" name="IQ_OPEB_DISC_RATE_MAX_DOM" vbProcedure="false">"c3420"</definedName>
    <definedName function="false" hidden="true" name="IQ_OPEB_DISC_RATE_MAX_FOREIGN" vbProcedure="false">"c3421"</definedName>
    <definedName function="false" hidden="true" name="IQ_OPEB_DISC_RATE_MIN" vbProcedure="false">"c3419"</definedName>
    <definedName function="false" hidden="true" name="IQ_OPEB_DISC_RATE_MIN_DOM" vbProcedure="false">"c3417"</definedName>
    <definedName function="false" hidden="true" name="IQ_OPEB_DISC_RATE_MIN_FOREIGN" vbProcedure="false">"c3418"</definedName>
    <definedName function="false" hidden="true" name="IQ_OPEB_EST_BENEFIT_1YR" vbProcedure="false">"c3287"</definedName>
    <definedName function="false" hidden="true" name="IQ_OPEB_EST_BENEFIT_1YR_DOM" vbProcedure="false">"c3285"</definedName>
    <definedName function="false" hidden="true" name="IQ_OPEB_EST_BENEFIT_1YR_FOREIGN" vbProcedure="false">"c3286"</definedName>
    <definedName function="false" hidden="true" name="IQ_OPEB_EST_BENEFIT_2YR" vbProcedure="false">"c3290"</definedName>
    <definedName function="false" hidden="true" name="IQ_OPEB_EST_BENEFIT_2YR_DOM" vbProcedure="false">"c3288"</definedName>
    <definedName function="false" hidden="true" name="IQ_OPEB_EST_BENEFIT_2YR_FOREIGN" vbProcedure="false">"c3289"</definedName>
    <definedName function="false" hidden="true" name="IQ_OPEB_EST_BENEFIT_3YR" vbProcedure="false">"c3293"</definedName>
    <definedName function="false" hidden="true" name="IQ_OPEB_EST_BENEFIT_3YR_DOM" vbProcedure="false">"c3291"</definedName>
    <definedName function="false" hidden="true" name="IQ_OPEB_EST_BENEFIT_3YR_FOREIGN" vbProcedure="false">"c3292"</definedName>
    <definedName function="false" hidden="true" name="IQ_OPEB_EST_BENEFIT_4YR" vbProcedure="false">"c3296"</definedName>
    <definedName function="false" hidden="true" name="IQ_OPEB_EST_BENEFIT_4YR_DOM" vbProcedure="false">"c3294"</definedName>
    <definedName function="false" hidden="true" name="IQ_OPEB_EST_BENEFIT_4YR_FOREIGN" vbProcedure="false">"c3295"</definedName>
    <definedName function="false" hidden="true" name="IQ_OPEB_EST_BENEFIT_5YR" vbProcedure="false">"c3299"</definedName>
    <definedName function="false" hidden="true" name="IQ_OPEB_EST_BENEFIT_5YR_DOM" vbProcedure="false">"c3297"</definedName>
    <definedName function="false" hidden="true" name="IQ_OPEB_EST_BENEFIT_5YR_FOREIGN" vbProcedure="false">"c3298"</definedName>
    <definedName function="false" hidden="true" name="IQ_OPEB_EST_BENEFIT_AFTER5" vbProcedure="false">"c3302"</definedName>
    <definedName function="false" hidden="true" name="IQ_OPEB_EST_BENEFIT_AFTER5_DOM" vbProcedure="false">"c3300"</definedName>
    <definedName function="false" hidden="true" name="IQ_OPEB_EST_BENEFIT_AFTER5_FOREIGN" vbProcedure="false">"c3301"</definedName>
    <definedName function="false" hidden="true" name="IQ_OPEB_EXP_RATE_RETURN_MAX" vbProcedure="false">"c3434"</definedName>
    <definedName function="false" hidden="true" name="IQ_OPEB_EXP_RATE_RETURN_MAX_DOM" vbProcedure="false">"c3432"</definedName>
    <definedName function="false" hidden="true" name="IQ_OPEB_EXP_RATE_RETURN_MAX_FOREIGN" vbProcedure="false">"c3433"</definedName>
    <definedName function="false" hidden="true" name="IQ_OPEB_EXP_RATE_RETURN_MIN" vbProcedure="false">"c3431"</definedName>
    <definedName function="false" hidden="true" name="IQ_OPEB_EXP_RATE_RETURN_MIN_DOM" vbProcedure="false">"c3429"</definedName>
    <definedName function="false" hidden="true" name="IQ_OPEB_EXP_RATE_RETURN_MIN_FOREIGN" vbProcedure="false">"c3430"</definedName>
    <definedName function="false" hidden="true" name="IQ_OPEB_EXP_RETURN" vbProcedure="false">"c3398"</definedName>
    <definedName function="false" hidden="true" name="IQ_OPEB_EXP_RETURN_DOM" vbProcedure="false">"c3396"</definedName>
    <definedName function="false" hidden="true" name="IQ_OPEB_EXP_RETURN_FOREIGN" vbProcedure="false">"c3397"</definedName>
    <definedName function="false" hidden="true" name="IQ_OPEB_HEALTH_COST_TREND_INITIAL" vbProcedure="false">"c3413"</definedName>
    <definedName function="false" hidden="true" name="IQ_OPEB_HEALTH_COST_TREND_INITIAL_DOM" vbProcedure="false">"c3411"</definedName>
    <definedName function="false" hidden="true" name="IQ_OPEB_HEALTH_COST_TREND_INITIAL_FOREIGN" vbProcedure="false">"c3412"</definedName>
    <definedName function="false" hidden="true" name="IQ_OPEB_HEALTH_COST_TREND_ULTIMATE" vbProcedure="false">"c3416"</definedName>
    <definedName function="false" hidden="true" name="IQ_OPEB_HEALTH_COST_TREND_ULTIMATE_DOM" vbProcedure="false">"c3414"</definedName>
    <definedName function="false" hidden="true" name="IQ_OPEB_HEALTH_COST_TREND_ULTIMATE_FOREIGN" vbProcedure="false">"c3415"</definedName>
    <definedName function="false" hidden="true" name="IQ_OPEB_INCREASE_EFFECT_PBO" vbProcedure="false">"c3452"</definedName>
    <definedName function="false" hidden="true" name="IQ_OPEB_INCREASE_EFFECT_PBO_DOM" vbProcedure="false">"c3450"</definedName>
    <definedName function="false" hidden="true" name="IQ_OPEB_INCREASE_EFFECT_PBO_FOREIGN" vbProcedure="false">"c3451"</definedName>
    <definedName function="false" hidden="true" name="IQ_OPEB_INCREASE_EFFECT_SERVICE_INT_COST" vbProcedure="false">"c3449"</definedName>
    <definedName function="false" hidden="true" name="IQ_OPEB_INCREASE_EFFECT_SERVICE_INT_COST_DOM" vbProcedure="false">"c3447"</definedName>
    <definedName function="false" hidden="true" name="IQ_OPEB_INCREASE_EFFECT_SERVICE_INT_COST_FOREIGN" vbProcedure="false">"c3448"</definedName>
    <definedName function="false" hidden="true" name="IQ_OPEB_INTAN_ASSETS" vbProcedure="false">"c3311"</definedName>
    <definedName function="false" hidden="true" name="IQ_OPEB_INTAN_ASSETS_DOM" vbProcedure="false">"c3309"</definedName>
    <definedName function="false" hidden="true" name="IQ_OPEB_INTAN_ASSETS_FOREIGN" vbProcedure="false">"c3310"</definedName>
    <definedName function="false" hidden="true" name="IQ_OPEB_INTEREST_COST" vbProcedure="false">"c3395"</definedName>
    <definedName function="false" hidden="true" name="IQ_OPEB_INTEREST_COST_DOM" vbProcedure="false">"c3393"</definedName>
    <definedName function="false" hidden="true" name="IQ_OPEB_INTEREST_COST_FOREIGN" vbProcedure="false">"c3394"</definedName>
    <definedName function="false" hidden="true" name="IQ_OPEB_LT_ASSETS" vbProcedure="false">"c5786"</definedName>
    <definedName function="false" hidden="true" name="IQ_OPEB_LT_ASSETS_DOM" vbProcedure="false">"c5784"</definedName>
    <definedName function="false" hidden="true" name="IQ_OPEB_LT_ASSETS_FOREIGN" vbProcedure="false">"c5785"</definedName>
    <definedName function="false" hidden="true" name="IQ_OPEB_LT_LIAB" vbProcedure="false">"c5792"</definedName>
    <definedName function="false" hidden="true" name="IQ_OPEB_LT_LIAB_DOM" vbProcedure="false">"c5790"</definedName>
    <definedName function="false" hidden="true" name="IQ_OPEB_LT_LIAB_FOREIGN" vbProcedure="false">"c5791"</definedName>
    <definedName function="false" hidden="true" name="IQ_OPEB_NET_ASSET_RECOG" vbProcedure="false">"c3326"</definedName>
    <definedName function="false" hidden="true" name="IQ_OPEB_NET_ASSET_RECOG_DOM" vbProcedure="false">"c3324"</definedName>
    <definedName function="false" hidden="true" name="IQ_OPEB_NET_ASSET_RECOG_FOREIGN" vbProcedure="false">"c3325"</definedName>
    <definedName function="false" hidden="true" name="IQ_OPEB_OBLIGATION_ACCUMULATED" vbProcedure="false">"c3407"</definedName>
    <definedName function="false" hidden="true" name="IQ_OPEB_OBLIGATION_ACCUMULATED_DOM" vbProcedure="false">"c3405"</definedName>
    <definedName function="false" hidden="true" name="IQ_OPEB_OBLIGATION_ACCUMULATED_FOREIGN" vbProcedure="false">"c3406"</definedName>
    <definedName function="false" hidden="true" name="IQ_OPEB_OBLIGATION_ACQ" vbProcedure="false">"c3380"</definedName>
    <definedName function="false" hidden="true" name="IQ_OPEB_OBLIGATION_ACQ_DOM" vbProcedure="false">"c3378"</definedName>
    <definedName function="false" hidden="true" name="IQ_OPEB_OBLIGATION_ACQ_FOREIGN" vbProcedure="false">"c3379"</definedName>
    <definedName function="false" hidden="true" name="IQ_OPEB_OBLIGATION_ACTUARIAL_GAIN_LOSS" vbProcedure="false">"c3371"</definedName>
    <definedName function="false" hidden="true" name="IQ_OPEB_OBLIGATION_ACTUARIAL_GAIN_LOSS_DOM" vbProcedure="false">"c3369"</definedName>
    <definedName function="false" hidden="true" name="IQ_OPEB_OBLIGATION_ACTUARIAL_GAIN_LOSS_FOREIGN" vbProcedure="false">"c3370"</definedName>
    <definedName function="false" hidden="true" name="IQ_OPEB_OBLIGATION_BEG" vbProcedure="false">"c3359"</definedName>
    <definedName function="false" hidden="true" name="IQ_OPEB_OBLIGATION_BEG_DOM" vbProcedure="false">"c3357"</definedName>
    <definedName function="false" hidden="true" name="IQ_OPEB_OBLIGATION_BEG_FOREIGN" vbProcedure="false">"c3358"</definedName>
    <definedName function="false" hidden="true" name="IQ_OPEB_OBLIGATION_CURTAIL" vbProcedure="false">"c3383"</definedName>
    <definedName function="false" hidden="true" name="IQ_OPEB_OBLIGATION_CURTAIL_DOM" vbProcedure="false">"c3381"</definedName>
    <definedName function="false" hidden="true" name="IQ_OPEB_OBLIGATION_CURTAIL_FOREIGN" vbProcedure="false">"c3382"</definedName>
    <definedName function="false" hidden="true" name="IQ_OPEB_OBLIGATION_EMPLOYEE_CONTRIBUTIONS" vbProcedure="false">"c3368"</definedName>
    <definedName function="false" hidden="true" name="IQ_OPEB_OBLIGATION_EMPLOYEE_CONTRIBUTIONS_DOM" vbProcedure="false">"c3366"</definedName>
    <definedName function="false" hidden="true" name="IQ_OPEB_OBLIGATION_EMPLOYEE_CONTRIBUTIONS_FOREIGN" vbProcedure="false">"c3367"</definedName>
    <definedName function="false" hidden="true" name="IQ_OPEB_OBLIGATION_FX_ADJ" vbProcedure="false">"c3377"</definedName>
    <definedName function="false" hidden="true" name="IQ_OPEB_OBLIGATION_FX_ADJ_DOM" vbProcedure="false">"c3375"</definedName>
    <definedName function="false" hidden="true" name="IQ_OPEB_OBLIGATION_FX_ADJ_FOREIGN" vbProcedure="false">"c3376"</definedName>
    <definedName function="false" hidden="true" name="IQ_OPEB_OBLIGATION_INTEREST_COST" vbProcedure="false">"c3365"</definedName>
    <definedName function="false" hidden="true" name="IQ_OPEB_OBLIGATION_INTEREST_COST_DOM" vbProcedure="false">"c3363"</definedName>
    <definedName function="false" hidden="true" name="IQ_OPEB_OBLIGATION_INTEREST_COST_FOREIGN" vbProcedure="false">"c3364"</definedName>
    <definedName function="false" hidden="true" name="IQ_OPEB_OBLIGATION_OTHER_PLAN_ADJ" vbProcedure="false">"c3386"</definedName>
    <definedName function="false" hidden="true" name="IQ_OPEB_OBLIGATION_OTHER_PLAN_ADJ_DOM" vbProcedure="false">"c3384"</definedName>
    <definedName function="false" hidden="true" name="IQ_OPEB_OBLIGATION_OTHER_PLAN_ADJ_FOREIGN" vbProcedure="false">"c3385"</definedName>
    <definedName function="false" hidden="true" name="IQ_OPEB_OBLIGATION_PAID" vbProcedure="false">"c3374"</definedName>
    <definedName function="false" hidden="true" name="IQ_OPEB_OBLIGATION_PAID_DOM" vbProcedure="false">"c3372"</definedName>
    <definedName function="false" hidden="true" name="IQ_OPEB_OBLIGATION_PAID_FOREIGN" vbProcedure="false">"c3373"</definedName>
    <definedName function="false" hidden="true" name="IQ_OPEB_OBLIGATION_PROJECTED" vbProcedure="false">"c3389"</definedName>
    <definedName function="false" hidden="true" name="IQ_OPEB_OBLIGATION_PROJECTED_DOM" vbProcedure="false">"c3387"</definedName>
    <definedName function="false" hidden="true" name="IQ_OPEB_OBLIGATION_PROJECTED_FOREIGN" vbProcedure="false">"c3388"</definedName>
    <definedName function="false" hidden="true" name="IQ_OPEB_OBLIGATION_SERVICE_COST" vbProcedure="false">"c3362"</definedName>
    <definedName function="false" hidden="true" name="IQ_OPEB_OBLIGATION_SERVICE_COST_DOM" vbProcedure="false">"c3360"</definedName>
    <definedName function="false" hidden="true" name="IQ_OPEB_OBLIGATION_SERVICE_COST_FOREIGN" vbProcedure="false">"c3361"</definedName>
    <definedName function="false" hidden="true" name="IQ_OPEB_OTHER" vbProcedure="false">"c3317"</definedName>
    <definedName function="false" hidden="true" name="IQ_OPEB_OTHER_ADJ" vbProcedure="false">"c3323"</definedName>
    <definedName function="false" hidden="true" name="IQ_OPEB_OTHER_ADJ_DOM" vbProcedure="false">"c3321"</definedName>
    <definedName function="false" hidden="true" name="IQ_OPEB_OTHER_ADJ_FOREIGN" vbProcedure="false">"c3322"</definedName>
    <definedName function="false" hidden="true" name="IQ_OPEB_OTHER_COST" vbProcedure="false">"c3401"</definedName>
    <definedName function="false" hidden="true" name="IQ_OPEB_OTHER_COST_DOM" vbProcedure="false">"c3399"</definedName>
    <definedName function="false" hidden="true" name="IQ_OPEB_OTHER_COST_FOREIGN" vbProcedure="false">"c3400"</definedName>
    <definedName function="false" hidden="true" name="IQ_OPEB_OTHER_DOM" vbProcedure="false">"c3315"</definedName>
    <definedName function="false" hidden="true" name="IQ_OPEB_OTHER_FOREIGN" vbProcedure="false">"c3316"</definedName>
    <definedName function="false" hidden="true" name="IQ_OPEB_PBO_ASSUMED_RATE_RET_MAX" vbProcedure="false">"c3440"</definedName>
    <definedName function="false" hidden="true" name="IQ_OPEB_PBO_ASSUMED_RATE_RET_MAX_DOM" vbProcedure="false">"c3438"</definedName>
    <definedName function="false" hidden="true" name="IQ_OPEB_PBO_ASSUMED_RATE_RET_MAX_FOREIGN" vbProcedure="false">"c3439"</definedName>
    <definedName function="false" hidden="true" name="IQ_OPEB_PBO_ASSUMED_RATE_RET_MIN" vbProcedure="false">"c3437"</definedName>
    <definedName function="false" hidden="true" name="IQ_OPEB_PBO_ASSUMED_RATE_RET_MIN_DOM" vbProcedure="false">"c3435"</definedName>
    <definedName function="false" hidden="true" name="IQ_OPEB_PBO_ASSUMED_RATE_RET_MIN_FOREIGN" vbProcedure="false">"c3436"</definedName>
    <definedName function="false" hidden="true" name="IQ_OPEB_PBO_RATE_COMP_INCREASE_MAX" vbProcedure="false">"c3446"</definedName>
    <definedName function="false" hidden="true" name="IQ_OPEB_PBO_RATE_COMP_INCREASE_MAX_DOM" vbProcedure="false">"c3444"</definedName>
    <definedName function="false" hidden="true" name="IQ_OPEB_PBO_RATE_COMP_INCREASE_MAX_FOREIGN" vbProcedure="false">"c3445"</definedName>
    <definedName function="false" hidden="true" name="IQ_OPEB_PBO_RATE_COMP_INCREASE_MIN" vbProcedure="false">"c3443"</definedName>
    <definedName function="false" hidden="true" name="IQ_OPEB_PBO_RATE_COMP_INCREASE_MIN_DOM" vbProcedure="false">"c3441"</definedName>
    <definedName function="false" hidden="true" name="IQ_OPEB_PBO_RATE_COMP_INCREASE_MIN_FOREIGN" vbProcedure="false">"c3442"</definedName>
    <definedName function="false" hidden="true" name="IQ_OPEB_PREPAID_COST" vbProcedure="false">"c3305"</definedName>
    <definedName function="false" hidden="true" name="IQ_OPEB_PREPAID_COST_DOM" vbProcedure="false">"c3303"</definedName>
    <definedName function="false" hidden="true" name="IQ_OPEB_PREPAID_COST_FOREIGN" vbProcedure="false">"c3304"</definedName>
    <definedName function="false" hidden="true" name="IQ_OPEB_PRIOR_SERVICE_NEXT" vbProcedure="false">"c5777"</definedName>
    <definedName function="false" hidden="true" name="IQ_OPEB_PRIOR_SERVICE_NEXT_DOM" vbProcedure="false">"c5775"</definedName>
    <definedName function="false" hidden="true" name="IQ_OPEB_PRIOR_SERVICE_NEXT_FOREIGN" vbProcedure="false">"c5776"</definedName>
    <definedName function="false" hidden="true" name="IQ_OPEB_RATE_COMP_INCREASE_MAX" vbProcedure="false">"c3428"</definedName>
    <definedName function="false" hidden="true" name="IQ_OPEB_RATE_COMP_INCREASE_MAX_DOM" vbProcedure="false">"c3426"</definedName>
    <definedName function="false" hidden="true" name="IQ_OPEB_RATE_COMP_INCREASE_MAX_FOREIGN" vbProcedure="false">"c3427"</definedName>
    <definedName function="false" hidden="true" name="IQ_OPEB_RATE_COMP_INCREASE_MIN" vbProcedure="false">"c3425"</definedName>
    <definedName function="false" hidden="true" name="IQ_OPEB_RATE_COMP_INCREASE_MIN_DOM" vbProcedure="false">"c3423"</definedName>
    <definedName function="false" hidden="true" name="IQ_OPEB_RATE_COMP_INCREASE_MIN_FOREIGN" vbProcedure="false">"c3424"</definedName>
    <definedName function="false" hidden="true" name="IQ_OPEB_SERVICE_COST" vbProcedure="false">"c3392"</definedName>
    <definedName function="false" hidden="true" name="IQ_OPEB_SERVICE_COST_DOM" vbProcedure="false">"c3390"</definedName>
    <definedName function="false" hidden="true" name="IQ_OPEB_SERVICE_COST_FOREIGN" vbProcedure="false">"c3391"</definedName>
    <definedName function="false" hidden="true" name="IQ_OPEB_TOTAL_COST" vbProcedure="false">"c3404"</definedName>
    <definedName function="false" hidden="true" name="IQ_OPEB_TOTAL_COST_DOM" vbProcedure="false">"c3402"</definedName>
    <definedName function="false" hidden="true" name="IQ_OPEB_TOTAL_COST_FOREIGN" vbProcedure="false">"c3403"</definedName>
    <definedName function="false" hidden="true" name="IQ_OPEB_TRANSITION_NEXT" vbProcedure="false">"c5780"</definedName>
    <definedName function="false" hidden="true" name="IQ_OPEB_TRANSITION_NEXT_DOM" vbProcedure="false">"c5778"</definedName>
    <definedName function="false" hidden="true" name="IQ_OPEB_TRANSITION_NEXT_FOREIGN" vbProcedure="false">"c5779"</definedName>
    <definedName function="false" hidden="true" name="IQ_OPEB_UNRECOG_PRIOR" vbProcedure="false">"c3320"</definedName>
    <definedName function="false" hidden="true" name="IQ_OPEB_UNRECOG_PRIOR_DOM" vbProcedure="false">"c3318"</definedName>
    <definedName function="false" hidden="true" name="IQ_OPEB_UNRECOG_PRIOR_FOREIGN" vbProcedure="false">"c3319"</definedName>
    <definedName function="false" hidden="true" name="IQ_OPENED55" vbProcedure="false">1</definedName>
    <definedName function="false" hidden="true" name="IQ_OPENPRICE" vbProcedure="false">"c848"</definedName>
    <definedName function="false" hidden="true" name="IQ_OPERATING_EXP_AVG_ASSETS_FFIEC" vbProcedure="false">"c13373"</definedName>
    <definedName function="false" hidden="true" name="IQ_OPERATING_INC_AVG_ASSETS_FFIEC" vbProcedure="false">"c13368"</definedName>
    <definedName function="false" hidden="true" name="IQ_OPERATING_INC_TE_AVG_ASSETS_FFIEC" vbProcedure="false">"c13360"</definedName>
    <definedName function="false" hidden="true" name="IQ_OPERATING_NOI_AVG_GROSS_PROP" vbProcedure="false">"c16058"</definedName>
    <definedName function="false" hidden="true" name="IQ_OPERATIONS_EXP" vbProcedure="false">"c855"</definedName>
    <definedName function="false" hidden="true" name="IQ_OPER_INC" vbProcedure="false">"c849"</definedName>
    <definedName function="false" hidden="true" name="IQ_OPER_INC_ACT_OR_EST" vbProcedure="false">"c2220"</definedName>
    <definedName function="false" hidden="true" name="IQ_OPER_INC_ACT_OR_EST_CIQ" vbProcedure="false">"c12019"</definedName>
    <definedName function="false" hidden="true" name="IQ_OPER_INC_ACT_OR_EST_REUT" vbProcedure="false">"c5466"</definedName>
    <definedName function="false" hidden="true" name="IQ_OPER_INC_ACT_OR_EST_THOM" vbProcedure="false">"c5304"</definedName>
    <definedName function="false" hidden="true" name="IQ_OPER_INC_BR" vbProcedure="false">"c850"</definedName>
    <definedName function="false" hidden="true" name="IQ_OPER_INC_DET_EST" vbProcedure="false">"c12064"</definedName>
    <definedName function="false" hidden="true" name="IQ_OPER_INC_DET_EST_CIQ" vbProcedure="false">"c12128"</definedName>
    <definedName function="false" hidden="true" name="IQ_OPER_INC_DET_EST_CIQ_CURRENCY_CIQ" vbProcedure="false">"c12519"</definedName>
    <definedName function="false" hidden="true" name="IQ_OPER_INC_DET_EST_CIQ_INCL_INCL_CIQ" vbProcedure="false">"c12402"</definedName>
    <definedName function="false" hidden="true" name="IQ_OPER_INC_DET_EST_CURRENCY" vbProcedure="false">"c12471"</definedName>
    <definedName function="false" hidden="true" name="IQ_OPER_INC_DET_EST_CURRENCY_THOM" vbProcedure="false">"c12494"</definedName>
    <definedName function="false" hidden="true" name="IQ_OPER_INC_DET_EST_DATE" vbProcedure="false">"c12217"</definedName>
    <definedName function="false" hidden="true" name="IQ_OPER_INC_DET_EST_DATE_CIQ" vbProcedure="false">"c12274"</definedName>
    <definedName function="false" hidden="true" name="IQ_OPER_INC_DET_EST_DATE_THOM" vbProcedure="false">"c12245"</definedName>
    <definedName function="false" hidden="true" name="IQ_OPER_INC_DET_EST_INCL" vbProcedure="false">"c12354"</definedName>
    <definedName function="false" hidden="true" name="IQ_OPER_INC_DET_EST_INCL_THOM" vbProcedure="false">"c12377"</definedName>
    <definedName function="false" hidden="true" name="IQ_OPER_INC_DET_EST_ORIGIN" vbProcedure="false">"c12589"</definedName>
    <definedName function="false" hidden="true" name="IQ_OPER_INC_DET_EST_ORIGIN_CIQ" vbProcedure="false">"c12643"</definedName>
    <definedName function="false" hidden="true" name="IQ_OPER_INC_DET_EST_ORIGIN_THOM" vbProcedure="false">"c12615"</definedName>
    <definedName function="false" hidden="true" name="IQ_OPER_INC_DET_EST_THOM" vbProcedure="false">"c12095"</definedName>
    <definedName function="false" hidden="true" name="IQ_OPER_INC_EST" vbProcedure="false">"c1688"</definedName>
    <definedName function="false" hidden="true" name="IQ_OPER_INC_EST_CIQ" vbProcedure="false">"c12010"</definedName>
    <definedName function="false" hidden="true" name="IQ_OPER_INC_EST_DOWN_2MONTH" vbProcedure="false">"c16369"</definedName>
    <definedName function="false" hidden="true" name="IQ_OPER_INC_EST_DOWN_3MONTH" vbProcedure="false">"c16373"</definedName>
    <definedName function="false" hidden="true" name="IQ_OPER_INC_EST_DOWN_MONTH" vbProcedure="false">"c16365"</definedName>
    <definedName function="false" hidden="true" name="IQ_OPER_INC_EST_NUM_ANALYSTS_2MONTH" vbProcedure="false">"c16367"</definedName>
    <definedName function="false" hidden="true" name="IQ_OPER_INC_EST_NUM_ANALYSTS_3MONTH" vbProcedure="false">"c16371"</definedName>
    <definedName function="false" hidden="true" name="IQ_OPER_INC_EST_NUM_ANALYSTS_MONTH" vbProcedure="false">"c16363"</definedName>
    <definedName function="false" hidden="true" name="IQ_OPER_INC_EST_REUT" vbProcedure="false">"c5340"</definedName>
    <definedName function="false" hidden="true" name="IQ_OPER_INC_EST_THOM" vbProcedure="false">"c5112"</definedName>
    <definedName function="false" hidden="true" name="IQ_OPER_INC_EST_TOTAL_REVISED_2MONTH" vbProcedure="false">"c16370"</definedName>
    <definedName function="false" hidden="true" name="IQ_OPER_INC_EST_TOTAL_REVISED_3MONTH" vbProcedure="false">"c16374"</definedName>
    <definedName function="false" hidden="true" name="IQ_OPER_INC_EST_TOTAL_REVISED_MONTH" vbProcedure="false">"c16366"</definedName>
    <definedName function="false" hidden="true" name="IQ_OPER_INC_EST_UP_2MONTH" vbProcedure="false">"c16368"</definedName>
    <definedName function="false" hidden="true" name="IQ_OPER_INC_EST_UP_3MONTH" vbProcedure="false">"c16372"</definedName>
    <definedName function="false" hidden="true" name="IQ_OPER_INC_EST_UP_MONTH" vbProcedure="false">"c16364"</definedName>
    <definedName function="false" hidden="true" name="IQ_OPER_INC_FIN" vbProcedure="false">"c851"</definedName>
    <definedName function="false" hidden="true" name="IQ_OPER_INC_HIGH_EST" vbProcedure="false">"c1690"</definedName>
    <definedName function="false" hidden="true" name="IQ_OPER_INC_HIGH_EST_CIQ" vbProcedure="false">"c12012"</definedName>
    <definedName function="false" hidden="true" name="IQ_OPER_INC_HIGH_EST_REUT" vbProcedure="false">"c5342"</definedName>
    <definedName function="false" hidden="true" name="IQ_OPER_INC_HIGH_EST_THOM" vbProcedure="false">"c5114"</definedName>
    <definedName function="false" hidden="true" name="IQ_OPER_INC_INS" vbProcedure="false">"c852"</definedName>
    <definedName function="false" hidden="true" name="IQ_OPER_INC_LOW_EST" vbProcedure="false">"c1691"</definedName>
    <definedName function="false" hidden="true" name="IQ_OPER_INC_LOW_EST_CIQ" vbProcedure="false">"c12013"</definedName>
    <definedName function="false" hidden="true" name="IQ_OPER_INC_LOW_EST_REUT" vbProcedure="false">"c5343"</definedName>
    <definedName function="false" hidden="true" name="IQ_OPER_INC_LOW_EST_THOM" vbProcedure="false">"c5115"</definedName>
    <definedName function="false" hidden="true" name="IQ_OPER_INC_MARGIN" vbProcedure="false">"c1448"</definedName>
    <definedName function="false" hidden="true" name="IQ_OPER_INC_MEDIAN_EST" vbProcedure="false">"c1689"</definedName>
    <definedName function="false" hidden="true" name="IQ_OPER_INC_MEDIAN_EST_CIQ" vbProcedure="false">"c12011"</definedName>
    <definedName function="false" hidden="true" name="IQ_OPER_INC_MEDIAN_EST_REUT" vbProcedure="false">"c5341"</definedName>
    <definedName function="false" hidden="true" name="IQ_OPER_INC_MEDIAN_EST_THOM" vbProcedure="false">"c5113"</definedName>
    <definedName function="false" hidden="true" name="IQ_OPER_INC_NUM_EST" vbProcedure="false">"c1692"</definedName>
    <definedName function="false" hidden="true" name="IQ_OPER_INC_NUM_EST_CIQ" vbProcedure="false">"c12014"</definedName>
    <definedName function="false" hidden="true" name="IQ_OPER_INC_NUM_EST_REUT" vbProcedure="false">"c5344"</definedName>
    <definedName function="false" hidden="true" name="IQ_OPER_INC_NUM_EST_THOM" vbProcedure="false">"c5116"</definedName>
    <definedName function="false" hidden="true" name="IQ_OPER_INC_RE" vbProcedure="false">"c6240"</definedName>
    <definedName function="false" hidden="true" name="IQ_OPER_INC_REIT" vbProcedure="false">"c853"</definedName>
    <definedName function="false" hidden="true" name="IQ_OPER_INC_STDDEV_EST" vbProcedure="false">"c1693"</definedName>
    <definedName function="false" hidden="true" name="IQ_OPER_INC_STDDEV_EST_CIQ" vbProcedure="false">"c12015"</definedName>
    <definedName function="false" hidden="true" name="IQ_OPER_INC_STDDEV_EST_REUT" vbProcedure="false">"c5345"</definedName>
    <definedName function="false" hidden="true" name="IQ_OPER_INC_STDDEV_EST_THOM" vbProcedure="false">"c5117"</definedName>
    <definedName function="false" hidden="true" name="IQ_OPER_INC_UTI" vbProcedure="false">"c854"</definedName>
    <definedName function="false" hidden="true" name="IQ_OPTIONS_BEG_OS" vbProcedure="false">"c1572"</definedName>
    <definedName function="false" hidden="true" name="IQ_OPTIONS_CANCELLED" vbProcedure="false">"c856"</definedName>
    <definedName function="false" hidden="true" name="IQ_OPTIONS_END_OS" vbProcedure="false">"c1573"</definedName>
    <definedName function="false" hidden="true" name="IQ_OPTIONS_EXCERCISED" vbProcedure="false">"c2116"</definedName>
    <definedName function="false" hidden="true" name="IQ_OPTIONS_EXERCISABLE_END_OS" vbProcedure="false">"c5804"</definedName>
    <definedName function="false" hidden="true" name="IQ_OPTIONS_EXERCISED" vbProcedure="false">"c2116"</definedName>
    <definedName function="false" hidden="true" name="IQ_OPTIONS_GRANTED" vbProcedure="false">"c2673"</definedName>
    <definedName function="false" hidden="true" name="IQ_OPTIONS_ISSUED" vbProcedure="false">"c857"</definedName>
    <definedName function="false" hidden="true" name="IQ_OPTIONS_STRIKE_PRICE_BEG_OS" vbProcedure="false">"c5805"</definedName>
    <definedName function="false" hidden="true" name="IQ_OPTIONS_STRIKE_PRICE_CANCELLED" vbProcedure="false">"c5807"</definedName>
    <definedName function="false" hidden="true" name="IQ_OPTIONS_STRIKE_PRICE_EXERCISABLE" vbProcedure="false">"c5808"</definedName>
    <definedName function="false" hidden="true" name="IQ_OPTIONS_STRIKE_PRICE_EXERCISED" vbProcedure="false">"c5806"</definedName>
    <definedName function="false" hidden="true" name="IQ_OPTIONS_STRIKE_PRICE_GRANTED" vbProcedure="false">"c2678"</definedName>
    <definedName function="false" hidden="true" name="IQ_OPTIONS_STRIKE_PRICE_OS" vbProcedure="false">"c2677"</definedName>
    <definedName function="false" hidden="true" name="IQ_ORDER_BACKLOG" vbProcedure="false">"c2090"</definedName>
    <definedName function="false" hidden="true" name="IQ_OREO_1_4_RESIDENTIAL_FDIC" vbProcedure="false">"c6454"</definedName>
    <definedName function="false" hidden="true" name="IQ_OREO_COMMERCIAL_RE_FDIC" vbProcedure="false">"c6456"</definedName>
    <definedName function="false" hidden="true" name="IQ_OREO_CONSTRUCTION_DEVELOPMENT_FDIC" vbProcedure="false">"c6457"</definedName>
    <definedName function="false" hidden="true" name="IQ_OREO_FARMLAND_FDIC" vbProcedure="false">"c6458"</definedName>
    <definedName function="false" hidden="true" name="IQ_OREO_FFIEC" vbProcedure="false">"c12831"</definedName>
    <definedName function="false" hidden="true" name="IQ_OREO_FOREIGN_FDIC" vbProcedure="false">"c6460"</definedName>
    <definedName function="false" hidden="true" name="IQ_OREO_FOREIGN_FFIEC" vbProcedure="false">"c15273"</definedName>
    <definedName function="false" hidden="true" name="IQ_OREO_MULTI_FAMILY_RESIDENTIAL_FDIC" vbProcedure="false">"c6455"</definedName>
    <definedName function="false" hidden="true" name="IQ_OREO_OTHER_FFIEC" vbProcedure="false">"c12833"</definedName>
    <definedName function="false" hidden="true" name="IQ_ORGANIC_GROWTH_RATE" vbProcedure="false">"c20429"</definedName>
    <definedName function="false" hidden="true" name="IQ_OTHER_ADDITIONS_T1_FFIEC" vbProcedure="false">"c13142"</definedName>
    <definedName function="false" hidden="true" name="IQ_OTHER_ADDITIONS_T2_FFIEC" vbProcedure="false">"c13148"</definedName>
    <definedName function="false" hidden="true" name="IQ_OTHER_ADJUSTMENTS_COVERED" vbProcedure="false">"c9961"</definedName>
    <definedName function="false" hidden="true" name="IQ_OTHER_ADJUSTMENTS_FFIEC" vbProcedure="false">"c12972"</definedName>
    <definedName function="false" hidden="true" name="IQ_OTHER_ADJUSTMENTS_GROUP" vbProcedure="false">"c9947"</definedName>
    <definedName function="false" hidden="true" name="IQ_OTHER_ADJUST_GROSS_LOANS" vbProcedure="false">"c859"</definedName>
    <definedName function="false" hidden="true" name="IQ_OTHER_ADJ_CLAIM_ADJ_EXP_INCURRED" vbProcedure="false">"c15878"</definedName>
    <definedName function="false" hidden="true" name="IQ_OTHER_ADJ_CLAIM_ADJ_EXP_PAID" vbProcedure="false">"c15879"</definedName>
    <definedName function="false" hidden="true" name="IQ_OTHER_ADJ_RESERVES" vbProcedure="false">"c15882"</definedName>
    <definedName function="false" hidden="true" name="IQ_OTHER_ADJ_RESERVE_BOP" vbProcedure="false">"c15876"</definedName>
    <definedName function="false" hidden="true" name="IQ_OTHER_AFFO" vbProcedure="false">"c16180"</definedName>
    <definedName function="false" hidden="true" name="IQ_OTHER_AMORT" vbProcedure="false">"c5563"</definedName>
    <definedName function="false" hidden="true" name="IQ_OTHER_AMORT_BNK" vbProcedure="false">"c5565"</definedName>
    <definedName function="false" hidden="true" name="IQ_OTHER_AMORT_BR" vbProcedure="false">"c5566"</definedName>
    <definedName function="false" hidden="true" name="IQ_OTHER_AMORT_FIN" vbProcedure="false">"c5567"</definedName>
    <definedName function="false" hidden="true" name="IQ_OTHER_AMORT_INS" vbProcedure="false">"c5568"</definedName>
    <definedName function="false" hidden="true" name="IQ_OTHER_AMORT_RE" vbProcedure="false">"c6287"</definedName>
    <definedName function="false" hidden="true" name="IQ_OTHER_AMORT_REIT" vbProcedure="false">"c5569"</definedName>
    <definedName function="false" hidden="true" name="IQ_OTHER_AMORT_UTI" vbProcedure="false">"c5570"</definedName>
    <definedName function="false" hidden="true" name="IQ_OTHER_ASSETS" vbProcedure="false">"c860"</definedName>
    <definedName function="false" hidden="true" name="IQ_OTHER_ASSETS_BNK" vbProcedure="false">"c861"</definedName>
    <definedName function="false" hidden="true" name="IQ_OTHER_ASSETS_BR" vbProcedure="false">"c862"</definedName>
    <definedName function="false" hidden="true" name="IQ_OTHER_ASSETS_FDIC" vbProcedure="false">"c6338"</definedName>
    <definedName function="false" hidden="true" name="IQ_OTHER_ASSETS_FFIEC" vbProcedure="false">"c12848"</definedName>
    <definedName function="false" hidden="true" name="IQ_OTHER_ASSETS_FIN" vbProcedure="false">"c863"</definedName>
    <definedName function="false" hidden="true" name="IQ_OTHER_ASSETS_INS" vbProcedure="false">"c864"</definedName>
    <definedName function="false" hidden="true" name="IQ_OTHER_ASSETS_RE" vbProcedure="false">"c6241"</definedName>
    <definedName function="false" hidden="true" name="IQ_OTHER_ASSETS_REIT" vbProcedure="false">"c865"</definedName>
    <definedName function="false" hidden="true" name="IQ_OTHER_ASSETS_SERV_RIGHTS" vbProcedure="false">"c2243"</definedName>
    <definedName function="false" hidden="true" name="IQ_OTHER_ASSETS_TOTAL_FFIEC" vbProcedure="false">"c12841"</definedName>
    <definedName function="false" hidden="true" name="IQ_OTHER_ASSETS_UTI" vbProcedure="false">"c866"</definedName>
    <definedName function="false" hidden="true" name="IQ_OTHER_BEARING_LIAB" vbProcedure="false">"c1608"</definedName>
    <definedName function="false" hidden="true" name="IQ_OTHER_BEDS" vbProcedure="false">"c8784"</definedName>
    <definedName function="false" hidden="true" name="IQ_OTHER_BENEFITS_OBLIGATION" vbProcedure="false">"c867"</definedName>
    <definedName function="false" hidden="true" name="IQ_OTHER_BORROWED_FUNDS_FDIC" vbProcedure="false">"c6345"</definedName>
    <definedName function="false" hidden="true" name="IQ_OTHER_BORROWED_MONEY_FAIR_VALUE_TOT_FFIEC" vbProcedure="false">"c15409"</definedName>
    <definedName function="false" hidden="true" name="IQ_OTHER_BORROWED_MONEY_FFIEC" vbProcedure="false">"c12862"</definedName>
    <definedName function="false" hidden="true" name="IQ_OTHER_BORROWED_MONEY_LEVEL_1_FFIEC" vbProcedure="false">"c15431"</definedName>
    <definedName function="false" hidden="true" name="IQ_OTHER_BORROWED_MONEY_LEVEL_2_FFIEC" vbProcedure="false">"c15444"</definedName>
    <definedName function="false" hidden="true" name="IQ_OTHER_BORROWED_MONEY_LEVEL_3_FFIEC" vbProcedure="false">"c15457"</definedName>
    <definedName function="false" hidden="true" name="IQ_OTHER_BORROWED_MONEY_LT_FFIEC" vbProcedure="false">"c12865"</definedName>
    <definedName function="false" hidden="true" name="IQ_OTHER_BORROWED_MONEY_ST_FFIEC" vbProcedure="false">"c12864"</definedName>
    <definedName function="false" hidden="true" name="IQ_OTHER_CA" vbProcedure="false">"c868"</definedName>
    <definedName function="false" hidden="true" name="IQ_OTHER_CA_SUPPL" vbProcedure="false">"c869"</definedName>
    <definedName function="false" hidden="true" name="IQ_OTHER_CA_SUPPL_BNK" vbProcedure="false">"c870"</definedName>
    <definedName function="false" hidden="true" name="IQ_OTHER_CA_SUPPL_BR" vbProcedure="false">"c871"</definedName>
    <definedName function="false" hidden="true" name="IQ_OTHER_CA_SUPPL_FIN" vbProcedure="false">"c872"</definedName>
    <definedName function="false" hidden="true" name="IQ_OTHER_CA_SUPPL_INS" vbProcedure="false">"c873"</definedName>
    <definedName function="false" hidden="true" name="IQ_OTHER_CA_SUPPL_RE" vbProcedure="false">"c6242"</definedName>
    <definedName function="false" hidden="true" name="IQ_OTHER_CA_SUPPL_REIT" vbProcedure="false">"c874"</definedName>
    <definedName function="false" hidden="true" name="IQ_OTHER_CA_SUPPL_UTI" vbProcedure="false">"c875"</definedName>
    <definedName function="false" hidden="true" name="IQ_OTHER_CA_UTI" vbProcedure="false">"c876"</definedName>
    <definedName function="false" hidden="true" name="IQ_OTHER_CL" vbProcedure="false">"c877"</definedName>
    <definedName function="false" hidden="true" name="IQ_OTHER_CL_SUPPL" vbProcedure="false">"c878"</definedName>
    <definedName function="false" hidden="true" name="IQ_OTHER_CL_SUPPL_BNK" vbProcedure="false">"c879"</definedName>
    <definedName function="false" hidden="true" name="IQ_OTHER_CL_SUPPL_BR" vbProcedure="false">"c880"</definedName>
    <definedName function="false" hidden="true" name="IQ_OTHER_CL_SUPPL_FIN" vbProcedure="false">"c881"</definedName>
    <definedName function="false" hidden="true" name="IQ_OTHER_CL_SUPPL_INS" vbProcedure="false">"c6021"</definedName>
    <definedName function="false" hidden="true" name="IQ_OTHER_CL_SUPPL_RE" vbProcedure="false">"c6243"</definedName>
    <definedName function="false" hidden="true" name="IQ_OTHER_CL_SUPPL_REIT" vbProcedure="false">"c882"</definedName>
    <definedName function="false" hidden="true" name="IQ_OTHER_CL_SUPPL_UTI" vbProcedure="false">"c883"</definedName>
    <definedName function="false" hidden="true" name="IQ_OTHER_CL_UTI" vbProcedure="false">"c884"</definedName>
    <definedName function="false" hidden="true" name="IQ_OTHER_COMPREHENSIVE_INCOME_FDIC" vbProcedure="false">"c6503"</definedName>
    <definedName function="false" hidden="true" name="IQ_OTHER_COMPREHENSIVE_INCOME_FFIEC" vbProcedure="false">"c12970"</definedName>
    <definedName function="false" hidden="true" name="IQ_OTHER_CONSTRUCTION_GROSS_LOANS_FFIEC" vbProcedure="false">"c13403"</definedName>
    <definedName function="false" hidden="true" name="IQ_OTHER_CONSTRUCTION_LOANS_DUE_30_89_FFIEC" vbProcedure="false">"c13258"</definedName>
    <definedName function="false" hidden="true" name="IQ_OTHER_CONSTRUCTION_LOANS_DUE_90_FFIEC" vbProcedure="false">"c13286"</definedName>
    <definedName function="false" hidden="true" name="IQ_OTHER_CONSTRUCTION_LOANS_NON_ACCRUAL_FFIEC" vbProcedure="false">"c13312"</definedName>
    <definedName function="false" hidden="true" name="IQ_OTHER_CONSTRUCTION_LOANS_UNUSED_FFIEC" vbProcedure="false">"c13245"</definedName>
    <definedName function="false" hidden="true" name="IQ_OTHER_CONSTRUCTION_RISK_BASED_FFIEC" vbProcedure="false">"c13424"</definedName>
    <definedName function="false" hidden="true" name="IQ_OTHER_CONSUMER_LL_REC_FFIEC" vbProcedure="false">"c12891"</definedName>
    <definedName function="false" hidden="true" name="IQ_OTHER_CONSUMER_LOANS_FFIEC" vbProcedure="false">"c12824"</definedName>
    <definedName function="false" hidden="true" name="IQ_OTHER_CONSUMER_LOANS_TRADING_DOM_FFIEC" vbProcedure="false">"c12935"</definedName>
    <definedName function="false" hidden="true" name="IQ_OTHER_CURRENT_ASSETS" vbProcedure="false">"c1403"</definedName>
    <definedName function="false" hidden="true" name="IQ_OTHER_CURRENT_LIAB" vbProcedure="false">"c1404"</definedName>
    <definedName function="false" hidden="true" name="IQ_OTHER_DEBT" vbProcedure="false">"c2507"</definedName>
    <definedName function="false" hidden="true" name="IQ_OTHER_DEBT_PCT" vbProcedure="false">"c2508"</definedName>
    <definedName function="false" hidden="true" name="IQ_OTHER_DEBT_SECURITIES_DOM_FFIEC" vbProcedure="false">"c12789"</definedName>
    <definedName function="false" hidden="true" name="IQ_OTHER_DEBT_SECURITIES_DOM_HTM_AMORT_COST_FFIEC" vbProcedure="false">"c20451"</definedName>
    <definedName function="false" hidden="true" name="IQ_OTHER_DEBT_SECURITIES_DOM_HTM_FAIR_VAL_FFIEC" vbProcedure="false">"c20486"</definedName>
    <definedName function="false" hidden="true" name="IQ_OTHER_DEBT_SECURITIES_FOREIGN_FFIEC" vbProcedure="false">"c12790"</definedName>
    <definedName function="false" hidden="true" name="IQ_OTHER_DEBT_SECURITIES_FOREIGN_HTM_AMORT_COST_FFIEC" vbProcedure="false">"c20452"</definedName>
    <definedName function="false" hidden="true" name="IQ_OTHER_DEBT_SECURITIES_FOREIGN_HTM_FAIR_VAL_FFIEC" vbProcedure="false">"c20487"</definedName>
    <definedName function="false" hidden="true" name="IQ_OTHER_DEBT_SECURITIES_QUARTERLY_AVG_FFIEC" vbProcedure="false">"c15473"</definedName>
    <definedName function="false" hidden="true" name="IQ_OTHER_DEBT_SEC_DOM_AFS_AMORT_COST_FFIEC" vbProcedure="false">"c20503"</definedName>
    <definedName function="false" hidden="true" name="IQ_OTHER_DEBT_SEC_DOM_AFS_FAIR_VAL_FFIEC" vbProcedure="false">"c20468"</definedName>
    <definedName function="false" hidden="true" name="IQ_OTHER_DEBT_SEC_DOM_AVAIL_SALE_FFIEC" vbProcedure="false">"c12803"</definedName>
    <definedName function="false" hidden="true" name="IQ_OTHER_DEBT_SEC_FOREIGN_AFS_AMORT_COST_FFIEC" vbProcedure="false">"c20504"</definedName>
    <definedName function="false" hidden="true" name="IQ_OTHER_DEBT_SEC_FOREIGN_AFS_FAIR_VAL_FFIEC" vbProcedure="false">"c20469"</definedName>
    <definedName function="false" hidden="true" name="IQ_OTHER_DEBT_SEC_FOREIGN_AVAIL_SALE_FFIEC" vbProcedure="false">"c12804"</definedName>
    <definedName function="false" hidden="true" name="IQ_OTHER_DEBT_SEC_INVEST_SECURITIES_FFIEC" vbProcedure="false">"c13462"</definedName>
    <definedName function="false" hidden="true" name="IQ_OTHER_DEBT_SEC_TRADING_DOM_FFIEC" vbProcedure="false">"c12924"</definedName>
    <definedName function="false" hidden="true" name="IQ_OTHER_DEBT_SEC_TRADING_FFIEC" vbProcedure="false">"c12819"</definedName>
    <definedName function="false" hidden="true" name="IQ_OTHER_DEDUCTIONS_LEVERAGE_RATIO_FFIEC" vbProcedure="false">"c13158"</definedName>
    <definedName function="false" hidden="true" name="IQ_OTHER_DEP" vbProcedure="false">"c885"</definedName>
    <definedName function="false" hidden="true" name="IQ_OTHER_DEPOSITORY_INSTITUTIONS_LOANS_FDIC" vbProcedure="false">"c6436"</definedName>
    <definedName function="false" hidden="true" name="IQ_OTHER_DEPOSITORY_INSTITUTIONS_TOTAL_LOANS_FOREIGN_FDIC" vbProcedure="false">"c6442"</definedName>
    <definedName function="false" hidden="true" name="IQ_OTHER_DEPOSITS_FFIEC" vbProcedure="false">"c12994"</definedName>
    <definedName function="false" hidden="true" name="IQ_OTHER_DEPOSITS_TOTAL_DEPOSITS" vbProcedure="false">"c15724"</definedName>
    <definedName function="false" hidden="true" name="IQ_OTHER_DERIVATIVES_BENEFICIARY_FFIEC" vbProcedure="false">"c13122"</definedName>
    <definedName function="false" hidden="true" name="IQ_OTHER_DERIVATIVES_GUARANTOR_FFIEC" vbProcedure="false">"c13115"</definedName>
    <definedName function="false" hidden="true" name="IQ_OTHER_DEVELOPMENT_EXPENSE" vbProcedure="false">"c16041"</definedName>
    <definedName function="false" hidden="true" name="IQ_OTHER_DEVELOPMENT_REVENUE" vbProcedure="false">"c16025"</definedName>
    <definedName function="false" hidden="true" name="IQ_OTHER_DOMESTIC_DEBT_SECURITIES_FDIC" vbProcedure="false">"c6302"</definedName>
    <definedName function="false" hidden="true" name="IQ_OTHER_EARNING" vbProcedure="false">"c1609"</definedName>
    <definedName function="false" hidden="true" name="IQ_OTHER_EPRA_NAV_ADJ" vbProcedure="false">"c16004"</definedName>
    <definedName function="false" hidden="true" name="IQ_OTHER_EPRA_NNAV_ADJ" vbProcedure="false">"c16009"</definedName>
    <definedName function="false" hidden="true" name="IQ_OTHER_EQUITY" vbProcedure="false">"c886"</definedName>
    <definedName function="false" hidden="true" name="IQ_OTHER_EQUITY_BNK" vbProcedure="false">"c887"</definedName>
    <definedName function="false" hidden="true" name="IQ_OTHER_EQUITY_BR" vbProcedure="false">"c888"</definedName>
    <definedName function="false" hidden="true" name="IQ_OTHER_EQUITY_CAPITAL_COMPS_FFIEC" vbProcedure="false">"c12880"</definedName>
    <definedName function="false" hidden="true" name="IQ_OTHER_EQUITY_FFIEC" vbProcedure="false">"c12879"</definedName>
    <definedName function="false" hidden="true" name="IQ_OTHER_EQUITY_FIN" vbProcedure="false">"c889"</definedName>
    <definedName function="false" hidden="true" name="IQ_OTHER_EQUITY_INS" vbProcedure="false">"c890"</definedName>
    <definedName function="false" hidden="true" name="IQ_OTHER_EQUITY_RE" vbProcedure="false">"c6244"</definedName>
    <definedName function="false" hidden="true" name="IQ_OTHER_EQUITY_REIT" vbProcedure="false">"c891"</definedName>
    <definedName function="false" hidden="true" name="IQ_OTHER_EQUITY_UTI" vbProcedure="false">"c892"</definedName>
    <definedName function="false" hidden="true" name="IQ_OTHER_EXP_OPERATING_INC_FFIEC" vbProcedure="false">"c13381"</definedName>
    <definedName function="false" hidden="true" name="IQ_OTHER_FAD" vbProcedure="false">"c16184"</definedName>
    <definedName function="false" hidden="true" name="IQ_OTHER_FINANCE_ACT" vbProcedure="false">"c893"</definedName>
    <definedName function="false" hidden="true" name="IQ_OTHER_FINANCE_ACT_BNK" vbProcedure="false">"c894"</definedName>
    <definedName function="false" hidden="true" name="IQ_OTHER_FINANCE_ACT_BR" vbProcedure="false">"c895"</definedName>
    <definedName function="false" hidden="true" name="IQ_OTHER_FINANCE_ACT_FIN" vbProcedure="false">"c896"</definedName>
    <definedName function="false" hidden="true" name="IQ_OTHER_FINANCE_ACT_INS" vbProcedure="false">"c897"</definedName>
    <definedName function="false" hidden="true" name="IQ_OTHER_FINANCE_ACT_RE" vbProcedure="false">"c6245"</definedName>
    <definedName function="false" hidden="true" name="IQ_OTHER_FINANCE_ACT_REIT" vbProcedure="false">"c898"</definedName>
    <definedName function="false" hidden="true" name="IQ_OTHER_FINANCE_ACT_SUPPL" vbProcedure="false">"c899"</definedName>
    <definedName function="false" hidden="true" name="IQ_OTHER_FINANCE_ACT_SUPPL_BNK" vbProcedure="false">"c900"</definedName>
    <definedName function="false" hidden="true" name="IQ_OTHER_FINANCE_ACT_SUPPL_BR" vbProcedure="false">"c901"</definedName>
    <definedName function="false" hidden="true" name="IQ_OTHER_FINANCE_ACT_SUPPL_FIN" vbProcedure="false">"c902"</definedName>
    <definedName function="false" hidden="true" name="IQ_OTHER_FINANCE_ACT_SUPPL_INS" vbProcedure="false">"c903"</definedName>
    <definedName function="false" hidden="true" name="IQ_OTHER_FINANCE_ACT_SUPPL_RE" vbProcedure="false">"c6246"</definedName>
    <definedName function="false" hidden="true" name="IQ_OTHER_FINANCE_ACT_SUPPL_REIT" vbProcedure="false">"c904"</definedName>
    <definedName function="false" hidden="true" name="IQ_OTHER_FINANCE_ACT_SUPPL_UTI" vbProcedure="false">"c905"</definedName>
    <definedName function="false" hidden="true" name="IQ_OTHER_FINANCE_ACT_UTI" vbProcedure="false">"c906"</definedName>
    <definedName function="false" hidden="true" name="IQ_OTHER_FOREIGN_LOANS_FOREIGN_FFIEC" vbProcedure="false">"c13482"</definedName>
    <definedName function="false" hidden="true" name="IQ_OTHER_IBF_DEPOSIT_LIABILITIES_FFIEC" vbProcedure="false">"c15301"</definedName>
    <definedName function="false" hidden="true" name="IQ_OTHER_INDIVIDUAL_FAMILY_DOM_QUARTERLY_AVG_FFIEC" vbProcedure="false">"c15481"</definedName>
    <definedName function="false" hidden="true" name="IQ_OTHER_INSURANCE_FEES_FDIC" vbProcedure="false">"c6672"</definedName>
    <definedName function="false" hidden="true" name="IQ_OTHER_INSURANCE_PREMIUMS_FFIEC" vbProcedure="false">"c13071"</definedName>
    <definedName function="false" hidden="true" name="IQ_OTHER_INTAN" vbProcedure="false">"c907"</definedName>
    <definedName function="false" hidden="true" name="IQ_OTHER_INTANGIBLE_ASSETS_FFIEC" vbProcedure="false">"c12837"</definedName>
    <definedName function="false" hidden="true" name="IQ_OTHER_INTANGIBLE_ASSETS_TOT_FFIEC" vbProcedure="false">"c12840"</definedName>
    <definedName function="false" hidden="true" name="IQ_OTHER_INTANGIBLE_FDIC" vbProcedure="false">"c6337"</definedName>
    <definedName function="false" hidden="true" name="IQ_OTHER_INTAN_BNK" vbProcedure="false">"c908"</definedName>
    <definedName function="false" hidden="true" name="IQ_OTHER_INTAN_BR" vbProcedure="false">"c909"</definedName>
    <definedName function="false" hidden="true" name="IQ_OTHER_INTAN_FIN" vbProcedure="false">"c910"</definedName>
    <definedName function="false" hidden="true" name="IQ_OTHER_INTAN_INS" vbProcedure="false">"c911"</definedName>
    <definedName function="false" hidden="true" name="IQ_OTHER_INTAN_RE" vbProcedure="false">"c6247"</definedName>
    <definedName function="false" hidden="true" name="IQ_OTHER_INTAN_REIT" vbProcedure="false">"c912"</definedName>
    <definedName function="false" hidden="true" name="IQ_OTHER_INTAN_UTI" vbProcedure="false">"c913"</definedName>
    <definedName function="false" hidden="true" name="IQ_OTHER_INT_EXPENSE_FFIEC" vbProcedure="false">"c12999"</definedName>
    <definedName function="false" hidden="true" name="IQ_OTHER_INT_INCOME_FFIEC" vbProcedure="false">"c12988"</definedName>
    <definedName function="false" hidden="true" name="IQ_OTHER_INV" vbProcedure="false">"c914"</definedName>
    <definedName function="false" hidden="true" name="IQ_OTHER_INVEST" vbProcedure="false">"c915"</definedName>
    <definedName function="false" hidden="true" name="IQ_OTHER_INVESTING" vbProcedure="false">"c1408"</definedName>
    <definedName function="false" hidden="true" name="IQ_OTHER_INVEST_ACT" vbProcedure="false">"c916"</definedName>
    <definedName function="false" hidden="true" name="IQ_OTHER_INVEST_ACT_BNK" vbProcedure="false">"c917"</definedName>
    <definedName function="false" hidden="true" name="IQ_OTHER_INVEST_ACT_BR" vbProcedure="false">"c918"</definedName>
    <definedName function="false" hidden="true" name="IQ_OTHER_INVEST_ACT_FIN" vbProcedure="false">"c919"</definedName>
    <definedName function="false" hidden="true" name="IQ_OTHER_INVEST_ACT_INS" vbProcedure="false">"c920"</definedName>
    <definedName function="false" hidden="true" name="IQ_OTHER_INVEST_ACT_RE" vbProcedure="false">"c6248"</definedName>
    <definedName function="false" hidden="true" name="IQ_OTHER_INVEST_ACT_REIT" vbProcedure="false">"c921"</definedName>
    <definedName function="false" hidden="true" name="IQ_OTHER_INVEST_ACT_SUPPL" vbProcedure="false">"c922"</definedName>
    <definedName function="false" hidden="true" name="IQ_OTHER_INVEST_ACT_SUPPL_BNK" vbProcedure="false">"c923"</definedName>
    <definedName function="false" hidden="true" name="IQ_OTHER_INVEST_ACT_SUPPL_BR" vbProcedure="false">"c924"</definedName>
    <definedName function="false" hidden="true" name="IQ_OTHER_INVEST_ACT_SUPPL_FIN" vbProcedure="false">"c925"</definedName>
    <definedName function="false" hidden="true" name="IQ_OTHER_INVEST_ACT_SUPPL_INS" vbProcedure="false">"c926"</definedName>
    <definedName function="false" hidden="true" name="IQ_OTHER_INVEST_ACT_SUPPL_RE" vbProcedure="false">"c6249"</definedName>
    <definedName function="false" hidden="true" name="IQ_OTHER_INVEST_ACT_SUPPL_REIT" vbProcedure="false">"c927"</definedName>
    <definedName function="false" hidden="true" name="IQ_OTHER_INVEST_ACT_SUPPL_UTI" vbProcedure="false">"c928"</definedName>
    <definedName function="false" hidden="true" name="IQ_OTHER_INVEST_ACT_UTI" vbProcedure="false">"c929"</definedName>
    <definedName function="false" hidden="true" name="IQ_OTHER_LEASES_DUE_30_89_FFIEC" vbProcedure="false">"c13278"</definedName>
    <definedName function="false" hidden="true" name="IQ_OTHER_LEASES_DUE_90_FFIEC" vbProcedure="false">"c13304"</definedName>
    <definedName function="false" hidden="true" name="IQ_OTHER_LEASES_LL_REC_FFIEC" vbProcedure="false">"c12896"</definedName>
    <definedName function="false" hidden="true" name="IQ_OTHER_LEASES_NON_ACCRUAL_FFIEC" vbProcedure="false">"c13330"</definedName>
    <definedName function="false" hidden="true" name="IQ_OTHER_LIAB" vbProcedure="false">"c930"</definedName>
    <definedName function="false" hidden="true" name="IQ_OTHER_LIABILITIES_FDIC" vbProcedure="false">"c6347"</definedName>
    <definedName function="false" hidden="true" name="IQ_OTHER_LIABILITIES_FFIEC" vbProcedure="false">"c12872"</definedName>
    <definedName function="false" hidden="true" name="IQ_OTHER_LIABILITIES_TOTAL_FFIEC" vbProcedure="false">"c12869"</definedName>
    <definedName function="false" hidden="true" name="IQ_OTHER_LIAB_BNK" vbProcedure="false">"c931"</definedName>
    <definedName function="false" hidden="true" name="IQ_OTHER_LIAB_BR" vbProcedure="false">"c932"</definedName>
    <definedName function="false" hidden="true" name="IQ_OTHER_LIAB_FIN" vbProcedure="false">"c933"</definedName>
    <definedName function="false" hidden="true" name="IQ_OTHER_LIAB_INS" vbProcedure="false">"c934"</definedName>
    <definedName function="false" hidden="true" name="IQ_OTHER_LIAB_LT" vbProcedure="false">"c935"</definedName>
    <definedName function="false" hidden="true" name="IQ_OTHER_LIAB_LT_BNK" vbProcedure="false">"c936"</definedName>
    <definedName function="false" hidden="true" name="IQ_OTHER_LIAB_LT_BR" vbProcedure="false">"c937"</definedName>
    <definedName function="false" hidden="true" name="IQ_OTHER_LIAB_LT_FIN" vbProcedure="false">"c938"</definedName>
    <definedName function="false" hidden="true" name="IQ_OTHER_LIAB_LT_INS" vbProcedure="false">"c939"</definedName>
    <definedName function="false" hidden="true" name="IQ_OTHER_LIAB_LT_RE" vbProcedure="false">"c6250"</definedName>
    <definedName function="false" hidden="true" name="IQ_OTHER_LIAB_LT_REIT" vbProcedure="false">"c940"</definedName>
    <definedName function="false" hidden="true" name="IQ_OTHER_LIAB_LT_UTI" vbProcedure="false">"c941"</definedName>
    <definedName function="false" hidden="true" name="IQ_OTHER_LIAB_RE" vbProcedure="false">"c6251"</definedName>
    <definedName function="false" hidden="true" name="IQ_OTHER_LIAB_REIT" vbProcedure="false">"c942"</definedName>
    <definedName function="false" hidden="true" name="IQ_OTHER_LIAB_UTI" vbProcedure="false">"c943"</definedName>
    <definedName function="false" hidden="true" name="IQ_OTHER_LIAB_WRITTEN" vbProcedure="false">"c944"</definedName>
    <definedName function="false" hidden="true" name="IQ_OTHER_LL_REC_FFIEC" vbProcedure="false">"c12894"</definedName>
    <definedName function="false" hidden="true" name="IQ_OTHER_LOANS" vbProcedure="false">"c945"</definedName>
    <definedName function="false" hidden="true" name="IQ_OTHER_LOANS_CHARGE_OFFS_FDIC" vbProcedure="false">"c6601"</definedName>
    <definedName function="false" hidden="true" name="IQ_OTHER_LOANS_DUE_30_89_FFIEC" vbProcedure="false">"c13275"</definedName>
    <definedName function="false" hidden="true" name="IQ_OTHER_LOANS_DUE_90_FFIEC" vbProcedure="false">"c13301"</definedName>
    <definedName function="false" hidden="true" name="IQ_OTHER_LOANS_FFIEC" vbProcedure="false">"c12825"</definedName>
    <definedName function="false" hidden="true" name="IQ_OTHER_LOANS_FOREIGN_FDIC" vbProcedure="false">"c6446"</definedName>
    <definedName function="false" hidden="true" name="IQ_OTHER_LOANS_GROSS_LOANS_FFIEC" vbProcedure="false">"c13414"</definedName>
    <definedName function="false" hidden="true" name="IQ_OTHER_LOANS_INDIVIDUALS_CHARGE_OFFS_FFIEC" vbProcedure="false">"c13181"</definedName>
    <definedName function="false" hidden="true" name="IQ_OTHER_LOANS_INDIVIDUALS_DUE_30_89_FFIEC" vbProcedure="false">"c13273"</definedName>
    <definedName function="false" hidden="true" name="IQ_OTHER_LOANS_INDIVIDUALS_DUE_90_FFIEC" vbProcedure="false">"c13299"</definedName>
    <definedName function="false" hidden="true" name="IQ_OTHER_LOANS_INDIVIDUALS_NON_ACCRUAL_FFIEC" vbProcedure="false">"c13325"</definedName>
    <definedName function="false" hidden="true" name="IQ_OTHER_LOANS_INDIVIDUALS_RECOV_FFIEC" vbProcedure="false">"c13203"</definedName>
    <definedName function="false" hidden="true" name="IQ_OTHER_LOANS_LEASES_FDIC" vbProcedure="false">"c6322"</definedName>
    <definedName function="false" hidden="true" name="IQ_OTHER_LOANS_LL_REC_DOM_FFIEC" vbProcedure="false">"c12914"</definedName>
    <definedName function="false" hidden="true" name="IQ_OTHER_LOANS_NET_CHARGE_OFFS_FDIC" vbProcedure="false">"c6639"</definedName>
    <definedName function="false" hidden="true" name="IQ_OTHER_LOANS_NON_ACCRUAL_FFIEC" vbProcedure="false">"c13327"</definedName>
    <definedName function="false" hidden="true" name="IQ_OTHER_LOANS_RECOVERIES_FDIC" vbProcedure="false">"c6620"</definedName>
    <definedName function="false" hidden="true" name="IQ_OTHER_LOANS_RISK_BASED_FFIEC" vbProcedure="false">"c13435"</definedName>
    <definedName function="false" hidden="true" name="IQ_OTHER_LOANS_TOTAL_FDIC" vbProcedure="false">"c6432"</definedName>
    <definedName function="false" hidden="true" name="IQ_OTHER_LOANS_TOTAL_LOANS" vbProcedure="false">"c15716"</definedName>
    <definedName function="false" hidden="true" name="IQ_OTHER_LOANS_TRADING_DOM_FFIEC" vbProcedure="false">"c12936"</definedName>
    <definedName function="false" hidden="true" name="IQ_OTHER_LONG_TERM" vbProcedure="false">"c1409"</definedName>
    <definedName function="false" hidden="true" name="IQ_OTHER_LT_ASSETS" vbProcedure="false">"c946"</definedName>
    <definedName function="false" hidden="true" name="IQ_OTHER_LT_ASSETS_BNK" vbProcedure="false">"c947"</definedName>
    <definedName function="false" hidden="true" name="IQ_OTHER_LT_ASSETS_BR" vbProcedure="false">"c948"</definedName>
    <definedName function="false" hidden="true" name="IQ_OTHER_LT_ASSETS_FIN" vbProcedure="false">"c949"</definedName>
    <definedName function="false" hidden="true" name="IQ_OTHER_LT_ASSETS_INS" vbProcedure="false">"c950"</definedName>
    <definedName function="false" hidden="true" name="IQ_OTHER_LT_ASSETS_RE" vbProcedure="false">"c6252"</definedName>
    <definedName function="false" hidden="true" name="IQ_OTHER_LT_ASSETS_REIT" vbProcedure="false">"c951"</definedName>
    <definedName function="false" hidden="true" name="IQ_OTHER_LT_ASSETS_UTI" vbProcedure="false">"c952"</definedName>
    <definedName function="false" hidden="true" name="IQ_OTHER_MBS_AFS_AMORT_COST_FFIEC" vbProcedure="false">"c20498"</definedName>
    <definedName function="false" hidden="true" name="IQ_OTHER_MBS_AFS_FAIR_VAL_FFIEC" vbProcedure="false">"c20463"</definedName>
    <definedName function="false" hidden="true" name="IQ_OTHER_MBS_AVAIL_SALE_FFIEC" vbProcedure="false">"c12801"</definedName>
    <definedName function="false" hidden="true" name="IQ_OTHER_MBS_FFIEC" vbProcedure="false">"c12787"</definedName>
    <definedName function="false" hidden="true" name="IQ_OTHER_MBS_HTM_AMORT_COST_FFIEC" vbProcedure="false">"c20446"</definedName>
    <definedName function="false" hidden="true" name="IQ_OTHER_MBS_HTM_FAIR_VAL_FFIEC" vbProcedure="false">"c20481"</definedName>
    <definedName function="false" hidden="true" name="IQ_OTHER_MBS_ISSUED_FNMA_GNMA_TRADING_DOM_FFIEC" vbProcedure="false">"c12922"</definedName>
    <definedName function="false" hidden="true" name="IQ_OTHER_MBS_ISSUED_FNMA_GNMA_TRADING_FFIEC" vbProcedure="false">"c12817"</definedName>
    <definedName function="false" hidden="true" name="IQ_OTHER_MBS_TRADING_DOM_FFIEC" vbProcedure="false">"c12923"</definedName>
    <definedName function="false" hidden="true" name="IQ_OTHER_MBS_TRADING_FFIEC" vbProcedure="false">"c12818"</definedName>
    <definedName function="false" hidden="true" name="IQ_OTHER_MINING_REVENUE_COAL" vbProcedure="false">"c15931"</definedName>
    <definedName function="false" hidden="true" name="IQ_OTHER_NET" vbProcedure="false">"c1453"</definedName>
    <definedName function="false" hidden="true" name="IQ_OTHER_NONFARM_NONRES_GROSS_LOANS_FFIEC" vbProcedure="false">"c13407"</definedName>
    <definedName function="false" hidden="true" name="IQ_OTHER_NONFARM_NONRES_LL_REC_DOM_FFIEC" vbProcedure="false">"c12907"</definedName>
    <definedName function="false" hidden="true" name="IQ_OTHER_NONFARM_NONRES_RISK_BASED_FFIEC" vbProcedure="false">"c13428"</definedName>
    <definedName function="false" hidden="true" name="IQ_OTHER_NONINTEREST_INC_FOREIGN_FFIEC" vbProcedure="false">"c15380"</definedName>
    <definedName function="false" hidden="true" name="IQ_OTHER_NON_INT_ALLOCATIONS_FFIEC" vbProcedure="false">"c13065"</definedName>
    <definedName function="false" hidden="true" name="IQ_OTHER_NON_INT_EXP" vbProcedure="false">"c953"</definedName>
    <definedName function="false" hidden="true" name="IQ_OTHER_NON_INT_EXPENSE_FDIC" vbProcedure="false">"c6679"</definedName>
    <definedName function="false" hidden="true" name="IQ_OTHER_NON_INT_EXP_FDIC" vbProcedure="false">"c6578"</definedName>
    <definedName function="false" hidden="true" name="IQ_OTHER_NON_INT_EXP_FFIEC" vbProcedure="false">"c13027"</definedName>
    <definedName function="false" hidden="true" name="IQ_OTHER_NON_INT_EXP_TOTAL" vbProcedure="false">"c954"</definedName>
    <definedName function="false" hidden="true" name="IQ_OTHER_NON_INT_INC" vbProcedure="false">"c955"</definedName>
    <definedName function="false" hidden="true" name="IQ_OTHER_NON_INT_INCOME_FFIEC" vbProcedure="false">"c13016"</definedName>
    <definedName function="false" hidden="true" name="IQ_OTHER_NON_INT_INC_FDIC" vbProcedure="false">"c6676"</definedName>
    <definedName function="false" hidden="true" name="IQ_OTHER_NON_INT_INC_OPERATING_INC_FFIEC" vbProcedure="false">"c13392"</definedName>
    <definedName function="false" hidden="true" name="IQ_OTHER_NON_OPER_EXP" vbProcedure="false">"c956"</definedName>
    <definedName function="false" hidden="true" name="IQ_OTHER_NON_OPER_EXP_BR" vbProcedure="false">"c957"</definedName>
    <definedName function="false" hidden="true" name="IQ_OTHER_NON_OPER_EXP_FIN" vbProcedure="false">"c958"</definedName>
    <definedName function="false" hidden="true" name="IQ_OTHER_NON_OPER_EXP_INS" vbProcedure="false">"c959"</definedName>
    <definedName function="false" hidden="true" name="IQ_OTHER_NON_OPER_EXP_RE" vbProcedure="false">"c6253"</definedName>
    <definedName function="false" hidden="true" name="IQ_OTHER_NON_OPER_EXP_REIT" vbProcedure="false">"c960"</definedName>
    <definedName function="false" hidden="true" name="IQ_OTHER_NON_OPER_EXP_SUPPL" vbProcedure="false">"c961"</definedName>
    <definedName function="false" hidden="true" name="IQ_OTHER_NON_OPER_EXP_SUPPL_BR" vbProcedure="false">"c962"</definedName>
    <definedName function="false" hidden="true" name="IQ_OTHER_NON_OPER_EXP_SUPPL_FIN" vbProcedure="false">"c963"</definedName>
    <definedName function="false" hidden="true" name="IQ_OTHER_NON_OPER_EXP_SUPPL_INS" vbProcedure="false">"c964"</definedName>
    <definedName function="false" hidden="true" name="IQ_OTHER_NON_OPER_EXP_SUPPL_RE" vbProcedure="false">"c6254"</definedName>
    <definedName function="false" hidden="true" name="IQ_OTHER_NON_OPER_EXP_SUPPL_REIT" vbProcedure="false">"c965"</definedName>
    <definedName function="false" hidden="true" name="IQ_OTHER_NON_OPER_EXP_SUPPL_UTI" vbProcedure="false">"c966"</definedName>
    <definedName function="false" hidden="true" name="IQ_OTHER_NON_OPER_EXP_UTI" vbProcedure="false">"c967"</definedName>
    <definedName function="false" hidden="true" name="IQ_OTHER_OFF_BS_ITEMS_FFIEC" vbProcedure="false">"c13126"</definedName>
    <definedName function="false" hidden="true" name="IQ_OTHER_OFF_BS_LIAB_FDIC" vbProcedure="false">"c6533"</definedName>
    <definedName function="false" hidden="true" name="IQ_OTHER_OPER" vbProcedure="false">"c982"</definedName>
    <definedName function="false" hidden="true" name="IQ_OTHER_OPER_ACT" vbProcedure="false">"c983"</definedName>
    <definedName function="false" hidden="true" name="IQ_OTHER_OPER_ACT_BNK" vbProcedure="false">"c984"</definedName>
    <definedName function="false" hidden="true" name="IQ_OTHER_OPER_ACT_BR" vbProcedure="false">"c985"</definedName>
    <definedName function="false" hidden="true" name="IQ_OTHER_OPER_ACT_FIN" vbProcedure="false">"c986"</definedName>
    <definedName function="false" hidden="true" name="IQ_OTHER_OPER_ACT_INS" vbProcedure="false">"c987"</definedName>
    <definedName function="false" hidden="true" name="IQ_OTHER_OPER_ACT_RE" vbProcedure="false">"c6255"</definedName>
    <definedName function="false" hidden="true" name="IQ_OTHER_OPER_ACT_REIT" vbProcedure="false">"c988"</definedName>
    <definedName function="false" hidden="true" name="IQ_OTHER_OPER_ACT_UTI" vbProcedure="false">"c989"</definedName>
    <definedName function="false" hidden="true" name="IQ_OTHER_OPER_BR" vbProcedure="false">"c990"</definedName>
    <definedName function="false" hidden="true" name="IQ_OTHER_OPER_FIN" vbProcedure="false">"c991"</definedName>
    <definedName function="false" hidden="true" name="IQ_OTHER_OPER_INS" vbProcedure="false">"c992"</definedName>
    <definedName function="false" hidden="true" name="IQ_OTHER_OPER_RE" vbProcedure="false">"c6256"</definedName>
    <definedName function="false" hidden="true" name="IQ_OTHER_OPER_REIT" vbProcedure="false">"c993"</definedName>
    <definedName function="false" hidden="true" name="IQ_OTHER_OPER_SUPPL_BR" vbProcedure="false">"c994"</definedName>
    <definedName function="false" hidden="true" name="IQ_OTHER_OPER_SUPPL_FIN" vbProcedure="false">"c995"</definedName>
    <definedName function="false" hidden="true" name="IQ_OTHER_OPER_SUPPL_INS" vbProcedure="false">"c996"</definedName>
    <definedName function="false" hidden="true" name="IQ_OTHER_OPER_SUPPL_RE" vbProcedure="false">"c6257"</definedName>
    <definedName function="false" hidden="true" name="IQ_OTHER_OPER_SUPPL_REIT" vbProcedure="false">"c997"</definedName>
    <definedName function="false" hidden="true" name="IQ_OTHER_OPER_SUPPL_UTI" vbProcedure="false">"c998"</definedName>
    <definedName function="false" hidden="true" name="IQ_OTHER_OPER_TOT_BNK" vbProcedure="false">"c999"</definedName>
    <definedName function="false" hidden="true" name="IQ_OTHER_OPER_TOT_BR" vbProcedure="false">"c1000"</definedName>
    <definedName function="false" hidden="true" name="IQ_OTHER_OPER_TOT_FIN" vbProcedure="false">"c1001"</definedName>
    <definedName function="false" hidden="true" name="IQ_OTHER_OPER_TOT_INS" vbProcedure="false">"c1002"</definedName>
    <definedName function="false" hidden="true" name="IQ_OTHER_OPER_TOT_RE" vbProcedure="false">"c6258"</definedName>
    <definedName function="false" hidden="true" name="IQ_OTHER_OPER_TOT_REIT" vbProcedure="false">"c1003"</definedName>
    <definedName function="false" hidden="true" name="IQ_OTHER_OPER_TOT_UTI" vbProcedure="false">"c1004"</definedName>
    <definedName function="false" hidden="true" name="IQ_OTHER_OPER_UTI" vbProcedure="false">"c1005"</definedName>
    <definedName function="false" hidden="true" name="IQ_OTHER_OPTIONS_BEG_OS" vbProcedure="false">"c2686"</definedName>
    <definedName function="false" hidden="true" name="IQ_OTHER_OPTIONS_CANCELLED" vbProcedure="false">"c2689"</definedName>
    <definedName function="false" hidden="true" name="IQ_OTHER_OPTIONS_END_OS" vbProcedure="false">"c2690"</definedName>
    <definedName function="false" hidden="true" name="IQ_OTHER_OPTIONS_EXERCISABLE_END_OS" vbProcedure="false">"c5814"</definedName>
    <definedName function="false" hidden="true" name="IQ_OTHER_OPTIONS_EXERCISED" vbProcedure="false">"c2688"</definedName>
    <definedName function="false" hidden="true" name="IQ_OTHER_OPTIONS_GRANTED" vbProcedure="false">"c2687"</definedName>
    <definedName function="false" hidden="true" name="IQ_OTHER_OPTIONS_STRIKE_PRICE_BEG_OS" vbProcedure="false">"c5815"</definedName>
    <definedName function="false" hidden="true" name="IQ_OTHER_OPTIONS_STRIKE_PRICE_CANCELLED" vbProcedure="false">"c5817"</definedName>
    <definedName function="false" hidden="true" name="IQ_OTHER_OPTIONS_STRIKE_PRICE_EXERCISABLE" vbProcedure="false">"c5818"</definedName>
    <definedName function="false" hidden="true" name="IQ_OTHER_OPTIONS_STRIKE_PRICE_EXERCISED" vbProcedure="false">"c5816"</definedName>
    <definedName function="false" hidden="true" name="IQ_OTHER_OPTIONS_STRIKE_PRICE_OS" vbProcedure="false">"c2691"</definedName>
    <definedName function="false" hidden="true" name="IQ_OTHER_OUTSTANDING_BS_DATE" vbProcedure="false">"c1972"</definedName>
    <definedName function="false" hidden="true" name="IQ_OTHER_OUTSTANDING_FILING_DATE" vbProcedure="false">"c1974"</definedName>
    <definedName function="false" hidden="true" name="IQ_OTHER_OVER_TOTAL" vbProcedure="false">"c13770"</definedName>
    <definedName function="false" hidden="true" name="IQ_OTHER_PC_WRITTEN" vbProcedure="false">"c1006"</definedName>
    <definedName function="false" hidden="true" name="IQ_OTHER_PROP" vbProcedure="false">"c8764"</definedName>
    <definedName function="false" hidden="true" name="IQ_OTHER_PROP_OPERATING_EXPENSE" vbProcedure="false">"c16043"</definedName>
    <definedName function="false" hidden="true" name="IQ_OTHER_PROP_OPERATING_REVENUE" vbProcedure="false">"c16027"</definedName>
    <definedName function="false" hidden="true" name="IQ_OTHER_REAL_ESTATE" vbProcedure="false">"c1007"</definedName>
    <definedName function="false" hidden="true" name="IQ_OTHER_RECEIV" vbProcedure="false">"c1008"</definedName>
    <definedName function="false" hidden="true" name="IQ_OTHER_RECEIV_INS" vbProcedure="false">"c1009"</definedName>
    <definedName function="false" hidden="true" name="IQ_OTHER_REV" vbProcedure="false">"c1010"</definedName>
    <definedName function="false" hidden="true" name="IQ_OTHER_REVENUE" vbProcedure="false">"c1410"</definedName>
    <definedName function="false" hidden="true" name="IQ_OTHER_REVOLVING_CREDIT_LL_REC_FFIEC" vbProcedure="false">"c12890"</definedName>
    <definedName function="false" hidden="true" name="IQ_OTHER_REVOLVING_CREDIT_LOANS_TRADING_DOM_FFIEC" vbProcedure="false">"c12934"</definedName>
    <definedName function="false" hidden="true" name="IQ_OTHER_REVOL_CREDIT_CONSUMER_LOANS_FFIEC" vbProcedure="false">"c12823"</definedName>
    <definedName function="false" hidden="true" name="IQ_OTHER_REV_BR" vbProcedure="false">"c1011"</definedName>
    <definedName function="false" hidden="true" name="IQ_OTHER_REV_FIN" vbProcedure="false">"c1012"</definedName>
    <definedName function="false" hidden="true" name="IQ_OTHER_REV_INS" vbProcedure="false">"c1013"</definedName>
    <definedName function="false" hidden="true" name="IQ_OTHER_REV_RE" vbProcedure="false">"c6259"</definedName>
    <definedName function="false" hidden="true" name="IQ_OTHER_REV_REIT" vbProcedure="false">"c1014"</definedName>
    <definedName function="false" hidden="true" name="IQ_OTHER_REV_SUPPL" vbProcedure="false">"c1015"</definedName>
    <definedName function="false" hidden="true" name="IQ_OTHER_REV_SUPPL_BR" vbProcedure="false">"c1016"</definedName>
    <definedName function="false" hidden="true" name="IQ_OTHER_REV_SUPPL_FIN" vbProcedure="false">"c1017"</definedName>
    <definedName function="false" hidden="true" name="IQ_OTHER_REV_SUPPL_INS" vbProcedure="false">"c1018"</definedName>
    <definedName function="false" hidden="true" name="IQ_OTHER_REV_SUPPL_RE" vbProcedure="false">"c6260"</definedName>
    <definedName function="false" hidden="true" name="IQ_OTHER_REV_SUPPL_REIT" vbProcedure="false">"c1019"</definedName>
    <definedName function="false" hidden="true" name="IQ_OTHER_REV_SUPPL_UTI" vbProcedure="false">"c1020"</definedName>
    <definedName function="false" hidden="true" name="IQ_OTHER_REV_UTI" vbProcedure="false">"c1021"</definedName>
    <definedName function="false" hidden="true" name="IQ_OTHER_RE_OWNED_FDIC" vbProcedure="false">"c6330"</definedName>
    <definedName function="false" hidden="true" name="IQ_OTHER_ROOMS" vbProcedure="false">"c8788"</definedName>
    <definedName function="false" hidden="true" name="IQ_OTHER_SAVINGS_DEPOSITS_FDIC" vbProcedure="false">"c6554"</definedName>
    <definedName function="false" hidden="true" name="IQ_OTHER_SAVINGS_DEPOSITS_NON_TRANS_ACCTS_FFIEC" vbProcedure="false">"c15331"</definedName>
    <definedName function="false" hidden="true" name="IQ_OTHER_SECURITIES_QUARTERLY_AVG_FFIEC" vbProcedure="false">"c15472"</definedName>
    <definedName function="false" hidden="true" name="IQ_OTHER_SQ_FT" vbProcedure="false">"c8780"</definedName>
    <definedName function="false" hidden="true" name="IQ_OTHER_STRIKE_PRICE_GRANTED" vbProcedure="false">"c2692"</definedName>
    <definedName function="false" hidden="true" name="IQ_OTHER_TAX_EQUIVALENT_ADJUSTMENTS_FFIEC" vbProcedure="false">"c13855"</definedName>
    <definedName function="false" hidden="true" name="IQ_OTHER_TRADING_ASSETS_FAIR_VALUE_TOT_FFIEC" vbProcedure="false">"c15404"</definedName>
    <definedName function="false" hidden="true" name="IQ_OTHER_TRADING_ASSETS_FFIEC" vbProcedure="false">"c12826"</definedName>
    <definedName function="false" hidden="true" name="IQ_OTHER_TRADING_ASSETS_LEVEL_1_FFIEC" vbProcedure="false">"c15426"</definedName>
    <definedName function="false" hidden="true" name="IQ_OTHER_TRADING_ASSETS_LEVEL_2_FFIEC" vbProcedure="false">"c15439"</definedName>
    <definedName function="false" hidden="true" name="IQ_OTHER_TRADING_ASSETS_LEVEL_3_FFIEC" vbProcedure="false">"c15452"</definedName>
    <definedName function="false" hidden="true" name="IQ_OTHER_TRADING_ASSETS_TOTAL_FFIEC" vbProcedure="false">"c12937"</definedName>
    <definedName function="false" hidden="true" name="IQ_OTHER_TRADING_LIABILITIES_FAIR_VALUE_TOT_FFIEC" vbProcedure="false">"c15408"</definedName>
    <definedName function="false" hidden="true" name="IQ_OTHER_TRADING_LIABILITIES_FFIEC" vbProcedure="false">"c12860"</definedName>
    <definedName function="false" hidden="true" name="IQ_OTHER_TRADING_LIABILITIES_LEVEL_1_FFIEC" vbProcedure="false">"c15430"</definedName>
    <definedName function="false" hidden="true" name="IQ_OTHER_TRADING_LIABILITIES_LEVEL_2_FFIEC" vbProcedure="false">"c15443"</definedName>
    <definedName function="false" hidden="true" name="IQ_OTHER_TRADING_LIABILITIES_LEVEL_3_FFIEC" vbProcedure="false">"c15456"</definedName>
    <definedName function="false" hidden="true" name="IQ_OTHER_TRANSACTIONS_FDIC" vbProcedure="false">"c6504"</definedName>
    <definedName function="false" hidden="true" name="IQ_OTHER_UNDRAWN" vbProcedure="false">"c2522"</definedName>
    <definedName function="false" hidden="true" name="IQ_OTHER_UNITS" vbProcedure="false">"c8772"</definedName>
    <definedName function="false" hidden="true" name="IQ_OTHER_UNUSED_COMMITMENTS_FDIC" vbProcedure="false">"c6530"</definedName>
    <definedName function="false" hidden="true" name="IQ_OTHER_UNUSED_FFIEC" vbProcedure="false">"c13248"</definedName>
    <definedName function="false" hidden="true" name="IQ_OTHER_UNUSUAL" vbProcedure="false">"c1488"</definedName>
    <definedName function="false" hidden="true" name="IQ_OTHER_UNUSUAL_BNK" vbProcedure="false">"c1560"</definedName>
    <definedName function="false" hidden="true" name="IQ_OTHER_UNUSUAL_BR" vbProcedure="false">"c1561"</definedName>
    <definedName function="false" hidden="true" name="IQ_OTHER_UNUSUAL_FIN" vbProcedure="false">"c1562"</definedName>
    <definedName function="false" hidden="true" name="IQ_OTHER_UNUSUAL_INS" vbProcedure="false">"c1563"</definedName>
    <definedName function="false" hidden="true" name="IQ_OTHER_UNUSUAL_RE" vbProcedure="false">"c6282"</definedName>
    <definedName function="false" hidden="true" name="IQ_OTHER_UNUSUAL_REIT" vbProcedure="false">"c1564"</definedName>
    <definedName function="false" hidden="true" name="IQ_OTHER_UNUSUAL_SUPPL" vbProcedure="false">"c1494"</definedName>
    <definedName function="false" hidden="true" name="IQ_OTHER_UNUSUAL_SUPPLE" vbProcedure="false">"c13816"</definedName>
    <definedName function="false" hidden="true" name="IQ_OTHER_UNUSUAL_SUPPL_BNK" vbProcedure="false">"c1495"</definedName>
    <definedName function="false" hidden="true" name="IQ_OTHER_UNUSUAL_SUPPL_BR" vbProcedure="false">"c1496"</definedName>
    <definedName function="false" hidden="true" name="IQ_OTHER_UNUSUAL_SUPPL_FIN" vbProcedure="false">"c1497"</definedName>
    <definedName function="false" hidden="true" name="IQ_OTHER_UNUSUAL_SUPPL_INS" vbProcedure="false">"c1498"</definedName>
    <definedName function="false" hidden="true" name="IQ_OTHER_UNUSUAL_SUPPL_RE" vbProcedure="false">"c6281"</definedName>
    <definedName function="false" hidden="true" name="IQ_OTHER_UNUSUAL_SUPPL_REIT" vbProcedure="false">"c1499"</definedName>
    <definedName function="false" hidden="true" name="IQ_OTHER_UNUSUAL_SUPPL_UTI" vbProcedure="false">"c1500"</definedName>
    <definedName function="false" hidden="true" name="IQ_OTHER_UNUSUAL_UTI" vbProcedure="false">"c1565"</definedName>
    <definedName function="false" hidden="true" name="IQ_OTHER_WARRANTS_BEG_OS" vbProcedure="false">"c2712"</definedName>
    <definedName function="false" hidden="true" name="IQ_OTHER_WARRANTS_CANCELLED" vbProcedure="false">"c2715"</definedName>
    <definedName function="false" hidden="true" name="IQ_OTHER_WARRANTS_END_OS" vbProcedure="false">"c2716"</definedName>
    <definedName function="false" hidden="true" name="IQ_OTHER_WARRANTS_EXERCISED" vbProcedure="false">"c2714"</definedName>
    <definedName function="false" hidden="true" name="IQ_OTHER_WARRANTS_ISSUED" vbProcedure="false">"c2713"</definedName>
    <definedName function="false" hidden="true" name="IQ_OTHER_WARRANTS_STRIKE_PRICE_ISSUED" vbProcedure="false">"c2718"</definedName>
    <definedName function="false" hidden="true" name="IQ_OTHER_WARRANTS_STRIKE_PRICE_OS" vbProcedure="false">"c2717"</definedName>
    <definedName function="false" hidden="true" name="IQ_OUTSTANDING_BS_DATE" vbProcedure="false">"c2128"</definedName>
    <definedName function="false" hidden="true" name="IQ_OUTSTANDING_FILING_DATE" vbProcedure="false">"c1023"</definedName>
    <definedName function="false" hidden="true" name="IQ_OUTSTANDING_FILING_DATE_TOTAL" vbProcedure="false">"c2107"</definedName>
    <definedName function="false" hidden="true" name="IQ_OVERHEAD_EXP_AVG_ASSETS_FFIEC" vbProcedure="false">"c13361"</definedName>
    <definedName function="false" hidden="true" name="IQ_OVERHEAD_EXP_REV_FFIEC" vbProcedure="false">"c13494"</definedName>
    <definedName function="false" hidden="true" name="IQ_OVERHEAD_NON_INT_INC_AVG_ASSETS_FFIEC" vbProcedure="false">"c13374"</definedName>
    <definedName function="false" hidden="true" name="IQ_OVERHEAD_NON_INT_OPERATING_INC_FFIEC" vbProcedure="false">"c13393"</definedName>
    <definedName function="false" hidden="true" name="IQ_OVERHEAD_OPERATING_INC_FFIEC" vbProcedure="false">"c13378"</definedName>
    <definedName function="false" hidden="true" name="IQ_OVER_FIFETEEN_YEAR_MORTGAGE_PASS_THROUGHS_FDIC" vbProcedure="false">"c6416"</definedName>
    <definedName function="false" hidden="true" name="IQ_OVER_FIFTEEN_YEAR_FIXED_AND_FLOATING_RATE_FDIC" vbProcedure="false">"c6424"</definedName>
    <definedName function="false" hidden="true" name="IQ_OVER_THREE_YEARS_FDIC" vbProcedure="false">"c6418"</definedName>
    <definedName function="false" hidden="true" name="IQ_OWNED_RESERVES_COAL" vbProcedure="false">"c15916"</definedName>
    <definedName function="false" hidden="true" name="IQ_OWNED_RESERVES_TO_TOTAL_RESERVES_COAL" vbProcedure="false">"c15957"</definedName>
    <definedName function="false" hidden="true" name="IQ_OWNERSHIP" vbProcedure="false">"c2160"</definedName>
    <definedName function="false" hidden="true" name="IQ_OWNER_OCCUPIED_GROSS_LOANS_FFIEC" vbProcedure="false">"c13406"</definedName>
    <definedName function="false" hidden="true" name="IQ_OWNER_OCCUPIED_LOANS_RISK_BASED_FFIEC" vbProcedure="false">"c13427"</definedName>
    <definedName function="false" hidden="true" name="IQ_OWNER_OCCUPIED_NONFARM_NONRES_LL_REC_DOM_FFIEC" vbProcedure="false">"c12906"</definedName>
    <definedName function="false" hidden="true" name="IQ_PARTICIPATIONS_ACCEPTANCES_FFIEC" vbProcedure="false">"c13254"</definedName>
    <definedName function="false" hidden="true" name="IQ_PARTICIPATION_POOLS_RESIDENTIAL_MORTGAGES_FDIC" vbProcedure="false">"c6403"</definedName>
    <definedName function="false" hidden="true" name="IQ_PARTNERSHIP_INC_RE" vbProcedure="false">"c12039"</definedName>
    <definedName function="false" hidden="true" name="IQ_PART_TIME" vbProcedure="false">"c1024"</definedName>
    <definedName function="false" hidden="true" name="IQ_PASS_THROUGH_FNMA_GNMA_TRADING_FFIEC" vbProcedure="false">"c12816"</definedName>
    <definedName function="false" hidden="true" name="IQ_PAST_DUE_30_1_4_FAMILY_LOANS_FDIC" vbProcedure="false">"c6693"</definedName>
    <definedName function="false" hidden="true" name="IQ_PAST_DUE_30_AUTO_LOANS_FDIC" vbProcedure="false">"c6687"</definedName>
    <definedName function="false" hidden="true" name="IQ_PAST_DUE_30_CL_LOANS_FDIC" vbProcedure="false">"c6688"</definedName>
    <definedName function="false" hidden="true" name="IQ_PAST_DUE_30_CREDIT_CARDS_RECEIVABLES_FDIC" vbProcedure="false">"c6690"</definedName>
    <definedName function="false" hidden="true" name="IQ_PAST_DUE_30_HOME_EQUITY_LINES_FDIC" vbProcedure="false">"c6691"</definedName>
    <definedName function="false" hidden="true" name="IQ_PAST_DUE_30_OTHER_CONSUMER_LOANS_FDIC" vbProcedure="false">"c6689"</definedName>
    <definedName function="false" hidden="true" name="IQ_PAST_DUE_30_OTHER_LOANS_FDIC" vbProcedure="false">"c6692"</definedName>
    <definedName function="false" hidden="true" name="IQ_PAST_DUE_90_1_4_FAMILY_LOANS_FDIC" vbProcedure="false">"c6700"</definedName>
    <definedName function="false" hidden="true" name="IQ_PAST_DUE_90_AUTO_LOANS_FDIC" vbProcedure="false">"c6694"</definedName>
    <definedName function="false" hidden="true" name="IQ_PAST_DUE_90_CL_LOANS_FDIC" vbProcedure="false">"c6695"</definedName>
    <definedName function="false" hidden="true" name="IQ_PAST_DUE_90_CREDIT_CARDS_RECEIVABLES_FDIC" vbProcedure="false">"c6697"</definedName>
    <definedName function="false" hidden="true" name="IQ_PAST_DUE_90_HOME_EQUITY_LINES_FDIC" vbProcedure="false">"c6698"</definedName>
    <definedName function="false" hidden="true" name="IQ_PAST_DUE_90_OTHER_CONSUMER_LOANS_FDIC" vbProcedure="false">"c6696"</definedName>
    <definedName function="false" hidden="true" name="IQ_PAST_DUE_90_OTHER_LOANS_FDIC" vbProcedure="false">"c6699"</definedName>
    <definedName function="false" hidden="true" name="IQ_PAST_DUE_ALLOW_GROSS_LOANS_FFIEC" vbProcedure="false">"c13416"</definedName>
    <definedName function="false" hidden="true" name="IQ_PAYOUT_RATIO" vbProcedure="false">"c1900"</definedName>
    <definedName function="false" hidden="true" name="IQ_PAY_ACCRUED" vbProcedure="false">"c1457"</definedName>
    <definedName function="false" hidden="true" name="IQ_PBV" vbProcedure="false">"c1025"</definedName>
    <definedName function="false" hidden="true" name="IQ_PBV_AVG" vbProcedure="false">"c1026"</definedName>
    <definedName function="false" hidden="true" name="IQ_PBV_FWD" vbProcedure="false">"c15235"</definedName>
    <definedName function="false" hidden="true" name="IQ_PBV_FWD_CIQ" vbProcedure="false">"c15236"</definedName>
    <definedName function="false" hidden="true" name="IQ_PC_EARNED" vbProcedure="false">"c2749"</definedName>
    <definedName function="false" hidden="true" name="IQ_PC_GAAP_COMBINED_RATIO" vbProcedure="false">"c2781"</definedName>
    <definedName function="false" hidden="true" name="IQ_PC_GAAP_COMBINED_RATIO_EXCL_CL" vbProcedure="false">"c2782"</definedName>
    <definedName function="false" hidden="true" name="IQ_PC_GAAP_EXPENSE_RATIO" vbProcedure="false">"c2780"</definedName>
    <definedName function="false" hidden="true" name="IQ_PC_GAAP_LOSS" vbProcedure="false">"c2779"</definedName>
    <definedName function="false" hidden="true" name="IQ_PC_POLICY_BENEFITS_EXP" vbProcedure="false">"c2790"</definedName>
    <definedName function="false" hidden="true" name="IQ_PC_STATUTORY_SURPLUS" vbProcedure="false">"c2770"</definedName>
    <definedName function="false" hidden="true" name="IQ_PC_STAT_COMBINED_RATIO" vbProcedure="false">"c2778"</definedName>
    <definedName function="false" hidden="true" name="IQ_PC_STAT_COMBINED_RATIO_EXCL_DIV" vbProcedure="false">"c2777"</definedName>
    <definedName function="false" hidden="true" name="IQ_PC_STAT_DIVIDEND_RATIO" vbProcedure="false">"c2776"</definedName>
    <definedName function="false" hidden="true" name="IQ_PC_STAT_EXPENSE_RATIO" vbProcedure="false">"c2775"</definedName>
    <definedName function="false" hidden="true" name="IQ_PC_STAT_LOSS_RATIO" vbProcedure="false">"c2774"</definedName>
    <definedName function="false" hidden="true" name="IQ_PC_WRITTEN" vbProcedure="false">"c1027"</definedName>
    <definedName function="false" hidden="true" name="IQ_PEG_FWD" vbProcedure="false">"c1863"</definedName>
    <definedName function="false" hidden="true" name="IQ_PEG_FWD_CIQ" vbProcedure="false">"c4045"</definedName>
    <definedName function="false" hidden="true" name="IQ_PEG_FWD_REUT" vbProcedure="false">"c4052"</definedName>
    <definedName function="false" hidden="true" name="IQ_PEG_FWD_THOM" vbProcedure="false">"c4059"</definedName>
    <definedName function="false" hidden="true" name="IQ_PENETRATION_BASIC_CABLE" vbProcedure="false">"c16204"</definedName>
    <definedName function="false" hidden="true" name="IQ_PENETRATION_BBAND" vbProcedure="false">"c2852"</definedName>
    <definedName function="false" hidden="true" name="IQ_PENETRATION_BBAND_THP" vbProcedure="false">"c2851"</definedName>
    <definedName function="false" hidden="true" name="IQ_PENETRATION_PHONE" vbProcedure="false">"c2853"</definedName>
    <definedName function="false" hidden="true" name="IQ_PENETRATION_VIDEO" vbProcedure="false">"c2850"</definedName>
    <definedName function="false" hidden="true" name="IQ_PENSION" vbProcedure="false">"c1031"</definedName>
    <definedName function="false" hidden="true" name="IQ_PENSION_ACCRUED_LIAB" vbProcedure="false">"c3134"</definedName>
    <definedName function="false" hidden="true" name="IQ_PENSION_ACCRUED_LIAB_DOM" vbProcedure="false">"c3132"</definedName>
    <definedName function="false" hidden="true" name="IQ_PENSION_ACCRUED_LIAB_FOREIGN" vbProcedure="false">"c3133"</definedName>
    <definedName function="false" hidden="true" name="IQ_PENSION_ACCUMULATED_OBLIGATION" vbProcedure="false">"c3570"</definedName>
    <definedName function="false" hidden="true" name="IQ_PENSION_ACCUMULATED_OBLIGATION_DOMESTIC" vbProcedure="false">"c3568"</definedName>
    <definedName function="false" hidden="true" name="IQ_PENSION_ACCUMULATED_OBLIGATION_FOREIGN" vbProcedure="false">"c3569"</definedName>
    <definedName function="false" hidden="true" name="IQ_PENSION_ACCUM_OTHER_CI" vbProcedure="false">"c3140"</definedName>
    <definedName function="false" hidden="true" name="IQ_PENSION_ACCUM_OTHER_CI_DOM" vbProcedure="false">"c3138"</definedName>
    <definedName function="false" hidden="true" name="IQ_PENSION_ACCUM_OTHER_CI_FOREIGN" vbProcedure="false">"c3139"</definedName>
    <definedName function="false" hidden="true" name="IQ_PENSION_ACT_NEXT" vbProcedure="false">"c5738"</definedName>
    <definedName function="false" hidden="true" name="IQ_PENSION_ACT_NEXT_DOM" vbProcedure="false">"c5736"</definedName>
    <definedName function="false" hidden="true" name="IQ_PENSION_ACT_NEXT_FOREIGN" vbProcedure="false">"c5737"</definedName>
    <definedName function="false" hidden="true" name="IQ_PENSION_AMT_RECOG_NEXT_DOM" vbProcedure="false">"c5745"</definedName>
    <definedName function="false" hidden="true" name="IQ_PENSION_AMT_RECOG_NEXT_FOREIGN" vbProcedure="false">"c5746"</definedName>
    <definedName function="false" hidden="true" name="IQ_PENSION_AMT_RECOG_PERIOD" vbProcedure="false">"c5747"</definedName>
    <definedName function="false" hidden="true" name="IQ_PENSION_ASSETS" vbProcedure="false">"c3182"</definedName>
    <definedName function="false" hidden="true" name="IQ_PENSION_ASSETS_ACQ" vbProcedure="false">"c3173"</definedName>
    <definedName function="false" hidden="true" name="IQ_PENSION_ASSETS_ACQ_DOM" vbProcedure="false">"c3171"</definedName>
    <definedName function="false" hidden="true" name="IQ_PENSION_ASSETS_ACQ_FOREIGN" vbProcedure="false">"c3172"</definedName>
    <definedName function="false" hidden="true" name="IQ_PENSION_ASSETS_ACTUAL_RETURN" vbProcedure="false">"c3158"</definedName>
    <definedName function="false" hidden="true" name="IQ_PENSION_ASSETS_ACTUAL_RETURN_DOM" vbProcedure="false">"c3156"</definedName>
    <definedName function="false" hidden="true" name="IQ_PENSION_ASSETS_ACTUAL_RETURN_FOREIGN" vbProcedure="false">"c3157"</definedName>
    <definedName function="false" hidden="true" name="IQ_PENSION_ASSETS_BEG" vbProcedure="false">"c3155"</definedName>
    <definedName function="false" hidden="true" name="IQ_PENSION_ASSETS_BEG_DOM" vbProcedure="false">"c3153"</definedName>
    <definedName function="false" hidden="true" name="IQ_PENSION_ASSETS_BEG_FOREIGN" vbProcedure="false">"c3154"</definedName>
    <definedName function="false" hidden="true" name="IQ_PENSION_ASSETS_BENEFITS_PAID" vbProcedure="false">"c3167"</definedName>
    <definedName function="false" hidden="true" name="IQ_PENSION_ASSETS_BENEFITS_PAID_DOM" vbProcedure="false">"c3165"</definedName>
    <definedName function="false" hidden="true" name="IQ_PENSION_ASSETS_BENEFITS_PAID_FOREIGN" vbProcedure="false">"c3166"</definedName>
    <definedName function="false" hidden="true" name="IQ_PENSION_ASSETS_CURTAIL" vbProcedure="false">"c3176"</definedName>
    <definedName function="false" hidden="true" name="IQ_PENSION_ASSETS_CURTAIL_DOM" vbProcedure="false">"c3174"</definedName>
    <definedName function="false" hidden="true" name="IQ_PENSION_ASSETS_CURTAIL_FOREIGN" vbProcedure="false">"c3175"</definedName>
    <definedName function="false" hidden="true" name="IQ_PENSION_ASSETS_DOM" vbProcedure="false">"c3180"</definedName>
    <definedName function="false" hidden="true" name="IQ_PENSION_ASSETS_EMPLOYER_CONTRIBUTIONS" vbProcedure="false">"c3161"</definedName>
    <definedName function="false" hidden="true" name="IQ_PENSION_ASSETS_EMPLOYER_CONTRIBUTIONS_DOM" vbProcedure="false">"c3159"</definedName>
    <definedName function="false" hidden="true" name="IQ_PENSION_ASSETS_EMPLOYER_CONTRIBUTIONS_FOREIGN" vbProcedure="false">"c3160"</definedName>
    <definedName function="false" hidden="true" name="IQ_PENSION_ASSETS_FOREIGN" vbProcedure="false">"c3181"</definedName>
    <definedName function="false" hidden="true" name="IQ_PENSION_ASSETS_FX_ADJ" vbProcedure="false">"c3170"</definedName>
    <definedName function="false" hidden="true" name="IQ_PENSION_ASSETS_FX_ADJ_DOM" vbProcedure="false">"c3168"</definedName>
    <definedName function="false" hidden="true" name="IQ_PENSION_ASSETS_FX_ADJ_FOREIGN" vbProcedure="false">"c3169"</definedName>
    <definedName function="false" hidden="true" name="IQ_PENSION_ASSETS_OTHER_PLAN_ADJ" vbProcedure="false">"c3179"</definedName>
    <definedName function="false" hidden="true" name="IQ_PENSION_ASSETS_OTHER_PLAN_ADJ_DOM" vbProcedure="false">"c3177"</definedName>
    <definedName function="false" hidden="true" name="IQ_PENSION_ASSETS_OTHER_PLAN_ADJ_FOREIGN" vbProcedure="false">"c3178"</definedName>
    <definedName function="false" hidden="true" name="IQ_PENSION_ASSETS_PARTICIP_CONTRIBUTIONS" vbProcedure="false">"c3164"</definedName>
    <definedName function="false" hidden="true" name="IQ_PENSION_ASSETS_PARTICIP_CONTRIBUTIONS_DOM" vbProcedure="false">"c3162"</definedName>
    <definedName function="false" hidden="true" name="IQ_PENSION_ASSETS_PARTICIP_CONTRIBUTIONS_FOREIGN" vbProcedure="false">"c3163"</definedName>
    <definedName function="false" hidden="true" name="IQ_PENSION_BENEFIT_INFO_DATE" vbProcedure="false">"c3230"</definedName>
    <definedName function="false" hidden="true" name="IQ_PENSION_BENEFIT_INFO_DATE_DOM" vbProcedure="false">"c3228"</definedName>
    <definedName function="false" hidden="true" name="IQ_PENSION_BENEFIT_INFO_DATE_FOREIGN" vbProcedure="false">"c3229"</definedName>
    <definedName function="false" hidden="true" name="IQ_PENSION_BREAKDOWN_EQ" vbProcedure="false">"c3101"</definedName>
    <definedName function="false" hidden="true" name="IQ_PENSION_BREAKDOWN_EQ_DOM" vbProcedure="false">"c3099"</definedName>
    <definedName function="false" hidden="true" name="IQ_PENSION_BREAKDOWN_EQ_FOREIGN" vbProcedure="false">"c3100"</definedName>
    <definedName function="false" hidden="true" name="IQ_PENSION_BREAKDOWN_FI" vbProcedure="false">"c3104"</definedName>
    <definedName function="false" hidden="true" name="IQ_PENSION_BREAKDOWN_FI_DOM" vbProcedure="false">"c3102"</definedName>
    <definedName function="false" hidden="true" name="IQ_PENSION_BREAKDOWN_FI_FOREIGN" vbProcedure="false">"c3103"</definedName>
    <definedName function="false" hidden="true" name="IQ_PENSION_BREAKDOWN_OTHER" vbProcedure="false">"c3110"</definedName>
    <definedName function="false" hidden="true" name="IQ_PENSION_BREAKDOWN_OTHER_DOM" vbProcedure="false">"c3108"</definedName>
    <definedName function="false" hidden="true" name="IQ_PENSION_BREAKDOWN_OTHER_FOREIGN" vbProcedure="false">"c3109"</definedName>
    <definedName function="false" hidden="true" name="IQ_PENSION_BREAKDOWN_PCT_EQ" vbProcedure="false">"c3089"</definedName>
    <definedName function="false" hidden="true" name="IQ_PENSION_BREAKDOWN_PCT_EQ_DOM" vbProcedure="false">"c3087"</definedName>
    <definedName function="false" hidden="true" name="IQ_PENSION_BREAKDOWN_PCT_EQ_FOREIGN" vbProcedure="false">"c3088"</definedName>
    <definedName function="false" hidden="true" name="IQ_PENSION_BREAKDOWN_PCT_FI" vbProcedure="false">"c3092"</definedName>
    <definedName function="false" hidden="true" name="IQ_PENSION_BREAKDOWN_PCT_FI_DOM" vbProcedure="false">"c3090"</definedName>
    <definedName function="false" hidden="true" name="IQ_PENSION_BREAKDOWN_PCT_FI_FOREIGN" vbProcedure="false">"c3091"</definedName>
    <definedName function="false" hidden="true" name="IQ_PENSION_BREAKDOWN_PCT_OTHER" vbProcedure="false">"c3098"</definedName>
    <definedName function="false" hidden="true" name="IQ_PENSION_BREAKDOWN_PCT_OTHER_DOM" vbProcedure="false">"c3096"</definedName>
    <definedName function="false" hidden="true" name="IQ_PENSION_BREAKDOWN_PCT_OTHER_FOREIGN" vbProcedure="false">"c3097"</definedName>
    <definedName function="false" hidden="true" name="IQ_PENSION_BREAKDOWN_PCT_RE" vbProcedure="false">"c3095"</definedName>
    <definedName function="false" hidden="true" name="IQ_PENSION_BREAKDOWN_PCT_RE_DOM" vbProcedure="false">"c3093"</definedName>
    <definedName function="false" hidden="true" name="IQ_PENSION_BREAKDOWN_PCT_RE_FOREIGN" vbProcedure="false">"c3094"</definedName>
    <definedName function="false" hidden="true" name="IQ_PENSION_BREAKDOWN_RE" vbProcedure="false">"c3107"</definedName>
    <definedName function="false" hidden="true" name="IQ_PENSION_BREAKDOWN_RE_DOM" vbProcedure="false">"c3105"</definedName>
    <definedName function="false" hidden="true" name="IQ_PENSION_BREAKDOWN_RE_FOREIGN" vbProcedure="false">"c3106"</definedName>
    <definedName function="false" hidden="true" name="IQ_PENSION_CI_ACT" vbProcedure="false">"c5723"</definedName>
    <definedName function="false" hidden="true" name="IQ_PENSION_CI_ACT_DOM" vbProcedure="false">"c5721"</definedName>
    <definedName function="false" hidden="true" name="IQ_PENSION_CI_ACT_FOREIGN" vbProcedure="false">"c5722"</definedName>
    <definedName function="false" hidden="true" name="IQ_PENSION_CI_NET_AMT_RECOG" vbProcedure="false">"c5735"</definedName>
    <definedName function="false" hidden="true" name="IQ_PENSION_CI_NET_AMT_RECOG_DOM" vbProcedure="false">"c5733"</definedName>
    <definedName function="false" hidden="true" name="IQ_PENSION_CI_NET_AMT_RECOG_FOREIGN" vbProcedure="false">"c5734"</definedName>
    <definedName function="false" hidden="true" name="IQ_PENSION_CI_OTHER_MISC_ADJ" vbProcedure="false">"c5732"</definedName>
    <definedName function="false" hidden="true" name="IQ_PENSION_CI_OTHER_MISC_ADJ_DOM" vbProcedure="false">"c5730"</definedName>
    <definedName function="false" hidden="true" name="IQ_PENSION_CI_OTHER_MISC_ADJ_FOREIGN" vbProcedure="false">"c5731"</definedName>
    <definedName function="false" hidden="true" name="IQ_PENSION_CI_PRIOR_SERVICE" vbProcedure="false">"c5726"</definedName>
    <definedName function="false" hidden="true" name="IQ_PENSION_CI_PRIOR_SERVICE_DOM" vbProcedure="false">"c5724"</definedName>
    <definedName function="false" hidden="true" name="IQ_PENSION_CI_PRIOR_SERVICE_FOREIGN" vbProcedure="false">"c5725"</definedName>
    <definedName function="false" hidden="true" name="IQ_PENSION_CI_TRANSITION" vbProcedure="false">"c5729"</definedName>
    <definedName function="false" hidden="true" name="IQ_PENSION_CI_TRANSITION_DOM" vbProcedure="false">"c5727"</definedName>
    <definedName function="false" hidden="true" name="IQ_PENSION_CI_TRANSITION_FOREIGN" vbProcedure="false">"c5728"</definedName>
    <definedName function="false" hidden="true" name="IQ_PENSION_CL" vbProcedure="false">"c5753"</definedName>
    <definedName function="false" hidden="true" name="IQ_PENSION_CL_DOM" vbProcedure="false">"c5751"</definedName>
    <definedName function="false" hidden="true" name="IQ_PENSION_CL_FOREIGN" vbProcedure="false">"c5752"</definedName>
    <definedName function="false" hidden="true" name="IQ_PENSION_CONTRIBUTION_TOTAL_COST" vbProcedure="false">"c3559"</definedName>
    <definedName function="false" hidden="true" name="IQ_PENSION_DISCOUNT_RATE_DOMESTIC" vbProcedure="false">"c3573"</definedName>
    <definedName function="false" hidden="true" name="IQ_PENSION_DISCOUNT_RATE_FOREIGN" vbProcedure="false">"c3574"</definedName>
    <definedName function="false" hidden="true" name="IQ_PENSION_DISC_RATE_MAX" vbProcedure="false">"c3236"</definedName>
    <definedName function="false" hidden="true" name="IQ_PENSION_DISC_RATE_MAX_DOM" vbProcedure="false">"c3234"</definedName>
    <definedName function="false" hidden="true" name="IQ_PENSION_DISC_RATE_MAX_FOREIGN" vbProcedure="false">"c3235"</definedName>
    <definedName function="false" hidden="true" name="IQ_PENSION_DISC_RATE_MIN" vbProcedure="false">"c3233"</definedName>
    <definedName function="false" hidden="true" name="IQ_PENSION_DISC_RATE_MIN_DOM" vbProcedure="false">"c3231"</definedName>
    <definedName function="false" hidden="true" name="IQ_PENSION_DISC_RATE_MIN_FOREIGN" vbProcedure="false">"c3232"</definedName>
    <definedName function="false" hidden="true" name="IQ_PENSION_EST_BENEFIT_1YR" vbProcedure="false">"c3113"</definedName>
    <definedName function="false" hidden="true" name="IQ_PENSION_EST_BENEFIT_1YR_DOM" vbProcedure="false">"c3111"</definedName>
    <definedName function="false" hidden="true" name="IQ_PENSION_EST_BENEFIT_1YR_FOREIGN" vbProcedure="false">"c3112"</definedName>
    <definedName function="false" hidden="true" name="IQ_PENSION_EST_BENEFIT_2YR" vbProcedure="false">"c3116"</definedName>
    <definedName function="false" hidden="true" name="IQ_PENSION_EST_BENEFIT_2YR_DOM" vbProcedure="false">"c3114"</definedName>
    <definedName function="false" hidden="true" name="IQ_PENSION_EST_BENEFIT_2YR_FOREIGN" vbProcedure="false">"c3115"</definedName>
    <definedName function="false" hidden="true" name="IQ_PENSION_EST_BENEFIT_3YR" vbProcedure="false">"c3119"</definedName>
    <definedName function="false" hidden="true" name="IQ_PENSION_EST_BENEFIT_3YR_DOM" vbProcedure="false">"c3117"</definedName>
    <definedName function="false" hidden="true" name="IQ_PENSION_EST_BENEFIT_3YR_FOREIGN" vbProcedure="false">"c3118"</definedName>
    <definedName function="false" hidden="true" name="IQ_PENSION_EST_BENEFIT_4YR" vbProcedure="false">"c3122"</definedName>
    <definedName function="false" hidden="true" name="IQ_PENSION_EST_BENEFIT_4YR_DOM" vbProcedure="false">"c3120"</definedName>
    <definedName function="false" hidden="true" name="IQ_PENSION_EST_BENEFIT_4YR_FOREIGN" vbProcedure="false">"c3121"</definedName>
    <definedName function="false" hidden="true" name="IQ_PENSION_EST_BENEFIT_5YR" vbProcedure="false">"c3125"</definedName>
    <definedName function="false" hidden="true" name="IQ_PENSION_EST_BENEFIT_5YR_DOM" vbProcedure="false">"c3123"</definedName>
    <definedName function="false" hidden="true" name="IQ_PENSION_EST_BENEFIT_5YR_FOREIGN" vbProcedure="false">"c3124"</definedName>
    <definedName function="false" hidden="true" name="IQ_PENSION_EST_BENEFIT_AFTER5" vbProcedure="false">"c3128"</definedName>
    <definedName function="false" hidden="true" name="IQ_PENSION_EST_BENEFIT_AFTER5_DOM" vbProcedure="false">"c3126"</definedName>
    <definedName function="false" hidden="true" name="IQ_PENSION_EST_BENEFIT_AFTER5_FOREIGN" vbProcedure="false">"c3127"</definedName>
    <definedName function="false" hidden="true" name="IQ_PENSION_EST_CONTRIBUTIONS_NEXTYR" vbProcedure="false">"c3218"</definedName>
    <definedName function="false" hidden="true" name="IQ_PENSION_EST_CONTRIBUTIONS_NEXTYR_DOM" vbProcedure="false">"c3216"</definedName>
    <definedName function="false" hidden="true" name="IQ_PENSION_EST_CONTRIBUTIONS_NEXTYR_FOREIGN" vbProcedure="false">"c3217"</definedName>
    <definedName function="false" hidden="true" name="IQ_PENSION_EXP_RATE_RETURN_MAX" vbProcedure="false">"c3248"</definedName>
    <definedName function="false" hidden="true" name="IQ_PENSION_EXP_RATE_RETURN_MAX_DOM" vbProcedure="false">"c3246"</definedName>
    <definedName function="false" hidden="true" name="IQ_PENSION_EXP_RATE_RETURN_MAX_FOREIGN" vbProcedure="false">"c3247"</definedName>
    <definedName function="false" hidden="true" name="IQ_PENSION_EXP_RATE_RETURN_MIN" vbProcedure="false">"c3245"</definedName>
    <definedName function="false" hidden="true" name="IQ_PENSION_EXP_RATE_RETURN_MIN_DOM" vbProcedure="false">"c3243"</definedName>
    <definedName function="false" hidden="true" name="IQ_PENSION_EXP_RATE_RETURN_MIN_FOREIGN" vbProcedure="false">"c3244"</definedName>
    <definedName function="false" hidden="true" name="IQ_PENSION_EXP_RETURN_DOMESTIC" vbProcedure="false">"c3571"</definedName>
    <definedName function="false" hidden="true" name="IQ_PENSION_EXP_RETURN_FOREIGN" vbProcedure="false">"c3572"</definedName>
    <definedName function="false" hidden="true" name="IQ_PENSION_INTAN_ASSETS" vbProcedure="false">"c3137"</definedName>
    <definedName function="false" hidden="true" name="IQ_PENSION_INTAN_ASSETS_DOM" vbProcedure="false">"c3135"</definedName>
    <definedName function="false" hidden="true" name="IQ_PENSION_INTAN_ASSETS_FOREIGN" vbProcedure="false">"c3136"</definedName>
    <definedName function="false" hidden="true" name="IQ_PENSION_INTEREST_COST" vbProcedure="false">"c3582"</definedName>
    <definedName function="false" hidden="true" name="IQ_PENSION_INTEREST_COST_DOM" vbProcedure="false">"c3580"</definedName>
    <definedName function="false" hidden="true" name="IQ_PENSION_INTEREST_COST_FOREIGN" vbProcedure="false">"c3581"</definedName>
    <definedName function="false" hidden="true" name="IQ_PENSION_LT_ASSETS" vbProcedure="false">"c5750"</definedName>
    <definedName function="false" hidden="true" name="IQ_PENSION_LT_ASSETS_DOM" vbProcedure="false">"c5748"</definedName>
    <definedName function="false" hidden="true" name="IQ_PENSION_LT_ASSETS_FOREIGN" vbProcedure="false">"c5749"</definedName>
    <definedName function="false" hidden="true" name="IQ_PENSION_LT_LIAB" vbProcedure="false">"c5756"</definedName>
    <definedName function="false" hidden="true" name="IQ_PENSION_LT_LIAB_DOM" vbProcedure="false">"c5754"</definedName>
    <definedName function="false" hidden="true" name="IQ_PENSION_LT_LIAB_FOREIGN" vbProcedure="false">"c5755"</definedName>
    <definedName function="false" hidden="true" name="IQ_PENSION_NET_ASSET_RECOG" vbProcedure="false">"c3152"</definedName>
    <definedName function="false" hidden="true" name="IQ_PENSION_NET_ASSET_RECOG_DOM" vbProcedure="false">"c3150"</definedName>
    <definedName function="false" hidden="true" name="IQ_PENSION_NET_ASSET_RECOG_FOREIGN" vbProcedure="false">"c3151"</definedName>
    <definedName function="false" hidden="true" name="IQ_PENSION_OBLIGATION_ACQ" vbProcedure="false">"c3206"</definedName>
    <definedName function="false" hidden="true" name="IQ_PENSION_OBLIGATION_ACQ_DOM" vbProcedure="false">"c3204"</definedName>
    <definedName function="false" hidden="true" name="IQ_PENSION_OBLIGATION_ACQ_FOREIGN" vbProcedure="false">"c3205"</definedName>
    <definedName function="false" hidden="true" name="IQ_PENSION_OBLIGATION_ACTUARIAL_GAIN_LOSS" vbProcedure="false">"c3197"</definedName>
    <definedName function="false" hidden="true" name="IQ_PENSION_OBLIGATION_ACTUARIAL_GAIN_LOSS_DOM" vbProcedure="false">"c3195"</definedName>
    <definedName function="false" hidden="true" name="IQ_PENSION_OBLIGATION_ACTUARIAL_GAIN_LOSS_FOREIGN" vbProcedure="false">"c3196"</definedName>
    <definedName function="false" hidden="true" name="IQ_PENSION_OBLIGATION_BEG" vbProcedure="false">"c3185"</definedName>
    <definedName function="false" hidden="true" name="IQ_PENSION_OBLIGATION_BEG_DOM" vbProcedure="false">"c3183"</definedName>
    <definedName function="false" hidden="true" name="IQ_PENSION_OBLIGATION_BEG_FOREIGN" vbProcedure="false">"c3184"</definedName>
    <definedName function="false" hidden="true" name="IQ_PENSION_OBLIGATION_CURTAIL" vbProcedure="false">"c3209"</definedName>
    <definedName function="false" hidden="true" name="IQ_PENSION_OBLIGATION_CURTAIL_DOM" vbProcedure="false">"c3207"</definedName>
    <definedName function="false" hidden="true" name="IQ_PENSION_OBLIGATION_CURTAIL_FOREIGN" vbProcedure="false">"c3208"</definedName>
    <definedName function="false" hidden="true" name="IQ_PENSION_OBLIGATION_EMPLOYEE_CONTRIBUTIONS" vbProcedure="false">"c3194"</definedName>
    <definedName function="false" hidden="true" name="IQ_PENSION_OBLIGATION_EMPLOYEE_CONTRIBUTIONS_DOM" vbProcedure="false">"c3192"</definedName>
    <definedName function="false" hidden="true" name="IQ_PENSION_OBLIGATION_EMPLOYEE_CONTRIBUTIONS_FOREIGN" vbProcedure="false">"c3193"</definedName>
    <definedName function="false" hidden="true" name="IQ_PENSION_OBLIGATION_FX_ADJ" vbProcedure="false">"c3203"</definedName>
    <definedName function="false" hidden="true" name="IQ_PENSION_OBLIGATION_FX_ADJ_DOM" vbProcedure="false">"c3201"</definedName>
    <definedName function="false" hidden="true" name="IQ_PENSION_OBLIGATION_FX_ADJ_FOREIGN" vbProcedure="false">"c3202"</definedName>
    <definedName function="false" hidden="true" name="IQ_PENSION_OBLIGATION_INTEREST_COST" vbProcedure="false">"c3191"</definedName>
    <definedName function="false" hidden="true" name="IQ_PENSION_OBLIGATION_INTEREST_COST_DOM" vbProcedure="false">"c3189"</definedName>
    <definedName function="false" hidden="true" name="IQ_PENSION_OBLIGATION_INTEREST_COST_FOREIGN" vbProcedure="false">"c3190"</definedName>
    <definedName function="false" hidden="true" name="IQ_PENSION_OBLIGATION_OTHER_COST" vbProcedure="false">"c3555"</definedName>
    <definedName function="false" hidden="true" name="IQ_PENSION_OBLIGATION_OTHER_COST_DOM" vbProcedure="false">"c3553"</definedName>
    <definedName function="false" hidden="true" name="IQ_PENSION_OBLIGATION_OTHER_COST_FOREIGN" vbProcedure="false">"c3554"</definedName>
    <definedName function="false" hidden="true" name="IQ_PENSION_OBLIGATION_OTHER_PLAN_ADJ" vbProcedure="false">"c3212"</definedName>
    <definedName function="false" hidden="true" name="IQ_PENSION_OBLIGATION_OTHER_PLAN_ADJ_DOM" vbProcedure="false">"c3210"</definedName>
    <definedName function="false" hidden="true" name="IQ_PENSION_OBLIGATION_OTHER_PLAN_ADJ_FOREIGN" vbProcedure="false">"c3211"</definedName>
    <definedName function="false" hidden="true" name="IQ_PENSION_OBLIGATION_PAID" vbProcedure="false">"c3200"</definedName>
    <definedName function="false" hidden="true" name="IQ_PENSION_OBLIGATION_PAID_DOM" vbProcedure="false">"c3198"</definedName>
    <definedName function="false" hidden="true" name="IQ_PENSION_OBLIGATION_PAID_FOREIGN" vbProcedure="false">"c3199"</definedName>
    <definedName function="false" hidden="true" name="IQ_PENSION_OBLIGATION_PROJECTED" vbProcedure="false">"c3215"</definedName>
    <definedName function="false" hidden="true" name="IQ_PENSION_OBLIGATION_PROJECTED_DOM" vbProcedure="false">"c3213"</definedName>
    <definedName function="false" hidden="true" name="IQ_PENSION_OBLIGATION_PROJECTED_FOREIGN" vbProcedure="false">"c3214"</definedName>
    <definedName function="false" hidden="true" name="IQ_PENSION_OBLIGATION_ROA" vbProcedure="false">"c3552"</definedName>
    <definedName function="false" hidden="true" name="IQ_PENSION_OBLIGATION_ROA_DOM" vbProcedure="false">"c3550"</definedName>
    <definedName function="false" hidden="true" name="IQ_PENSION_OBLIGATION_ROA_FOREIGN" vbProcedure="false">"c3551"</definedName>
    <definedName function="false" hidden="true" name="IQ_PENSION_OBLIGATION_SERVICE_COST" vbProcedure="false">"c3188"</definedName>
    <definedName function="false" hidden="true" name="IQ_PENSION_OBLIGATION_SERVICE_COST_DOM" vbProcedure="false">"c3186"</definedName>
    <definedName function="false" hidden="true" name="IQ_PENSION_OBLIGATION_SERVICE_COST_FOREIGN" vbProcedure="false">"c3187"</definedName>
    <definedName function="false" hidden="true" name="IQ_PENSION_OBLIGATION_TOTAL_COST" vbProcedure="false">"c3558"</definedName>
    <definedName function="false" hidden="true" name="IQ_PENSION_OBLIGATION_TOTAL_COST_DOM" vbProcedure="false">"c3556"</definedName>
    <definedName function="false" hidden="true" name="IQ_PENSION_OBLIGATION_TOTAL_COST_FOREIGN" vbProcedure="false">"c3557"</definedName>
    <definedName function="false" hidden="true" name="IQ_PENSION_OTHER" vbProcedure="false">"c3143"</definedName>
    <definedName function="false" hidden="true" name="IQ_PENSION_OTHER_ADJ" vbProcedure="false">"c3149"</definedName>
    <definedName function="false" hidden="true" name="IQ_PENSION_OTHER_ADJ_DOM" vbProcedure="false">"c3147"</definedName>
    <definedName function="false" hidden="true" name="IQ_PENSION_OTHER_ADJ_FOREIGN" vbProcedure="false">"c3148"</definedName>
    <definedName function="false" hidden="true" name="IQ_PENSION_OTHER_DOM" vbProcedure="false">"c3141"</definedName>
    <definedName function="false" hidden="true" name="IQ_PENSION_OTHER_FOREIGN" vbProcedure="false">"c3142"</definedName>
    <definedName function="false" hidden="true" name="IQ_PENSION_PBO_ASSUMED_RATE_RET_MAX" vbProcedure="false">"c3254"</definedName>
    <definedName function="false" hidden="true" name="IQ_PENSION_PBO_ASSUMED_RATE_RET_MAX_DOM" vbProcedure="false">"c3252"</definedName>
    <definedName function="false" hidden="true" name="IQ_PENSION_PBO_ASSUMED_RATE_RET_MAX_FOREIGN" vbProcedure="false">"c3253"</definedName>
    <definedName function="false" hidden="true" name="IQ_PENSION_PBO_ASSUMED_RATE_RET_MIN" vbProcedure="false">"c3251"</definedName>
    <definedName function="false" hidden="true" name="IQ_PENSION_PBO_ASSUMED_RATE_RET_MIN_DOM" vbProcedure="false">"c3249"</definedName>
    <definedName function="false" hidden="true" name="IQ_PENSION_PBO_ASSUMED_RATE_RET_MIN_FOREIGN" vbProcedure="false">"c3250"</definedName>
    <definedName function="false" hidden="true" name="IQ_PENSION_PBO_RATE_COMP_INCREASE_MAX" vbProcedure="false">"c3260"</definedName>
    <definedName function="false" hidden="true" name="IQ_PENSION_PBO_RATE_COMP_INCREASE_MAX_DOM" vbProcedure="false">"c3258"</definedName>
    <definedName function="false" hidden="true" name="IQ_PENSION_PBO_RATE_COMP_INCREASE_MAX_FOREIGN" vbProcedure="false">"c3259"</definedName>
    <definedName function="false" hidden="true" name="IQ_PENSION_PBO_RATE_COMP_INCREASE_MIN" vbProcedure="false">"c3257"</definedName>
    <definedName function="false" hidden="true" name="IQ_PENSION_PBO_RATE_COMP_INCREASE_MIN_DOM" vbProcedure="false">"c3255"</definedName>
    <definedName function="false" hidden="true" name="IQ_PENSION_PBO_RATE_COMP_INCREASE_MIN_FOREIGN" vbProcedure="false">"c3256"</definedName>
    <definedName function="false" hidden="true" name="IQ_PENSION_PREPAID_COST" vbProcedure="false">"c3131"</definedName>
    <definedName function="false" hidden="true" name="IQ_PENSION_PREPAID_COST_DOM" vbProcedure="false">"c3129"</definedName>
    <definedName function="false" hidden="true" name="IQ_PENSION_PREPAID_COST_FOREIGN" vbProcedure="false">"c3130"</definedName>
    <definedName function="false" hidden="true" name="IQ_PENSION_PRIOR_SERVICE_NEXT" vbProcedure="false">"c5741"</definedName>
    <definedName function="false" hidden="true" name="IQ_PENSION_PRIOR_SERVICE_NEXT_DOM" vbProcedure="false">"c5739"</definedName>
    <definedName function="false" hidden="true" name="IQ_PENSION_PRIOR_SERVICE_NEXT_FOREIGN" vbProcedure="false">"c5740"</definedName>
    <definedName function="false" hidden="true" name="IQ_PENSION_PROJECTED_OBLIGATION" vbProcedure="false">"c3566"</definedName>
    <definedName function="false" hidden="true" name="IQ_PENSION_PROJECTED_OBLIGATION_DOMESTIC" vbProcedure="false">"c3564"</definedName>
    <definedName function="false" hidden="true" name="IQ_PENSION_PROJECTED_OBLIGATION_FOREIGN" vbProcedure="false">"c3565"</definedName>
    <definedName function="false" hidden="true" name="IQ_PENSION_QUART_ADDL_CONTRIBUTIONS_EXP" vbProcedure="false">"c3224"</definedName>
    <definedName function="false" hidden="true" name="IQ_PENSION_QUART_ADDL_CONTRIBUTIONS_EXP_DOM" vbProcedure="false">"c3222"</definedName>
    <definedName function="false" hidden="true" name="IQ_PENSION_QUART_ADDL_CONTRIBUTIONS_EXP_FOREIGN" vbProcedure="false">"c3223"</definedName>
    <definedName function="false" hidden="true" name="IQ_PENSION_QUART_EMPLOYER_CONTRIBUTIONS" vbProcedure="false">"c3221"</definedName>
    <definedName function="false" hidden="true" name="IQ_PENSION_QUART_EMPLOYER_CONTRIBUTIONS_DOM" vbProcedure="false">"c3219"</definedName>
    <definedName function="false" hidden="true" name="IQ_PENSION_QUART_EMPLOYER_CONTRIBUTIONS_FOREIGN" vbProcedure="false">"c3220"</definedName>
    <definedName function="false" hidden="true" name="IQ_PENSION_RATE_COMP_GROWTH_DOMESTIC" vbProcedure="false">"c3575"</definedName>
    <definedName function="false" hidden="true" name="IQ_PENSION_RATE_COMP_GROWTH_FOREIGN" vbProcedure="false">"c3576"</definedName>
    <definedName function="false" hidden="true" name="IQ_PENSION_RATE_COMP_INCREASE_MAX" vbProcedure="false">"c3242"</definedName>
    <definedName function="false" hidden="true" name="IQ_PENSION_RATE_COMP_INCREASE_MAX_DOM" vbProcedure="false">"c3240"</definedName>
    <definedName function="false" hidden="true" name="IQ_PENSION_RATE_COMP_INCREASE_MAX_FOREIGN" vbProcedure="false">"c3241"</definedName>
    <definedName function="false" hidden="true" name="IQ_PENSION_RATE_COMP_INCREASE_MIN" vbProcedure="false">"c3239"</definedName>
    <definedName function="false" hidden="true" name="IQ_PENSION_RATE_COMP_INCREASE_MIN_DOM" vbProcedure="false">"c3237"</definedName>
    <definedName function="false" hidden="true" name="IQ_PENSION_RATE_COMP_INCREASE_MIN_FOREIGN" vbProcedure="false">"c3238"</definedName>
    <definedName function="false" hidden="true" name="IQ_PENSION_SERVICE_COST" vbProcedure="false">"c3579"</definedName>
    <definedName function="false" hidden="true" name="IQ_PENSION_SERVICE_COST_DOM" vbProcedure="false">"c3577"</definedName>
    <definedName function="false" hidden="true" name="IQ_PENSION_SERVICE_COST_FOREIGN" vbProcedure="false">"c3578"</definedName>
    <definedName function="false" hidden="true" name="IQ_PENSION_TOTAL_ASSETS" vbProcedure="false">"c3563"</definedName>
    <definedName function="false" hidden="true" name="IQ_PENSION_TOTAL_ASSETS_DOMESTIC" vbProcedure="false">"c3561"</definedName>
    <definedName function="false" hidden="true" name="IQ_PENSION_TOTAL_ASSETS_FOREIGN" vbProcedure="false">"c3562"</definedName>
    <definedName function="false" hidden="true" name="IQ_PENSION_TOTAL_EXP" vbProcedure="false">"c3560"</definedName>
    <definedName function="false" hidden="true" name="IQ_PENSION_TRANSITION_NEXT" vbProcedure="false">"c5744"</definedName>
    <definedName function="false" hidden="true" name="IQ_PENSION_TRANSITION_NEXT_DOM" vbProcedure="false">"c5742"</definedName>
    <definedName function="false" hidden="true" name="IQ_PENSION_TRANSITION_NEXT_FOREIGN" vbProcedure="false">"c5743"</definedName>
    <definedName function="false" hidden="true" name="IQ_PENSION_UNFUNDED_ADDL_MIN_LIAB" vbProcedure="false">"c3227"</definedName>
    <definedName function="false" hidden="true" name="IQ_PENSION_UNFUNDED_ADDL_MIN_LIAB_DOM" vbProcedure="false">"c3225"</definedName>
    <definedName function="false" hidden="true" name="IQ_PENSION_UNFUNDED_ADDL_MIN_LIAB_FOREIGN" vbProcedure="false">"c3226"</definedName>
    <definedName function="false" hidden="true" name="IQ_PENSION_UNRECOG_PRIOR" vbProcedure="false">"c3146"</definedName>
    <definedName function="false" hidden="true" name="IQ_PENSION_UNRECOG_PRIOR_DOM" vbProcedure="false">"c3144"</definedName>
    <definedName function="false" hidden="true" name="IQ_PENSION_UNRECOG_PRIOR_FOREIGN" vbProcedure="false">"c3145"</definedName>
    <definedName function="false" hidden="true" name="IQ_PENSION_UV_LIAB" vbProcedure="false">"c3567"</definedName>
    <definedName function="false" hidden="true" name="IQ_PERCENTAGE_RENT" vbProcedure="false">"c16018"</definedName>
    <definedName function="false" hidden="true" name="IQ_PERCENTAGE_RENT_RENTAL_REVENUE" vbProcedure="false">"c16063"</definedName>
    <definedName function="false" hidden="true" name="IQ_PERCENT_CHANGE_EST_5YR_GROWTH_RATE_12MONTHS" vbProcedure="false">"c1852"</definedName>
    <definedName function="false" hidden="true" name="IQ_PERCENT_CHANGE_EST_5YR_GROWTH_RATE_12MONTHS_CIQ" vbProcedure="false">"c3790"</definedName>
    <definedName function="false" hidden="true" name="IQ_PERCENT_CHANGE_EST_5YR_GROWTH_RATE_12MONTHS_REUT" vbProcedure="false">"c3959"</definedName>
    <definedName function="false" hidden="true" name="IQ_PERCENT_CHANGE_EST_5YR_GROWTH_RATE_12MONTHS_THOM" vbProcedure="false">"c5269"</definedName>
    <definedName function="false" hidden="true" name="IQ_PERCENT_CHANGE_EST_5YR_GROWTH_RATE_18MONTHS" vbProcedure="false">"c1853"</definedName>
    <definedName function="false" hidden="true" name="IQ_PERCENT_CHANGE_EST_5YR_GROWTH_RATE_18MONTHS_CIQ" vbProcedure="false">"c3791"</definedName>
    <definedName function="false" hidden="true" name="IQ_PERCENT_CHANGE_EST_5YR_GROWTH_RATE_18MONTHS_REUT" vbProcedure="false">"c3960"</definedName>
    <definedName function="false" hidden="true" name="IQ_PERCENT_CHANGE_EST_5YR_GROWTH_RATE_18MONTHS_THOM" vbProcedure="false">"c5270"</definedName>
    <definedName function="false" hidden="true" name="IQ_PERCENT_CHANGE_EST_5YR_GROWTH_RATE_3MONTHS" vbProcedure="false">"c1849"</definedName>
    <definedName function="false" hidden="true" name="IQ_PERCENT_CHANGE_EST_5YR_GROWTH_RATE_3MONTHS_CIQ" vbProcedure="false">"c3787"</definedName>
    <definedName function="false" hidden="true" name="IQ_PERCENT_CHANGE_EST_5YR_GROWTH_RATE_3MONTHS_REUT" vbProcedure="false">"c3956"</definedName>
    <definedName function="false" hidden="true" name="IQ_PERCENT_CHANGE_EST_5YR_GROWTH_RATE_3MONTHS_THOM" vbProcedure="false">"c5266"</definedName>
    <definedName function="false" hidden="true" name="IQ_PERCENT_CHANGE_EST_5YR_GROWTH_RATE_6MONTHS" vbProcedure="false">"c1850"</definedName>
    <definedName function="false" hidden="true" name="IQ_PERCENT_CHANGE_EST_5YR_GROWTH_RATE_6MONTHS_CIQ" vbProcedure="false">"c3788"</definedName>
    <definedName function="false" hidden="true" name="IQ_PERCENT_CHANGE_EST_5YR_GROWTH_RATE_6MONTHS_REUT" vbProcedure="false">"c3957"</definedName>
    <definedName function="false" hidden="true" name="IQ_PERCENT_CHANGE_EST_5YR_GROWTH_RATE_6MONTHS_THOM" vbProcedure="false">"c5267"</definedName>
    <definedName function="false" hidden="true" name="IQ_PERCENT_CHANGE_EST_5YR_GROWTH_RATE_9MONTHS" vbProcedure="false">"c1851"</definedName>
    <definedName function="false" hidden="true" name="IQ_PERCENT_CHANGE_EST_5YR_GROWTH_RATE_9MONTHS_CIQ" vbProcedure="false">"c3789"</definedName>
    <definedName function="false" hidden="true" name="IQ_PERCENT_CHANGE_EST_5YR_GROWTH_RATE_9MONTHS_REUT" vbProcedure="false">"c3958"</definedName>
    <definedName function="false" hidden="true" name="IQ_PERCENT_CHANGE_EST_5YR_GROWTH_RATE_9MONTHS_THOM" vbProcedure="false">"c5268"</definedName>
    <definedName function="false" hidden="true" name="IQ_PERCENT_CHANGE_EST_5YR_GROWTH_RATE_DAY" vbProcedure="false">"c1846"</definedName>
    <definedName function="false" hidden="true" name="IQ_PERCENT_CHANGE_EST_5YR_GROWTH_RATE_DAY_CIQ" vbProcedure="false">"c3785"</definedName>
    <definedName function="false" hidden="true" name="IQ_PERCENT_CHANGE_EST_5YR_GROWTH_RATE_DAY_REUT" vbProcedure="false">"c3954"</definedName>
    <definedName function="false" hidden="true" name="IQ_PERCENT_CHANGE_EST_5YR_GROWTH_RATE_DAY_THOM" vbProcedure="false">"c5264"</definedName>
    <definedName function="false" hidden="true" name="IQ_PERCENT_CHANGE_EST_5YR_GROWTH_RATE_MONTH" vbProcedure="false">"c1848"</definedName>
    <definedName function="false" hidden="true" name="IQ_PERCENT_CHANGE_EST_5YR_GROWTH_RATE_MONTH_CIQ" vbProcedure="false">"c3786"</definedName>
    <definedName function="false" hidden="true" name="IQ_PERCENT_CHANGE_EST_5YR_GROWTH_RATE_MONTH_REUT" vbProcedure="false">"c3955"</definedName>
    <definedName function="false" hidden="true" name="IQ_PERCENT_CHANGE_EST_5YR_GROWTH_RATE_MONTH_THOM" vbProcedure="false">"c5265"</definedName>
    <definedName function="false" hidden="true" name="IQ_PERCENT_CHANGE_EST_5YR_GROWTH_RATE_WEEK" vbProcedure="false">"c1847"</definedName>
    <definedName function="false" hidden="true" name="IQ_PERCENT_CHANGE_EST_5YR_GROWTH_RATE_WEEK_CIQ" vbProcedure="false">"c3797"</definedName>
    <definedName function="false" hidden="true" name="IQ_PERCENT_CHANGE_EST_5YR_GROWTH_RATE_WEEK_REUT" vbProcedure="false">"c5435"</definedName>
    <definedName function="false" hidden="true" name="IQ_PERCENT_CHANGE_EST_5YR_GROWTH_RATE_WEEK_THOM" vbProcedure="false">"c5277"</definedName>
    <definedName function="false" hidden="true" name="IQ_PERCENT_CHANGE_EST_CFPS_12MONTHS" vbProcedure="false">"c1812"</definedName>
    <definedName function="false" hidden="true" name="IQ_PERCENT_CHANGE_EST_CFPS_12MONTHS_CIQ" vbProcedure="false">"c3755"</definedName>
    <definedName function="false" hidden="true" name="IQ_PERCENT_CHANGE_EST_CFPS_12MONTHS_REUT" vbProcedure="false">"c3924"</definedName>
    <definedName function="false" hidden="true" name="IQ_PERCENT_CHANGE_EST_CFPS_12MONTHS_THOM" vbProcedure="false">"c5234"</definedName>
    <definedName function="false" hidden="true" name="IQ_PERCENT_CHANGE_EST_CFPS_18MONTHS" vbProcedure="false">"c1813"</definedName>
    <definedName function="false" hidden="true" name="IQ_PERCENT_CHANGE_EST_CFPS_18MONTHS_CIQ" vbProcedure="false">"c3756"</definedName>
    <definedName function="false" hidden="true" name="IQ_PERCENT_CHANGE_EST_CFPS_18MONTHS_REUT" vbProcedure="false">"c3925"</definedName>
    <definedName function="false" hidden="true" name="IQ_PERCENT_CHANGE_EST_CFPS_18MONTHS_THOM" vbProcedure="false">"c5235"</definedName>
    <definedName function="false" hidden="true" name="IQ_PERCENT_CHANGE_EST_CFPS_3MONTHS" vbProcedure="false">"c1809"</definedName>
    <definedName function="false" hidden="true" name="IQ_PERCENT_CHANGE_EST_CFPS_3MONTHS_CIQ" vbProcedure="false">"c3752"</definedName>
    <definedName function="false" hidden="true" name="IQ_PERCENT_CHANGE_EST_CFPS_3MONTHS_REUT" vbProcedure="false">"c3921"</definedName>
    <definedName function="false" hidden="true" name="IQ_PERCENT_CHANGE_EST_CFPS_3MONTHS_THOM" vbProcedure="false">"c5231"</definedName>
    <definedName function="false" hidden="true" name="IQ_PERCENT_CHANGE_EST_CFPS_6MONTHS" vbProcedure="false">"c1810"</definedName>
    <definedName function="false" hidden="true" name="IQ_PERCENT_CHANGE_EST_CFPS_6MONTHS_CIQ" vbProcedure="false">"c3753"</definedName>
    <definedName function="false" hidden="true" name="IQ_PERCENT_CHANGE_EST_CFPS_6MONTHS_REUT" vbProcedure="false">"c3922"</definedName>
    <definedName function="false" hidden="true" name="IQ_PERCENT_CHANGE_EST_CFPS_6MONTHS_THOM" vbProcedure="false">"c5232"</definedName>
    <definedName function="false" hidden="true" name="IQ_PERCENT_CHANGE_EST_CFPS_9MONTHS" vbProcedure="false">"c1811"</definedName>
    <definedName function="false" hidden="true" name="IQ_PERCENT_CHANGE_EST_CFPS_9MONTHS_CIQ" vbProcedure="false">"c3754"</definedName>
    <definedName function="false" hidden="true" name="IQ_PERCENT_CHANGE_EST_CFPS_9MONTHS_REUT" vbProcedure="false">"c3923"</definedName>
    <definedName function="false" hidden="true" name="IQ_PERCENT_CHANGE_EST_CFPS_9MONTHS_THOM" vbProcedure="false">"c5233"</definedName>
    <definedName function="false" hidden="true" name="IQ_PERCENT_CHANGE_EST_CFPS_DAY" vbProcedure="false">"c1806"</definedName>
    <definedName function="false" hidden="true" name="IQ_PERCENT_CHANGE_EST_CFPS_DAY_CIQ" vbProcedure="false">"c3750"</definedName>
    <definedName function="false" hidden="true" name="IQ_PERCENT_CHANGE_EST_CFPS_DAY_REUT" vbProcedure="false">"c3919"</definedName>
    <definedName function="false" hidden="true" name="IQ_PERCENT_CHANGE_EST_CFPS_DAY_THOM" vbProcedure="false">"c5229"</definedName>
    <definedName function="false" hidden="true" name="IQ_PERCENT_CHANGE_EST_CFPS_MONTH" vbProcedure="false">"c1808"</definedName>
    <definedName function="false" hidden="true" name="IQ_PERCENT_CHANGE_EST_CFPS_MONTH_CIQ" vbProcedure="false">"c3751"</definedName>
    <definedName function="false" hidden="true" name="IQ_PERCENT_CHANGE_EST_CFPS_MONTH_REUT" vbProcedure="false">"c3920"</definedName>
    <definedName function="false" hidden="true" name="IQ_PERCENT_CHANGE_EST_CFPS_MONTH_THOM" vbProcedure="false">"c5230"</definedName>
    <definedName function="false" hidden="true" name="IQ_PERCENT_CHANGE_EST_CFPS_WEEK" vbProcedure="false">"c1807"</definedName>
    <definedName function="false" hidden="true" name="IQ_PERCENT_CHANGE_EST_CFPS_WEEK_CIQ" vbProcedure="false">"c3793"</definedName>
    <definedName function="false" hidden="true" name="IQ_PERCENT_CHANGE_EST_CFPS_WEEK_REUT" vbProcedure="false">"c3962"</definedName>
    <definedName function="false" hidden="true" name="IQ_PERCENT_CHANGE_EST_CFPS_WEEK_THOM" vbProcedure="false">"c5272"</definedName>
    <definedName function="false" hidden="true" name="IQ_PERCENT_CHANGE_EST_DPS_12MONTHS" vbProcedure="false">"c1820"</definedName>
    <definedName function="false" hidden="true" name="IQ_PERCENT_CHANGE_EST_DPS_12MONTHS_CIQ" vbProcedure="false">"c3762"</definedName>
    <definedName function="false" hidden="true" name="IQ_PERCENT_CHANGE_EST_DPS_12MONTHS_REUT" vbProcedure="false">"c3931"</definedName>
    <definedName function="false" hidden="true" name="IQ_PERCENT_CHANGE_EST_DPS_12MONTHS_THOM" vbProcedure="false">"c5241"</definedName>
    <definedName function="false" hidden="true" name="IQ_PERCENT_CHANGE_EST_DPS_18MONTHS" vbProcedure="false">"c1821"</definedName>
    <definedName function="false" hidden="true" name="IQ_PERCENT_CHANGE_EST_DPS_18MONTHS_CIQ" vbProcedure="false">"c3763"</definedName>
    <definedName function="false" hidden="true" name="IQ_PERCENT_CHANGE_EST_DPS_18MONTHS_REUT" vbProcedure="false">"c3932"</definedName>
    <definedName function="false" hidden="true" name="IQ_PERCENT_CHANGE_EST_DPS_18MONTHS_THOM" vbProcedure="false">"c5242"</definedName>
    <definedName function="false" hidden="true" name="IQ_PERCENT_CHANGE_EST_DPS_3MONTHS" vbProcedure="false">"c1817"</definedName>
    <definedName function="false" hidden="true" name="IQ_PERCENT_CHANGE_EST_DPS_3MONTHS_CIQ" vbProcedure="false">"c3759"</definedName>
    <definedName function="false" hidden="true" name="IQ_PERCENT_CHANGE_EST_DPS_3MONTHS_REUT" vbProcedure="false">"c3928"</definedName>
    <definedName function="false" hidden="true" name="IQ_PERCENT_CHANGE_EST_DPS_3MONTHS_THOM" vbProcedure="false">"c5238"</definedName>
    <definedName function="false" hidden="true" name="IQ_PERCENT_CHANGE_EST_DPS_6MONTHS" vbProcedure="false">"c1818"</definedName>
    <definedName function="false" hidden="true" name="IQ_PERCENT_CHANGE_EST_DPS_6MONTHS_CIQ" vbProcedure="false">"c3760"</definedName>
    <definedName function="false" hidden="true" name="IQ_PERCENT_CHANGE_EST_DPS_6MONTHS_REUT" vbProcedure="false">"c3929"</definedName>
    <definedName function="false" hidden="true" name="IQ_PERCENT_CHANGE_EST_DPS_6MONTHS_THOM" vbProcedure="false">"c5239"</definedName>
    <definedName function="false" hidden="true" name="IQ_PERCENT_CHANGE_EST_DPS_9MONTHS" vbProcedure="false">"c1819"</definedName>
    <definedName function="false" hidden="true" name="IQ_PERCENT_CHANGE_EST_DPS_9MONTHS_CIQ" vbProcedure="false">"c3761"</definedName>
    <definedName function="false" hidden="true" name="IQ_PERCENT_CHANGE_EST_DPS_9MONTHS_REUT" vbProcedure="false">"c3930"</definedName>
    <definedName function="false" hidden="true" name="IQ_PERCENT_CHANGE_EST_DPS_9MONTHS_THOM" vbProcedure="false">"c5240"</definedName>
    <definedName function="false" hidden="true" name="IQ_PERCENT_CHANGE_EST_DPS_DAY" vbProcedure="false">"c1814"</definedName>
    <definedName function="false" hidden="true" name="IQ_PERCENT_CHANGE_EST_DPS_DAY_CIQ" vbProcedure="false">"c3757"</definedName>
    <definedName function="false" hidden="true" name="IQ_PERCENT_CHANGE_EST_DPS_DAY_REUT" vbProcedure="false">"c3926"</definedName>
    <definedName function="false" hidden="true" name="IQ_PERCENT_CHANGE_EST_DPS_DAY_THOM" vbProcedure="false">"c5236"</definedName>
    <definedName function="false" hidden="true" name="IQ_PERCENT_CHANGE_EST_DPS_MONTH" vbProcedure="false">"c1816"</definedName>
    <definedName function="false" hidden="true" name="IQ_PERCENT_CHANGE_EST_DPS_MONTH_CIQ" vbProcedure="false">"c3758"</definedName>
    <definedName function="false" hidden="true" name="IQ_PERCENT_CHANGE_EST_DPS_MONTH_REUT" vbProcedure="false">"c3927"</definedName>
    <definedName function="false" hidden="true" name="IQ_PERCENT_CHANGE_EST_DPS_MONTH_THOM" vbProcedure="false">"c5237"</definedName>
    <definedName function="false" hidden="true" name="IQ_PERCENT_CHANGE_EST_DPS_WEEK" vbProcedure="false">"c1815"</definedName>
    <definedName function="false" hidden="true" name="IQ_PERCENT_CHANGE_EST_DPS_WEEK_CIQ" vbProcedure="false">"c3794"</definedName>
    <definedName function="false" hidden="true" name="IQ_PERCENT_CHANGE_EST_DPS_WEEK_REUT" vbProcedure="false">"c3963"</definedName>
    <definedName function="false" hidden="true" name="IQ_PERCENT_CHANGE_EST_DPS_WEEK_THOM" vbProcedure="false">"c5273"</definedName>
    <definedName function="false" hidden="true" name="IQ_PERCENT_CHANGE_EST_EBITDA_12MONTHS" vbProcedure="false">"c1804"</definedName>
    <definedName function="false" hidden="true" name="IQ_PERCENT_CHANGE_EST_EBITDA_12MONTHS_CIQ" vbProcedure="false">"c3748"</definedName>
    <definedName function="false" hidden="true" name="IQ_PERCENT_CHANGE_EST_EBITDA_12MONTHS_REUT" vbProcedure="false">"c3917"</definedName>
    <definedName function="false" hidden="true" name="IQ_PERCENT_CHANGE_EST_EBITDA_12MONTHS_THOM" vbProcedure="false">"c5227"</definedName>
    <definedName function="false" hidden="true" name="IQ_PERCENT_CHANGE_EST_EBITDA_18MONTHS" vbProcedure="false">"c1805"</definedName>
    <definedName function="false" hidden="true" name="IQ_PERCENT_CHANGE_EST_EBITDA_18MONTHS_CIQ" vbProcedure="false">"c3749"</definedName>
    <definedName function="false" hidden="true" name="IQ_PERCENT_CHANGE_EST_EBITDA_18MONTHS_REUT" vbProcedure="false">"c3918"</definedName>
    <definedName function="false" hidden="true" name="IQ_PERCENT_CHANGE_EST_EBITDA_18MONTHS_THOM" vbProcedure="false">"c5228"</definedName>
    <definedName function="false" hidden="true" name="IQ_PERCENT_CHANGE_EST_EBITDA_3MONTHS" vbProcedure="false">"c1801"</definedName>
    <definedName function="false" hidden="true" name="IQ_PERCENT_CHANGE_EST_EBITDA_3MONTHS_CIQ" vbProcedure="false">"c3745"</definedName>
    <definedName function="false" hidden="true" name="IQ_PERCENT_CHANGE_EST_EBITDA_3MONTHS_REUT" vbProcedure="false">"c3914"</definedName>
    <definedName function="false" hidden="true" name="IQ_PERCENT_CHANGE_EST_EBITDA_3MONTHS_THOM" vbProcedure="false">"c5224"</definedName>
    <definedName function="false" hidden="true" name="IQ_PERCENT_CHANGE_EST_EBITDA_6MONTHS" vbProcedure="false">"c1802"</definedName>
    <definedName function="false" hidden="true" name="IQ_PERCENT_CHANGE_EST_EBITDA_6MONTHS_CIQ" vbProcedure="false">"c3746"</definedName>
    <definedName function="false" hidden="true" name="IQ_PERCENT_CHANGE_EST_EBITDA_6MONTHS_REUT" vbProcedure="false">"c3915"</definedName>
    <definedName function="false" hidden="true" name="IQ_PERCENT_CHANGE_EST_EBITDA_6MONTHS_THOM" vbProcedure="false">"c5225"</definedName>
    <definedName function="false" hidden="true" name="IQ_PERCENT_CHANGE_EST_EBITDA_9MONTHS" vbProcedure="false">"c1803"</definedName>
    <definedName function="false" hidden="true" name="IQ_PERCENT_CHANGE_EST_EBITDA_9MONTHS_CIQ" vbProcedure="false">"c3747"</definedName>
    <definedName function="false" hidden="true" name="IQ_PERCENT_CHANGE_EST_EBITDA_9MONTHS_REUT" vbProcedure="false">"c3916"</definedName>
    <definedName function="false" hidden="true" name="IQ_PERCENT_CHANGE_EST_EBITDA_9MONTHS_THOM" vbProcedure="false">"c5226"</definedName>
    <definedName function="false" hidden="true" name="IQ_PERCENT_CHANGE_EST_EBITDA_DAY" vbProcedure="false">"c1798"</definedName>
    <definedName function="false" hidden="true" name="IQ_PERCENT_CHANGE_EST_EBITDA_DAY_CIQ" vbProcedure="false">"c3743"</definedName>
    <definedName function="false" hidden="true" name="IQ_PERCENT_CHANGE_EST_EBITDA_DAY_REUT" vbProcedure="false">"c3912"</definedName>
    <definedName function="false" hidden="true" name="IQ_PERCENT_CHANGE_EST_EBITDA_DAY_THOM" vbProcedure="false">"c5222"</definedName>
    <definedName function="false" hidden="true" name="IQ_PERCENT_CHANGE_EST_EBITDA_MONTH" vbProcedure="false">"c1800"</definedName>
    <definedName function="false" hidden="true" name="IQ_PERCENT_CHANGE_EST_EBITDA_MONTH_CIQ" vbProcedure="false">"c3744"</definedName>
    <definedName function="false" hidden="true" name="IQ_PERCENT_CHANGE_EST_EBITDA_MONTH_REUT" vbProcedure="false">"c3913"</definedName>
    <definedName function="false" hidden="true" name="IQ_PERCENT_CHANGE_EST_EBITDA_MONTH_THOM" vbProcedure="false">"c5223"</definedName>
    <definedName function="false" hidden="true" name="IQ_PERCENT_CHANGE_EST_EBITDA_WEEK" vbProcedure="false">"c1799"</definedName>
    <definedName function="false" hidden="true" name="IQ_PERCENT_CHANGE_EST_EBITDA_WEEK_CIQ" vbProcedure="false">"c3792"</definedName>
    <definedName function="false" hidden="true" name="IQ_PERCENT_CHANGE_EST_EBITDA_WEEK_REUT" vbProcedure="false">"c3961"</definedName>
    <definedName function="false" hidden="true" name="IQ_PERCENT_CHANGE_EST_EBITDA_WEEK_THOM" vbProcedure="false">"c5271"</definedName>
    <definedName function="false" hidden="true" name="IQ_PERCENT_CHANGE_EST_EPS_12MONTHS" vbProcedure="false">"c1788"</definedName>
    <definedName function="false" hidden="true" name="IQ_PERCENT_CHANGE_EST_EPS_12MONTHS_CIQ" vbProcedure="false">"c3733"</definedName>
    <definedName function="false" hidden="true" name="IQ_PERCENT_CHANGE_EST_EPS_12MONTHS_REUT" vbProcedure="false">"c3902"</definedName>
    <definedName function="false" hidden="true" name="IQ_PERCENT_CHANGE_EST_EPS_12MONTHS_THOM" vbProcedure="false">"c5212"</definedName>
    <definedName function="false" hidden="true" name="IQ_PERCENT_CHANGE_EST_EPS_18MONTHS" vbProcedure="false">"c1789"</definedName>
    <definedName function="false" hidden="true" name="IQ_PERCENT_CHANGE_EST_EPS_18MONTHS_CIQ" vbProcedure="false">"c3734"</definedName>
    <definedName function="false" hidden="true" name="IQ_PERCENT_CHANGE_EST_EPS_18MONTHS_REUT" vbProcedure="false">"c3903"</definedName>
    <definedName function="false" hidden="true" name="IQ_PERCENT_CHANGE_EST_EPS_18MONTHS_THOM" vbProcedure="false">"c5213"</definedName>
    <definedName function="false" hidden="true" name="IQ_PERCENT_CHANGE_EST_EPS_3MONTHS" vbProcedure="false">"c1785"</definedName>
    <definedName function="false" hidden="true" name="IQ_PERCENT_CHANGE_EST_EPS_3MONTHS_CIQ" vbProcedure="false">"c3730"</definedName>
    <definedName function="false" hidden="true" name="IQ_PERCENT_CHANGE_EST_EPS_3MONTHS_REUT" vbProcedure="false">"c3899"</definedName>
    <definedName function="false" hidden="true" name="IQ_PERCENT_CHANGE_EST_EPS_3MONTHS_THOM" vbProcedure="false">"c5209"</definedName>
    <definedName function="false" hidden="true" name="IQ_PERCENT_CHANGE_EST_EPS_6MONTHS" vbProcedure="false">"c1786"</definedName>
    <definedName function="false" hidden="true" name="IQ_PERCENT_CHANGE_EST_EPS_6MONTHS_CIQ" vbProcedure="false">"c3731"</definedName>
    <definedName function="false" hidden="true" name="IQ_PERCENT_CHANGE_EST_EPS_6MONTHS_REUT" vbProcedure="false">"c3900"</definedName>
    <definedName function="false" hidden="true" name="IQ_PERCENT_CHANGE_EST_EPS_6MONTHS_THOM" vbProcedure="false">"c5210"</definedName>
    <definedName function="false" hidden="true" name="IQ_PERCENT_CHANGE_EST_EPS_9MONTHS" vbProcedure="false">"c1787"</definedName>
    <definedName function="false" hidden="true" name="IQ_PERCENT_CHANGE_EST_EPS_9MONTHS_CIQ" vbProcedure="false">"c3732"</definedName>
    <definedName function="false" hidden="true" name="IQ_PERCENT_CHANGE_EST_EPS_9MONTHS_REUT" vbProcedure="false">"c3901"</definedName>
    <definedName function="false" hidden="true" name="IQ_PERCENT_CHANGE_EST_EPS_9MONTHS_THOM" vbProcedure="false">"c5211"</definedName>
    <definedName function="false" hidden="true" name="IQ_PERCENT_CHANGE_EST_EPS_DAY" vbProcedure="false">"c1782"</definedName>
    <definedName function="false" hidden="true" name="IQ_PERCENT_CHANGE_EST_EPS_DAY_CIQ" vbProcedure="false">"c3727"</definedName>
    <definedName function="false" hidden="true" name="IQ_PERCENT_CHANGE_EST_EPS_DAY_REUT" vbProcedure="false">"c3896"</definedName>
    <definedName function="false" hidden="true" name="IQ_PERCENT_CHANGE_EST_EPS_DAY_THOM" vbProcedure="false">"c5206"</definedName>
    <definedName function="false" hidden="true" name="IQ_PERCENT_CHANGE_EST_EPS_MONTH" vbProcedure="false">"c1784"</definedName>
    <definedName function="false" hidden="true" name="IQ_PERCENT_CHANGE_EST_EPS_MONTH_CIQ" vbProcedure="false">"c3729"</definedName>
    <definedName function="false" hidden="true" name="IQ_PERCENT_CHANGE_EST_EPS_MONTH_REUT" vbProcedure="false">"c3898"</definedName>
    <definedName function="false" hidden="true" name="IQ_PERCENT_CHANGE_EST_EPS_MONTH_THOM" vbProcedure="false">"c5208"</definedName>
    <definedName function="false" hidden="true" name="IQ_PERCENT_CHANGE_EST_EPS_WEEK" vbProcedure="false">"c1783"</definedName>
    <definedName function="false" hidden="true" name="IQ_PERCENT_CHANGE_EST_EPS_WEEK_CIQ" vbProcedure="false">"c3728"</definedName>
    <definedName function="false" hidden="true" name="IQ_PERCENT_CHANGE_EST_EPS_WEEK_REUT" vbProcedure="false">"c3897"</definedName>
    <definedName function="false" hidden="true" name="IQ_PERCENT_CHANGE_EST_EPS_WEEK_THOM" vbProcedure="false">"c5207"</definedName>
    <definedName function="false" hidden="true" name="IQ_PERCENT_CHANGE_EST_FFO_12MONTHS" vbProcedure="false">"c1828"</definedName>
    <definedName function="false" hidden="true" name="IQ_PERCENT_CHANGE_EST_FFO_12MONTHS_CIQ" vbProcedure="false">"c3769"</definedName>
    <definedName function="false" hidden="true" name="IQ_PERCENT_CHANGE_EST_FFO_12MONTHS_REUT" vbProcedure="false">"c3938"</definedName>
    <definedName function="false" hidden="true" name="IQ_PERCENT_CHANGE_EST_FFO_12MONTHS_THOM" vbProcedure="false">"c5248"</definedName>
    <definedName function="false" hidden="true" name="IQ_PERCENT_CHANGE_EST_FFO_18MONTHS" vbProcedure="false">"c1829"</definedName>
    <definedName function="false" hidden="true" name="IQ_PERCENT_CHANGE_EST_FFO_18MONTHS_CIQ" vbProcedure="false">"c3770"</definedName>
    <definedName function="false" hidden="true" name="IQ_PERCENT_CHANGE_EST_FFO_18MONTHS_REUT" vbProcedure="false">"c3939"</definedName>
    <definedName function="false" hidden="true" name="IQ_PERCENT_CHANGE_EST_FFO_18MONTHS_THOM" vbProcedure="false">"c5249"</definedName>
    <definedName function="false" hidden="true" name="IQ_PERCENT_CHANGE_EST_FFO_3MONTHS" vbProcedure="false">"c1825"</definedName>
    <definedName function="false" hidden="true" name="IQ_PERCENT_CHANGE_EST_FFO_3MONTHS_CIQ" vbProcedure="false">"c3766"</definedName>
    <definedName function="false" hidden="true" name="IQ_PERCENT_CHANGE_EST_FFO_3MONTHS_REUT" vbProcedure="false">"c3935"</definedName>
    <definedName function="false" hidden="true" name="IQ_PERCENT_CHANGE_EST_FFO_3MONTHS_THOM" vbProcedure="false">"c5245"</definedName>
    <definedName function="false" hidden="true" name="IQ_PERCENT_CHANGE_EST_FFO_6MONTHS" vbProcedure="false">"c1826"</definedName>
    <definedName function="false" hidden="true" name="IQ_PERCENT_CHANGE_EST_FFO_6MONTHS_CIQ" vbProcedure="false">"c3767"</definedName>
    <definedName function="false" hidden="true" name="IQ_PERCENT_CHANGE_EST_FFO_6MONTHS_REUT" vbProcedure="false">"c3936"</definedName>
    <definedName function="false" hidden="true" name="IQ_PERCENT_CHANGE_EST_FFO_6MONTHS_THOM" vbProcedure="false">"c5246"</definedName>
    <definedName function="false" hidden="true" name="IQ_PERCENT_CHANGE_EST_FFO_9MONTHS" vbProcedure="false">"c1827"</definedName>
    <definedName function="false" hidden="true" name="IQ_PERCENT_CHANGE_EST_FFO_9MONTHS_CIQ" vbProcedure="false">"c3768"</definedName>
    <definedName function="false" hidden="true" name="IQ_PERCENT_CHANGE_EST_FFO_9MONTHS_REUT" vbProcedure="false">"c3937"</definedName>
    <definedName function="false" hidden="true" name="IQ_PERCENT_CHANGE_EST_FFO_9MONTHS_THOM" vbProcedure="false">"c5247"</definedName>
    <definedName function="false" hidden="true" name="IQ_PERCENT_CHANGE_EST_FFO_DAY" vbProcedure="false">"c1822"</definedName>
    <definedName function="false" hidden="true" name="IQ_PERCENT_CHANGE_EST_FFO_DAY_CIQ" vbProcedure="false">"c3764"</definedName>
    <definedName function="false" hidden="true" name="IQ_PERCENT_CHANGE_EST_FFO_DAY_REUT" vbProcedure="false">"c3933"</definedName>
    <definedName function="false" hidden="true" name="IQ_PERCENT_CHANGE_EST_FFO_DAY_THOM" vbProcedure="false">"c5243"</definedName>
    <definedName function="false" hidden="true" name="IQ_PERCENT_CHANGE_EST_FFO_MONTH" vbProcedure="false">"c1824"</definedName>
    <definedName function="false" hidden="true" name="IQ_PERCENT_CHANGE_EST_FFO_MONTH_CIQ" vbProcedure="false">"c3765"</definedName>
    <definedName function="false" hidden="true" name="IQ_PERCENT_CHANGE_EST_FFO_MONTH_REUT" vbProcedure="false">"c3934"</definedName>
    <definedName function="false" hidden="true" name="IQ_PERCENT_CHANGE_EST_FFO_MONTH_THOM" vbProcedure="false">"c5244"</definedName>
    <definedName function="false" hidden="true" name="IQ_PERCENT_CHANGE_EST_FFO_SHARE_12MONTHS" vbProcedure="false">"c1828"</definedName>
    <definedName function="false" hidden="true" name="IQ_PERCENT_CHANGE_EST_FFO_SHARE_12MONTHS_CIQ" vbProcedure="false">"c3769"</definedName>
    <definedName function="false" hidden="true" name="IQ_PERCENT_CHANGE_EST_FFO_SHARE_18MONTHS" vbProcedure="false">"c1829"</definedName>
    <definedName function="false" hidden="true" name="IQ_PERCENT_CHANGE_EST_FFO_SHARE_18MONTHS_CIQ" vbProcedure="false">"c3770"</definedName>
    <definedName function="false" hidden="true" name="IQ_PERCENT_CHANGE_EST_FFO_SHARE_3MONTHS" vbProcedure="false">"c1825"</definedName>
    <definedName function="false" hidden="true" name="IQ_PERCENT_CHANGE_EST_FFO_SHARE_3MONTHS_CIQ" vbProcedure="false">"c3766"</definedName>
    <definedName function="false" hidden="true" name="IQ_PERCENT_CHANGE_EST_FFO_SHARE_6MONTHS" vbProcedure="false">"c1826"</definedName>
    <definedName function="false" hidden="true" name="IQ_PERCENT_CHANGE_EST_FFO_SHARE_6MONTHS_CIQ" vbProcedure="false">"c3767"</definedName>
    <definedName function="false" hidden="true" name="IQ_PERCENT_CHANGE_EST_FFO_SHARE_9MONTHS" vbProcedure="false">"c1827"</definedName>
    <definedName function="false" hidden="true" name="IQ_PERCENT_CHANGE_EST_FFO_SHARE_9MONTHS_CIQ" vbProcedure="false">"c3768"</definedName>
    <definedName function="false" hidden="true" name="IQ_PERCENT_CHANGE_EST_FFO_SHARE_DAY" vbProcedure="false">"c1822"</definedName>
    <definedName function="false" hidden="true" name="IQ_PERCENT_CHANGE_EST_FFO_SHARE_DAY_CIQ" vbProcedure="false">"c3764"</definedName>
    <definedName function="false" hidden="true" name="IQ_PERCENT_CHANGE_EST_FFO_SHARE_MONTH" vbProcedure="false">"c1824"</definedName>
    <definedName function="false" hidden="true" name="IQ_PERCENT_CHANGE_EST_FFO_SHARE_MONTH_CIQ" vbProcedure="false">"c3765"</definedName>
    <definedName function="false" hidden="true" name="IQ_PERCENT_CHANGE_EST_FFO_SHARE_SHARE_12MONTHS" vbProcedure="false">"c1828"</definedName>
    <definedName function="false" hidden="true" name="IQ_PERCENT_CHANGE_EST_FFO_SHARE_SHARE_12MONTHS_CIQ" vbProcedure="false">"c3769"</definedName>
    <definedName function="false" hidden="true" name="IQ_PERCENT_CHANGE_EST_FFO_SHARE_SHARE_12MONTHS_REUT" vbProcedure="false">"c3938"</definedName>
    <definedName function="false" hidden="true" name="IQ_PERCENT_CHANGE_EST_FFO_SHARE_SHARE_12MONTHS_THOM" vbProcedure="false">"c5248"</definedName>
    <definedName function="false" hidden="true" name="IQ_PERCENT_CHANGE_EST_FFO_SHARE_SHARE_18MONTHS" vbProcedure="false">"c1829"</definedName>
    <definedName function="false" hidden="true" name="IQ_PERCENT_CHANGE_EST_FFO_SHARE_SHARE_18MONTHS_CIQ" vbProcedure="false">"c3770"</definedName>
    <definedName function="false" hidden="true" name="IQ_PERCENT_CHANGE_EST_FFO_SHARE_SHARE_18MONTHS_REUT" vbProcedure="false">"c3939"</definedName>
    <definedName function="false" hidden="true" name="IQ_PERCENT_CHANGE_EST_FFO_SHARE_SHARE_18MONTHS_THOM" vbProcedure="false">"c5249"</definedName>
    <definedName function="false" hidden="true" name="IQ_PERCENT_CHANGE_EST_FFO_SHARE_SHARE_3MONTHS" vbProcedure="false">"c1825"</definedName>
    <definedName function="false" hidden="true" name="IQ_PERCENT_CHANGE_EST_FFO_SHARE_SHARE_3MONTHS_CIQ" vbProcedure="false">"c3766"</definedName>
    <definedName function="false" hidden="true" name="IQ_PERCENT_CHANGE_EST_FFO_SHARE_SHARE_3MONTHS_REUT" vbProcedure="false">"c3935"</definedName>
    <definedName function="false" hidden="true" name="IQ_PERCENT_CHANGE_EST_FFO_SHARE_SHARE_3MONTHS_THOM" vbProcedure="false">"c5245"</definedName>
    <definedName function="false" hidden="true" name="IQ_PERCENT_CHANGE_EST_FFO_SHARE_SHARE_6MONTHS" vbProcedure="false">"c1826"</definedName>
    <definedName function="false" hidden="true" name="IQ_PERCENT_CHANGE_EST_FFO_SHARE_SHARE_6MONTHS_CIQ" vbProcedure="false">"c3767"</definedName>
    <definedName function="false" hidden="true" name="IQ_PERCENT_CHANGE_EST_FFO_SHARE_SHARE_6MONTHS_REUT" vbProcedure="false">"c3936"</definedName>
    <definedName function="false" hidden="true" name="IQ_PERCENT_CHANGE_EST_FFO_SHARE_SHARE_6MONTHS_THOM" vbProcedure="false">"c5246"</definedName>
    <definedName function="false" hidden="true" name="IQ_PERCENT_CHANGE_EST_FFO_SHARE_SHARE_9MONTHS" vbProcedure="false">"c1827"</definedName>
    <definedName function="false" hidden="true" name="IQ_PERCENT_CHANGE_EST_FFO_SHARE_SHARE_9MONTHS_CIQ" vbProcedure="false">"c3768"</definedName>
    <definedName function="false" hidden="true" name="IQ_PERCENT_CHANGE_EST_FFO_SHARE_SHARE_9MONTHS_REUT" vbProcedure="false">"c3937"</definedName>
    <definedName function="false" hidden="true" name="IQ_PERCENT_CHANGE_EST_FFO_SHARE_SHARE_9MONTHS_THOM" vbProcedure="false">"c5247"</definedName>
    <definedName function="false" hidden="true" name="IQ_PERCENT_CHANGE_EST_FFO_SHARE_SHARE_DAY" vbProcedure="false">"c1822"</definedName>
    <definedName function="false" hidden="true" name="IQ_PERCENT_CHANGE_EST_FFO_SHARE_SHARE_DAY_CIQ" vbProcedure="false">"c3764"</definedName>
    <definedName function="false" hidden="true" name="IQ_PERCENT_CHANGE_EST_FFO_SHARE_SHARE_DAY_REUT" vbProcedure="false">"c3933"</definedName>
    <definedName function="false" hidden="true" name="IQ_PERCENT_CHANGE_EST_FFO_SHARE_SHARE_DAY_THOM" vbProcedure="false">"c5243"</definedName>
    <definedName function="false" hidden="true" name="IQ_PERCENT_CHANGE_EST_FFO_SHARE_SHARE_MONTH" vbProcedure="false">"c1824"</definedName>
    <definedName function="false" hidden="true" name="IQ_PERCENT_CHANGE_EST_FFO_SHARE_SHARE_MONTH_CIQ" vbProcedure="false">"c3765"</definedName>
    <definedName function="false" hidden="true" name="IQ_PERCENT_CHANGE_EST_FFO_SHARE_SHARE_MONTH_REUT" vbProcedure="false">"c3934"</definedName>
    <definedName function="false" hidden="true" name="IQ_PERCENT_CHANGE_EST_FFO_SHARE_SHARE_MONTH_THOM" vbProcedure="false">"c5244"</definedName>
    <definedName function="false" hidden="true" name="IQ_PERCENT_CHANGE_EST_FFO_SHARE_SHARE_WEEK" vbProcedure="false">"c1823"</definedName>
    <definedName function="false" hidden="true" name="IQ_PERCENT_CHANGE_EST_FFO_SHARE_SHARE_WEEK_CIQ" vbProcedure="false">"c3795"</definedName>
    <definedName function="false" hidden="true" name="IQ_PERCENT_CHANGE_EST_FFO_SHARE_SHARE_WEEK_REUT" vbProcedure="false">"c3964"</definedName>
    <definedName function="false" hidden="true" name="IQ_PERCENT_CHANGE_EST_FFO_SHARE_SHARE_WEEK_THOM" vbProcedure="false">"c5274"</definedName>
    <definedName function="false" hidden="true" name="IQ_PERCENT_CHANGE_EST_FFO_SHARE_WEEK" vbProcedure="false">"c1823"</definedName>
    <definedName function="false" hidden="true" name="IQ_PERCENT_CHANGE_EST_FFO_SHARE_WEEK_CIQ" vbProcedure="false">"c3795"</definedName>
    <definedName function="false" hidden="true" name="IQ_PERCENT_CHANGE_EST_FFO_WEEK" vbProcedure="false">"c1823"</definedName>
    <definedName function="false" hidden="true" name="IQ_PERCENT_CHANGE_EST_FFO_WEEK_CIQ" vbProcedure="false">"c3795"</definedName>
    <definedName function="false" hidden="true" name="IQ_PERCENT_CHANGE_EST_FFO_WEEK_REUT" vbProcedure="false">"c3964"</definedName>
    <definedName function="false" hidden="true" name="IQ_PERCENT_CHANGE_EST_FFO_WEEK_THOM" vbProcedure="false">"c5274"</definedName>
    <definedName function="false" hidden="true" name="IQ_PERCENT_CHANGE_EST_PRICE_TARGET_12MONTHS" vbProcedure="false">"c1844"</definedName>
    <definedName function="false" hidden="true" name="IQ_PERCENT_CHANGE_EST_PRICE_TARGET_12MONTHS_CIQ" vbProcedure="false">"c3783"</definedName>
    <definedName function="false" hidden="true" name="IQ_PERCENT_CHANGE_EST_PRICE_TARGET_12MONTHS_REUT" vbProcedure="false">"c3952"</definedName>
    <definedName function="false" hidden="true" name="IQ_PERCENT_CHANGE_EST_PRICE_TARGET_12MONTHS_THOM" vbProcedure="false">"c5262"</definedName>
    <definedName function="false" hidden="true" name="IQ_PERCENT_CHANGE_EST_PRICE_TARGET_18MONTHS" vbProcedure="false">"c1845"</definedName>
    <definedName function="false" hidden="true" name="IQ_PERCENT_CHANGE_EST_PRICE_TARGET_18MONTHS_CIQ" vbProcedure="false">"c3784"</definedName>
    <definedName function="false" hidden="true" name="IQ_PERCENT_CHANGE_EST_PRICE_TARGET_18MONTHS_REUT" vbProcedure="false">"c3953"</definedName>
    <definedName function="false" hidden="true" name="IQ_PERCENT_CHANGE_EST_PRICE_TARGET_18MONTHS_THOM" vbProcedure="false">"c5263"</definedName>
    <definedName function="false" hidden="true" name="IQ_PERCENT_CHANGE_EST_PRICE_TARGET_3MONTHS" vbProcedure="false">"c1841"</definedName>
    <definedName function="false" hidden="true" name="IQ_PERCENT_CHANGE_EST_PRICE_TARGET_3MONTHS_CIQ" vbProcedure="false">"c3780"</definedName>
    <definedName function="false" hidden="true" name="IQ_PERCENT_CHANGE_EST_PRICE_TARGET_3MONTHS_REUT" vbProcedure="false">"c3949"</definedName>
    <definedName function="false" hidden="true" name="IQ_PERCENT_CHANGE_EST_PRICE_TARGET_3MONTHS_THOM" vbProcedure="false">"c5259"</definedName>
    <definedName function="false" hidden="true" name="IQ_PERCENT_CHANGE_EST_PRICE_TARGET_6MONTHS" vbProcedure="false">"c1842"</definedName>
    <definedName function="false" hidden="true" name="IQ_PERCENT_CHANGE_EST_PRICE_TARGET_6MONTHS_CIQ" vbProcedure="false">"c3781"</definedName>
    <definedName function="false" hidden="true" name="IQ_PERCENT_CHANGE_EST_PRICE_TARGET_6MONTHS_REUT" vbProcedure="false">"c3950"</definedName>
    <definedName function="false" hidden="true" name="IQ_PERCENT_CHANGE_EST_PRICE_TARGET_6MONTHS_THOM" vbProcedure="false">"c5260"</definedName>
    <definedName function="false" hidden="true" name="IQ_PERCENT_CHANGE_EST_PRICE_TARGET_9MONTHS" vbProcedure="false">"c1843"</definedName>
    <definedName function="false" hidden="true" name="IQ_PERCENT_CHANGE_EST_PRICE_TARGET_9MONTHS_CIQ" vbProcedure="false">"c3782"</definedName>
    <definedName function="false" hidden="true" name="IQ_PERCENT_CHANGE_EST_PRICE_TARGET_9MONTHS_REUT" vbProcedure="false">"c3951"</definedName>
    <definedName function="false" hidden="true" name="IQ_PERCENT_CHANGE_EST_PRICE_TARGET_9MONTHS_THOM" vbProcedure="false">"c5261"</definedName>
    <definedName function="false" hidden="true" name="IQ_PERCENT_CHANGE_EST_PRICE_TARGET_DAY" vbProcedure="false">"c1838"</definedName>
    <definedName function="false" hidden="true" name="IQ_PERCENT_CHANGE_EST_PRICE_TARGET_DAY_CIQ" vbProcedure="false">"c3778"</definedName>
    <definedName function="false" hidden="true" name="IQ_PERCENT_CHANGE_EST_PRICE_TARGET_DAY_REUT" vbProcedure="false">"c3947"</definedName>
    <definedName function="false" hidden="true" name="IQ_PERCENT_CHANGE_EST_PRICE_TARGET_DAY_THOM" vbProcedure="false">"c5257"</definedName>
    <definedName function="false" hidden="true" name="IQ_PERCENT_CHANGE_EST_PRICE_TARGET_MONTH" vbProcedure="false">"c1840"</definedName>
    <definedName function="false" hidden="true" name="IQ_PERCENT_CHANGE_EST_PRICE_TARGET_MONTH_CIQ" vbProcedure="false">"c3779"</definedName>
    <definedName function="false" hidden="true" name="IQ_PERCENT_CHANGE_EST_PRICE_TARGET_MONTH_REUT" vbProcedure="false">"c3948"</definedName>
    <definedName function="false" hidden="true" name="IQ_PERCENT_CHANGE_EST_PRICE_TARGET_MONTH_THOM" vbProcedure="false">"c5258"</definedName>
    <definedName function="false" hidden="true" name="IQ_PERCENT_CHANGE_EST_PRICE_TARGET_WEEK" vbProcedure="false">"c1839"</definedName>
    <definedName function="false" hidden="true" name="IQ_PERCENT_CHANGE_EST_PRICE_TARGET_WEEK_CIQ" vbProcedure="false">"c3798"</definedName>
    <definedName function="false" hidden="true" name="IQ_PERCENT_CHANGE_EST_PRICE_TARGET_WEEK_REUT" vbProcedure="false">"c3967"</definedName>
    <definedName function="false" hidden="true" name="IQ_PERCENT_CHANGE_EST_PRICE_TARGET_WEEK_THOM" vbProcedure="false">"c5276"</definedName>
    <definedName function="false" hidden="true" name="IQ_PERCENT_CHANGE_EST_RECO_12MONTHS" vbProcedure="false">"c1836"</definedName>
    <definedName function="false" hidden="true" name="IQ_PERCENT_CHANGE_EST_RECO_12MONTHS_CIQ" vbProcedure="false">"c3776"</definedName>
    <definedName function="false" hidden="true" name="IQ_PERCENT_CHANGE_EST_RECO_12MONTHS_REUT" vbProcedure="false">"c3945"</definedName>
    <definedName function="false" hidden="true" name="IQ_PERCENT_CHANGE_EST_RECO_12MONTHS_THOM" vbProcedure="false">"c5255"</definedName>
    <definedName function="false" hidden="true" name="IQ_PERCENT_CHANGE_EST_RECO_18MONTHS" vbProcedure="false">"c1837"</definedName>
    <definedName function="false" hidden="true" name="IQ_PERCENT_CHANGE_EST_RECO_18MONTHS_CIQ" vbProcedure="false">"c3777"</definedName>
    <definedName function="false" hidden="true" name="IQ_PERCENT_CHANGE_EST_RECO_18MONTHS_REUT" vbProcedure="false">"c3946"</definedName>
    <definedName function="false" hidden="true" name="IQ_PERCENT_CHANGE_EST_RECO_18MONTHS_THOM" vbProcedure="false">"c5256"</definedName>
    <definedName function="false" hidden="true" name="IQ_PERCENT_CHANGE_EST_RECO_3MONTHS" vbProcedure="false">"c1833"</definedName>
    <definedName function="false" hidden="true" name="IQ_PERCENT_CHANGE_EST_RECO_3MONTHS_CIQ" vbProcedure="false">"c3773"</definedName>
    <definedName function="false" hidden="true" name="IQ_PERCENT_CHANGE_EST_RECO_3MONTHS_REUT" vbProcedure="false">"c3942"</definedName>
    <definedName function="false" hidden="true" name="IQ_PERCENT_CHANGE_EST_RECO_3MONTHS_THOM" vbProcedure="false">"c5252"</definedName>
    <definedName function="false" hidden="true" name="IQ_PERCENT_CHANGE_EST_RECO_6MONTHS" vbProcedure="false">"c1834"</definedName>
    <definedName function="false" hidden="true" name="IQ_PERCENT_CHANGE_EST_RECO_6MONTHS_CIQ" vbProcedure="false">"c3774"</definedName>
    <definedName function="false" hidden="true" name="IQ_PERCENT_CHANGE_EST_RECO_6MONTHS_REUT" vbProcedure="false">"c3943"</definedName>
    <definedName function="false" hidden="true" name="IQ_PERCENT_CHANGE_EST_RECO_6MONTHS_THOM" vbProcedure="false">"c5253"</definedName>
    <definedName function="false" hidden="true" name="IQ_PERCENT_CHANGE_EST_RECO_9MONTHS" vbProcedure="false">"c1835"</definedName>
    <definedName function="false" hidden="true" name="IQ_PERCENT_CHANGE_EST_RECO_9MONTHS_CIQ" vbProcedure="false">"c3775"</definedName>
    <definedName function="false" hidden="true" name="IQ_PERCENT_CHANGE_EST_RECO_9MONTHS_REUT" vbProcedure="false">"c3944"</definedName>
    <definedName function="false" hidden="true" name="IQ_PERCENT_CHANGE_EST_RECO_9MONTHS_THOM" vbProcedure="false">"c5254"</definedName>
    <definedName function="false" hidden="true" name="IQ_PERCENT_CHANGE_EST_RECO_DAY" vbProcedure="false">"c1830"</definedName>
    <definedName function="false" hidden="true" name="IQ_PERCENT_CHANGE_EST_RECO_DAY_CIQ" vbProcedure="false">"c3771"</definedName>
    <definedName function="false" hidden="true" name="IQ_PERCENT_CHANGE_EST_RECO_DAY_REUT" vbProcedure="false">"c3940"</definedName>
    <definedName function="false" hidden="true" name="IQ_PERCENT_CHANGE_EST_RECO_DAY_THOM" vbProcedure="false">"c5250"</definedName>
    <definedName function="false" hidden="true" name="IQ_PERCENT_CHANGE_EST_RECO_MONTH" vbProcedure="false">"c1832"</definedName>
    <definedName function="false" hidden="true" name="IQ_PERCENT_CHANGE_EST_RECO_MONTH_CIQ" vbProcedure="false">"c3772"</definedName>
    <definedName function="false" hidden="true" name="IQ_PERCENT_CHANGE_EST_RECO_MONTH_REUT" vbProcedure="false">"c3941"</definedName>
    <definedName function="false" hidden="true" name="IQ_PERCENT_CHANGE_EST_RECO_MONTH_THOM" vbProcedure="false">"c5251"</definedName>
    <definedName function="false" hidden="true" name="IQ_PERCENT_CHANGE_EST_RECO_WEEK" vbProcedure="false">"c1831"</definedName>
    <definedName function="false" hidden="true" name="IQ_PERCENT_CHANGE_EST_RECO_WEEK_CIQ" vbProcedure="false">"c3796"</definedName>
    <definedName function="false" hidden="true" name="IQ_PERCENT_CHANGE_EST_RECO_WEEK_REUT" vbProcedure="false">"c3966"</definedName>
    <definedName function="false" hidden="true" name="IQ_PERCENT_CHANGE_EST_RECO_WEEK_THOM" vbProcedure="false">"c5275"</definedName>
    <definedName function="false" hidden="true" name="IQ_PERCENT_CHANGE_EST_REV_12MONTHS" vbProcedure="false">"c1796"</definedName>
    <definedName function="false" hidden="true" name="IQ_PERCENT_CHANGE_EST_REV_12MONTHS_CIQ" vbProcedure="false">"c3741"</definedName>
    <definedName function="false" hidden="true" name="IQ_PERCENT_CHANGE_EST_REV_12MONTHS_REUT" vbProcedure="false">"c3910"</definedName>
    <definedName function="false" hidden="true" name="IQ_PERCENT_CHANGE_EST_REV_12MONTHS_THOM" vbProcedure="false">"c5220"</definedName>
    <definedName function="false" hidden="true" name="IQ_PERCENT_CHANGE_EST_REV_18MONTHS" vbProcedure="false">"c1797"</definedName>
    <definedName function="false" hidden="true" name="IQ_PERCENT_CHANGE_EST_REV_18MONTHS_CIQ" vbProcedure="false">"c3742"</definedName>
    <definedName function="false" hidden="true" name="IQ_PERCENT_CHANGE_EST_REV_18MONTHS_REUT" vbProcedure="false">"c3911"</definedName>
    <definedName function="false" hidden="true" name="IQ_PERCENT_CHANGE_EST_REV_18MONTHS_THOM" vbProcedure="false">"c5221"</definedName>
    <definedName function="false" hidden="true" name="IQ_PERCENT_CHANGE_EST_REV_3MONTHS" vbProcedure="false">"c1793"</definedName>
    <definedName function="false" hidden="true" name="IQ_PERCENT_CHANGE_EST_REV_3MONTHS_CIQ" vbProcedure="false">"c3738"</definedName>
    <definedName function="false" hidden="true" name="IQ_PERCENT_CHANGE_EST_REV_3MONTHS_REUT" vbProcedure="false">"c3907"</definedName>
    <definedName function="false" hidden="true" name="IQ_PERCENT_CHANGE_EST_REV_3MONTHS_THOM" vbProcedure="false">"c5217"</definedName>
    <definedName function="false" hidden="true" name="IQ_PERCENT_CHANGE_EST_REV_6MONTHS" vbProcedure="false">"c1794"</definedName>
    <definedName function="false" hidden="true" name="IQ_PERCENT_CHANGE_EST_REV_6MONTHS_CIQ" vbProcedure="false">"c3739"</definedName>
    <definedName function="false" hidden="true" name="IQ_PERCENT_CHANGE_EST_REV_6MONTHS_REUT" vbProcedure="false">"c3908"</definedName>
    <definedName function="false" hidden="true" name="IQ_PERCENT_CHANGE_EST_REV_6MONTHS_THOM" vbProcedure="false">"c5218"</definedName>
    <definedName function="false" hidden="true" name="IQ_PERCENT_CHANGE_EST_REV_9MONTHS" vbProcedure="false">"c1795"</definedName>
    <definedName function="false" hidden="true" name="IQ_PERCENT_CHANGE_EST_REV_9MONTHS_CIQ" vbProcedure="false">"c3740"</definedName>
    <definedName function="false" hidden="true" name="IQ_PERCENT_CHANGE_EST_REV_9MONTHS_REUT" vbProcedure="false">"c3909"</definedName>
    <definedName function="false" hidden="true" name="IQ_PERCENT_CHANGE_EST_REV_9MONTHS_THOM" vbProcedure="false">"c5219"</definedName>
    <definedName function="false" hidden="true" name="IQ_PERCENT_CHANGE_EST_REV_DAY" vbProcedure="false">"c1790"</definedName>
    <definedName function="false" hidden="true" name="IQ_PERCENT_CHANGE_EST_REV_DAY_CIQ" vbProcedure="false">"c3735"</definedName>
    <definedName function="false" hidden="true" name="IQ_PERCENT_CHANGE_EST_REV_DAY_REUT" vbProcedure="false">"c3904"</definedName>
    <definedName function="false" hidden="true" name="IQ_PERCENT_CHANGE_EST_REV_DAY_THOM" vbProcedure="false">"c5214"</definedName>
    <definedName function="false" hidden="true" name="IQ_PERCENT_CHANGE_EST_REV_MONTH" vbProcedure="false">"c1792"</definedName>
    <definedName function="false" hidden="true" name="IQ_PERCENT_CHANGE_EST_REV_MONTH_CIQ" vbProcedure="false">"c3737"</definedName>
    <definedName function="false" hidden="true" name="IQ_PERCENT_CHANGE_EST_REV_MONTH_REUT" vbProcedure="false">"c3906"</definedName>
    <definedName function="false" hidden="true" name="IQ_PERCENT_CHANGE_EST_REV_MONTH_THOM" vbProcedure="false">"c5216"</definedName>
    <definedName function="false" hidden="true" name="IQ_PERCENT_CHANGE_EST_REV_WEEK" vbProcedure="false">"c1791"</definedName>
    <definedName function="false" hidden="true" name="IQ_PERCENT_CHANGE_EST_REV_WEEK_CIQ" vbProcedure="false">"c3736"</definedName>
    <definedName function="false" hidden="true" name="IQ_PERCENT_CHANGE_EST_REV_WEEK_REUT" vbProcedure="false">"c3905"</definedName>
    <definedName function="false" hidden="true" name="IQ_PERCENT_CHANGE_EST_REV_WEEK_THOM" vbProcedure="false">"c5215"</definedName>
    <definedName function="false" hidden="true" name="IQ_PERCENT_FLOAT" vbProcedure="false">"c227"</definedName>
    <definedName function="false" hidden="true" name="IQ_PERCENT_INSURED_FDIC" vbProcedure="false">"c6374"</definedName>
    <definedName function="false" hidden="true" name="IQ_PERFORMANCE_LOC_FOREIGN_GUARANTEES_FFIEC" vbProcedure="false">"c13251"</definedName>
    <definedName function="false" hidden="true" name="IQ_PERIODDATE" vbProcedure="false">"c1414"</definedName>
    <definedName function="false" hidden="true" name="IQ_PERIODDATE_AP" vbProcedure="false">"c11745"</definedName>
    <definedName function="false" hidden="true" name="IQ_PERIODDATE_BS" vbProcedure="false">"c1032"</definedName>
    <definedName function="false" hidden="true" name="IQ_PERIODDATE_CF" vbProcedure="false">"c1033"</definedName>
    <definedName function="false" hidden="true" name="IQ_PERIODDATE_FDIC" vbProcedure="false">"c13646"</definedName>
    <definedName function="false" hidden="true" name="IQ_PERIODDATE_FFIEC" vbProcedure="false">"c13645"</definedName>
    <definedName function="false" hidden="true" name="IQ_PERIODDATE_IS" vbProcedure="false">"c1034"</definedName>
    <definedName function="false" hidden="true" name="IQ_PERIODLENGTH_AP" vbProcedure="false">"c11746"</definedName>
    <definedName function="false" hidden="true" name="IQ_PERIODLENGTH_CF" vbProcedure="false">"c1502"</definedName>
    <definedName function="false" hidden="true" name="IQ_PERIODLENGTH_IS" vbProcedure="false">"c1503"</definedName>
    <definedName function="false" hidden="true" name="IQ_PERSONAL_CONSUMER_SPENDING_DURABLE" vbProcedure="false">"c6942"</definedName>
    <definedName function="false" hidden="true" name="IQ_PERSONAL_CONSUMER_SPENDING_DURABLE_APR" vbProcedure="false">"c7602"</definedName>
    <definedName function="false" hidden="true" name="IQ_PERSONAL_CONSUMER_SPENDING_DURABLE_APR_FC" vbProcedure="false">"c8482"</definedName>
    <definedName function="false" hidden="true" name="IQ_PERSONAL_CONSUMER_SPENDING_DURABLE_FC" vbProcedure="false">"c7822"</definedName>
    <definedName function="false" hidden="true" name="IQ_PERSONAL_CONSUMER_SPENDING_DURABLE_POP" vbProcedure="false">"c7162"</definedName>
    <definedName function="false" hidden="true" name="IQ_PERSONAL_CONSUMER_SPENDING_DURABLE_POP_FC" vbProcedure="false">"c8042"</definedName>
    <definedName function="false" hidden="true" name="IQ_PERSONAL_CONSUMER_SPENDING_DURABLE_YOY" vbProcedure="false">"c7382"</definedName>
    <definedName function="false" hidden="true" name="IQ_PERSONAL_CONSUMER_SPENDING_DURABLE_YOY_FC" vbProcedure="false">"c8262"</definedName>
    <definedName function="false" hidden="true" name="IQ_PERSONAL_CONSUMER_SPENDING_NONDURABLE" vbProcedure="false">"c6940"</definedName>
    <definedName function="false" hidden="true" name="IQ_PERSONAL_CONSUMER_SPENDING_NONDURABLE_APR" vbProcedure="false">"c7600"</definedName>
    <definedName function="false" hidden="true" name="IQ_PERSONAL_CONSUMER_SPENDING_NONDURABLE_APR_FC" vbProcedure="false">"c8480"</definedName>
    <definedName function="false" hidden="true" name="IQ_PERSONAL_CONSUMER_SPENDING_NONDURABLE_FC" vbProcedure="false">"c7820"</definedName>
    <definedName function="false" hidden="true" name="IQ_PERSONAL_CONSUMER_SPENDING_NONDURABLE_POP" vbProcedure="false">"c7160"</definedName>
    <definedName function="false" hidden="true" name="IQ_PERSONAL_CONSUMER_SPENDING_NONDURABLE_POP_FC" vbProcedure="false">"c8040"</definedName>
    <definedName function="false" hidden="true" name="IQ_PERSONAL_CONSUMER_SPENDING_NONDURABLE_YOY" vbProcedure="false">"c7380"</definedName>
    <definedName function="false" hidden="true" name="IQ_PERSONAL_CONSUMER_SPENDING_NONDURABLE_YOY_FC" vbProcedure="false">"c8260"</definedName>
    <definedName function="false" hidden="true" name="IQ_PERSONAL_CONSUMER_SPENDING_REAL" vbProcedure="false">"c6994"</definedName>
    <definedName function="false" hidden="true" name="IQ_PERSONAL_CONSUMER_SPENDING_REAL_APR" vbProcedure="false">"c7654"</definedName>
    <definedName function="false" hidden="true" name="IQ_PERSONAL_CONSUMER_SPENDING_REAL_APR_FC" vbProcedure="false">"c8534"</definedName>
    <definedName function="false" hidden="true" name="IQ_PERSONAL_CONSUMER_SPENDING_REAL_FC" vbProcedure="false">"c7874"</definedName>
    <definedName function="false" hidden="true" name="IQ_PERSONAL_CONSUMER_SPENDING_REAL_POP" vbProcedure="false">"c7214"</definedName>
    <definedName function="false" hidden="true" name="IQ_PERSONAL_CONSUMER_SPENDING_REAL_POP_FC" vbProcedure="false">"c8094"</definedName>
    <definedName function="false" hidden="true" name="IQ_PERSONAL_CONSUMER_SPENDING_REAL_YOY" vbProcedure="false">"c7434"</definedName>
    <definedName function="false" hidden="true" name="IQ_PERSONAL_CONSUMER_SPENDING_REAL_YOY_FC" vbProcedure="false">"c8314"</definedName>
    <definedName function="false" hidden="true" name="IQ_PERSONAL_CONSUMER_SPENDING_SERVICES" vbProcedure="false">"c6941"</definedName>
    <definedName function="false" hidden="true" name="IQ_PERSONAL_CONSUMER_SPENDING_SERVICES_APR" vbProcedure="false">"c7601"</definedName>
    <definedName function="false" hidden="true" name="IQ_PERSONAL_CONSUMER_SPENDING_SERVICES_APR_FC" vbProcedure="false">"c8481"</definedName>
    <definedName function="false" hidden="true" name="IQ_PERSONAL_CONSUMER_SPENDING_SERVICES_FC" vbProcedure="false">"c7821"</definedName>
    <definedName function="false" hidden="true" name="IQ_PERSONAL_CONSUMER_SPENDING_SERVICES_POP" vbProcedure="false">"c7161"</definedName>
    <definedName function="false" hidden="true" name="IQ_PERSONAL_CONSUMER_SPENDING_SERVICES_POP_FC" vbProcedure="false">"c8041"</definedName>
    <definedName function="false" hidden="true" name="IQ_PERSONAL_CONSUMER_SPENDING_SERVICES_YOY" vbProcedure="false">"c7381"</definedName>
    <definedName function="false" hidden="true" name="IQ_PERSONAL_CONSUMER_SPENDING_SERVICES_YOY_FC" vbProcedure="false">"c8261"</definedName>
    <definedName function="false" hidden="true" name="IQ_PERSONAL_INCOME" vbProcedure="false">"c6943"</definedName>
    <definedName function="false" hidden="true" name="IQ_PERSONAL_INCOME_APR" vbProcedure="false">"c7603"</definedName>
    <definedName function="false" hidden="true" name="IQ_PERSONAL_INCOME_APR_FC" vbProcedure="false">"c8483"</definedName>
    <definedName function="false" hidden="true" name="IQ_PERSONAL_INCOME_FC" vbProcedure="false">"c7823"</definedName>
    <definedName function="false" hidden="true" name="IQ_PERSONAL_INCOME_POP" vbProcedure="false">"c7163"</definedName>
    <definedName function="false" hidden="true" name="IQ_PERSONAL_INCOME_POP_FC" vbProcedure="false">"c8043"</definedName>
    <definedName function="false" hidden="true" name="IQ_PERSONAL_INCOME_SAAR" vbProcedure="false">"c6944"</definedName>
    <definedName function="false" hidden="true" name="IQ_PERSONAL_INCOME_SAAR_APR" vbProcedure="false">"c7604"</definedName>
    <definedName function="false" hidden="true" name="IQ_PERSONAL_INCOME_SAAR_APR_FC" vbProcedure="false">"c8484"</definedName>
    <definedName function="false" hidden="true" name="IQ_PERSONAL_INCOME_SAAR_FC" vbProcedure="false">"c7824"</definedName>
    <definedName function="false" hidden="true" name="IQ_PERSONAL_INCOME_SAAR_POP" vbProcedure="false">"c7164"</definedName>
    <definedName function="false" hidden="true" name="IQ_PERSONAL_INCOME_SAAR_POP_FC" vbProcedure="false">"c8044"</definedName>
    <definedName function="false" hidden="true" name="IQ_PERSONAL_INCOME_SAAR_YOY" vbProcedure="false">"c7384"</definedName>
    <definedName function="false" hidden="true" name="IQ_PERSONAL_INCOME_SAAR_YOY_FC" vbProcedure="false">"c8264"</definedName>
    <definedName function="false" hidden="true" name="IQ_PERSONAL_INCOME_USD_APR_FC" vbProcedure="false">"c11885"</definedName>
    <definedName function="false" hidden="true" name="IQ_PERSONAL_INCOME_USD_FC" vbProcedure="false">"c11882"</definedName>
    <definedName function="false" hidden="true" name="IQ_PERSONAL_INCOME_USD_POP_FC" vbProcedure="false">"c11883"</definedName>
    <definedName function="false" hidden="true" name="IQ_PERSONAL_INCOME_USD_YOY_FC" vbProcedure="false">"c11884"</definedName>
    <definedName function="false" hidden="true" name="IQ_PERSONAL_INCOME_YOY" vbProcedure="false">"c7383"</definedName>
    <definedName function="false" hidden="true" name="IQ_PERSONAL_INCOME_YOY_FC" vbProcedure="false">"c8263"</definedName>
    <definedName function="false" hidden="true" name="IQ_PERSONNEL_EXP_AVG_ASSETS_FFIEC" vbProcedure="false">"c13371"</definedName>
    <definedName function="false" hidden="true" name="IQ_PERSONNEL_EXP_OPERATING_INC_FFIEC" vbProcedure="false">"c13379"</definedName>
    <definedName function="false" hidden="true" name="IQ_PERTYPE" vbProcedure="false">"c1611"</definedName>
    <definedName function="false" hidden="true" name="IQ_PE_EXCL" vbProcedure="false">"c1028"</definedName>
    <definedName function="false" hidden="true" name="IQ_PE_EXCL_AVG" vbProcedure="false">"c1029"</definedName>
    <definedName function="false" hidden="true" name="IQ_PE_EXCL_FWD" vbProcedure="false">"c1030"</definedName>
    <definedName function="false" hidden="true" name="IQ_PE_EXCL_FWD_CIQ" vbProcedure="false">"c4042"</definedName>
    <definedName function="false" hidden="true" name="IQ_PE_EXCL_FWD_REUT" vbProcedure="false">"c4049"</definedName>
    <definedName function="false" hidden="true" name="IQ_PE_EXCL_FWD_THOM" vbProcedure="false">"c4056"</definedName>
    <definedName function="false" hidden="true" name="IQ_PE_FUND_DATE_EST" vbProcedure="false">"c19174"</definedName>
    <definedName function="false" hidden="true" name="IQ_PE_FUND_DATE_MONTH" vbProcedure="false">"c19172"</definedName>
    <definedName function="false" hidden="true" name="IQ_PE_FUND_DATE_YEAR" vbProcedure="false">"c18925"</definedName>
    <definedName function="false" hidden="true" name="IQ_PE_FUND_FAMILIES" vbProcedure="false">"c18917"</definedName>
    <definedName function="false" hidden="true" name="IQ_PE_FUND_FAMILIES_ID" vbProcedure="false">"c18918"</definedName>
    <definedName function="false" hidden="true" name="IQ_PE_FUND_FAMILIES_REL" vbProcedure="false">"c18919"</definedName>
    <definedName function="false" hidden="true" name="IQ_PE_FUND_ID" vbProcedure="false">"c18923"</definedName>
    <definedName function="false" hidden="true" name="IQ_PE_FUND_INVEST_AMOUNT" vbProcedure="false">"c18933"</definedName>
    <definedName function="false" hidden="true" name="IQ_PE_FUND_INVEST_DATE_MONTH" vbProcedure="false">"c19173"</definedName>
    <definedName function="false" hidden="true" name="IQ_PE_FUND_INVEST_DATE_YEAR" vbProcedure="false">"c18934"</definedName>
    <definedName function="false" hidden="true" name="IQ_PE_FUND_NAME" vbProcedure="false">"c18922"</definedName>
    <definedName function="false" hidden="true" name="IQ_PE_FUND_SIZE" vbProcedure="false">"c18924"</definedName>
    <definedName function="false" hidden="true" name="IQ_PE_FUND_STAGE" vbProcedure="false">"c18928"</definedName>
    <definedName function="false" hidden="true" name="IQ_PE_FUND_TARGET_MAX" vbProcedure="false">"c18927"</definedName>
    <definedName function="false" hidden="true" name="IQ_PE_FUND_TARGET_MIN" vbProcedure="false">"c18926"</definedName>
    <definedName function="false" hidden="true" name="IQ_PE_FUND_TRANSACTION_COMMENTS" vbProcedure="false">"c18931"</definedName>
    <definedName function="false" hidden="true" name="IQ_PE_NORMALIZED" vbProcedure="false">"c2207"</definedName>
    <definedName function="false" hidden="true" name="IQ_PE_RATIO" vbProcedure="false">"c1610"</definedName>
    <definedName function="false" hidden="true" name="IQ_PHARMBIO_NUMBER_LICENSED_PATENTS" vbProcedure="false">"c10017"</definedName>
    <definedName function="false" hidden="true" name="IQ_PHARMBIO_NUMBER_LICENSED_PATENT_APP" vbProcedure="false">"c10018"</definedName>
    <definedName function="false" hidden="true" name="IQ_PHARMBIO_NUMBER_PATENTS" vbProcedure="false">"c10015"</definedName>
    <definedName function="false" hidden="true" name="IQ_PHARMBIO_NUMBER_PROD_APPROVED_DURING_PERIOD" vbProcedure="false">"c10027"</definedName>
    <definedName function="false" hidden="true" name="IQ_PHARMBIO_NUMBER_PROD_CLINICAL_DEV" vbProcedure="false">"c10022"</definedName>
    <definedName function="false" hidden="true" name="IQ_PHARMBIO_NUMBER_PROD_DISCOVERY_RESEARCH" vbProcedure="false">"c10019"</definedName>
    <definedName function="false" hidden="true" name="IQ_PHARMBIO_NUMBER_PROD_LAUNCHED_DURING_PERIOD" vbProcedure="false">"c10028"</definedName>
    <definedName function="false" hidden="true" name="IQ_PHARMBIO_NUMBER_PROD_PHASE_I" vbProcedure="false">"c10023"</definedName>
    <definedName function="false" hidden="true" name="IQ_PHARMBIO_NUMBER_PROD_PHASE_II" vbProcedure="false">"c10024"</definedName>
    <definedName function="false" hidden="true" name="IQ_PHARMBIO_NUMBER_PROD_PHASE_III" vbProcedure="false">"c10025"</definedName>
    <definedName function="false" hidden="true" name="IQ_PHARMBIO_NUMBER_PROD_PRE_CLINICAL_TRIALS" vbProcedure="false">"c10021"</definedName>
    <definedName function="false" hidden="true" name="IQ_PHARMBIO_NUMBER_PROD_PRE_REGISTRATION" vbProcedure="false">"c10026"</definedName>
    <definedName function="false" hidden="true" name="IQ_PHARMBIO_NUMBER_PROD_RESEARCH_DEV" vbProcedure="false">"c10020"</definedName>
    <definedName function="false" hidden="true" name="IQ_PHARMBIO_NUMBER_PROD__APPROVED_DURING_PERIOD" vbProcedure="false">"c12750"</definedName>
    <definedName function="false" hidden="true" name="IQ_PHARMBIO_NUMBER_PROD__CLINICAL_DEV" vbProcedure="false">"c12745"</definedName>
    <definedName function="false" hidden="true" name="IQ_PHARMBIO_NUMBER_PROD__LAUNCHED_DURING_PERIOD" vbProcedure="false">"c12751"</definedName>
    <definedName function="false" hidden="true" name="IQ_PHARMBIO_NUMBER_PROD__PHASE_I" vbProcedure="false">"c12746"</definedName>
    <definedName function="false" hidden="true" name="IQ_PHARMBIO_NUMBER_PROD__PHASE_II" vbProcedure="false">"c12747"</definedName>
    <definedName function="false" hidden="true" name="IQ_PHARMBIO_NUMBER_PROD__PHASE_III" vbProcedure="false">"c12748"</definedName>
    <definedName function="false" hidden="true" name="IQ_PHARMBIO_NUMBER_PROD__PRE_CLINICAL_TRIALS" vbProcedure="false">"c12744"</definedName>
    <definedName function="false" hidden="true" name="IQ_PHARMBIO_NUMBER_PROD__PRE_REGISTRATION" vbProcedure="false">"c12749"</definedName>
    <definedName function="false" hidden="true" name="IQ_PHARMBIO_NUMBER_PROD__RESEARCH_DEV" vbProcedure="false">"c12743"</definedName>
    <definedName function="false" hidden="true" name="IQ_PHARMBIO_PATENT_APP" vbProcedure="false">"c10016"</definedName>
    <definedName function="false" hidden="true" name="IQ_PHILADELPHIA_FED_DIFFUSION_INDEX" vbProcedure="false">"c6945"</definedName>
    <definedName function="false" hidden="true" name="IQ_PHILADELPHIA_FED_DIFFUSION_INDEX_APR" vbProcedure="false">"c7605"</definedName>
    <definedName function="false" hidden="true" name="IQ_PHILADELPHIA_FED_DIFFUSION_INDEX_APR_FC" vbProcedure="false">"c8485"</definedName>
    <definedName function="false" hidden="true" name="IQ_PHILADELPHIA_FED_DIFFUSION_INDEX_FC" vbProcedure="false">"c7825"</definedName>
    <definedName function="false" hidden="true" name="IQ_PHILADELPHIA_FED_DIFFUSION_INDEX_POP" vbProcedure="false">"c7165"</definedName>
    <definedName function="false" hidden="true" name="IQ_PHILADELPHIA_FED_DIFFUSION_INDEX_POP_FC" vbProcedure="false">"c8045"</definedName>
    <definedName function="false" hidden="true" name="IQ_PHILADELPHIA_FED_DIFFUSION_INDEX_YOY" vbProcedure="false">"c7385"</definedName>
    <definedName function="false" hidden="true" name="IQ_PHILADELPHIA_FED_DIFFUSION_INDEX_YOY_FC" vbProcedure="false">"c8265"</definedName>
    <definedName function="false" hidden="true" name="IQ_PLEDGED_SECURITIES_FDIC" vbProcedure="false">"c6401"</definedName>
    <definedName function="false" hidden="true" name="IQ_PLEDGED_SEC_INVEST_SECURITIES_FFIEC" vbProcedure="false">"c13467"</definedName>
    <definedName function="false" hidden="true" name="IQ_PLL" vbProcedure="false">"c2114"</definedName>
    <definedName function="false" hidden="true" name="IQ_PMAC_DIFFUSION_INDEX" vbProcedure="false">"c6946"</definedName>
    <definedName function="false" hidden="true" name="IQ_PMAC_DIFFUSION_INDEX_APR" vbProcedure="false">"c7606"</definedName>
    <definedName function="false" hidden="true" name="IQ_PMAC_DIFFUSION_INDEX_APR_FC" vbProcedure="false">"c8486"</definedName>
    <definedName function="false" hidden="true" name="IQ_PMAC_DIFFUSION_INDEX_FC" vbProcedure="false">"c7826"</definedName>
    <definedName function="false" hidden="true" name="IQ_PMAC_DIFFUSION_INDEX_POP" vbProcedure="false">"c7166"</definedName>
    <definedName function="false" hidden="true" name="IQ_PMAC_DIFFUSION_INDEX_POP_FC" vbProcedure="false">"c8046"</definedName>
    <definedName function="false" hidden="true" name="IQ_PMAC_DIFFUSION_INDEX_YOY" vbProcedure="false">"c7386"</definedName>
    <definedName function="false" hidden="true" name="IQ_PMAC_DIFFUSION_INDEX_YOY_FC" vbProcedure="false">"c8266"</definedName>
    <definedName function="false" hidden="true" name="IQ_PMT_FREQ" vbProcedure="false">"c2236"</definedName>
    <definedName function="false" hidden="true" name="IQ_POISON_PUT_EFFECT_DATE" vbProcedure="false">"c2486"</definedName>
    <definedName function="false" hidden="true" name="IQ_POISON_PUT_EXPIRATION_DATE" vbProcedure="false">"c2487"</definedName>
    <definedName function="false" hidden="true" name="IQ_POISON_PUT_PRICE" vbProcedure="false">"c2488"</definedName>
    <definedName function="false" hidden="true" name="IQ_POLICYHOLDER_BENEFITS_LH_FFIEC" vbProcedure="false">"c13107"</definedName>
    <definedName function="false" hidden="true" name="IQ_POLICY_BENEFITS" vbProcedure="false">"c1036"</definedName>
    <definedName function="false" hidden="true" name="IQ_POLICY_COST" vbProcedure="false">"c1037"</definedName>
    <definedName function="false" hidden="true" name="IQ_POLICY_LIAB" vbProcedure="false">"c1612"</definedName>
    <definedName function="false" hidden="true" name="IQ_POLICY_LOANS" vbProcedure="false">"c1038"</definedName>
    <definedName function="false" hidden="true" name="IQ_POOL_AMT_ORIGINAL" vbProcedure="false">"c8970"</definedName>
    <definedName function="false" hidden="true" name="IQ_POOL_NAME" vbProcedure="false">"c8967"</definedName>
    <definedName function="false" hidden="true" name="IQ_POOL_NUMBER" vbProcedure="false">"c8968"</definedName>
    <definedName function="false" hidden="true" name="IQ_POOL_TYPE" vbProcedure="false">"c8969"</definedName>
    <definedName function="false" hidden="true" name="IQ_PORTFOLIO_SHARES" vbProcedure="false">"c19116"</definedName>
    <definedName function="false" hidden="true" name="IQ_POSITIVE_FAIR_VALUE_DERIVATIVES_BENEFICIARY_FFIEC" vbProcedure="false">"c13123"</definedName>
    <definedName function="false" hidden="true" name="IQ_POSITIVE_FAIR_VALUE_DERIVATIVES_GUARANTOR_FFIEC" vbProcedure="false">"c13116"</definedName>
    <definedName function="false" hidden="true" name="IQ_POSTAGE_FFIEC" vbProcedure="false">"c13051"</definedName>
    <definedName function="false" hidden="true" name="IQ_POSTPAID_CHURN" vbProcedure="false">"c2121"</definedName>
    <definedName function="false" hidden="true" name="IQ_POSTPAID_SUBS" vbProcedure="false">"c2118"</definedName>
    <definedName function="false" hidden="true" name="IQ_POST_RETIRE_EXP" vbProcedure="false">"c1039"</definedName>
    <definedName function="false" hidden="true" name="IQ_POTENTIAL_UPSIDE" vbProcedure="false">"c1855"</definedName>
    <definedName function="false" hidden="true" name="IQ_POTENTIAL_UPSIDE_CIQ" vbProcedure="false">"c3799"</definedName>
    <definedName function="false" hidden="true" name="IQ_POTENTIAL_UPSIDE_REUT" vbProcedure="false">"c3968"</definedName>
    <definedName function="false" hidden="true" name="IQ_POTENTIAL_UPSIDE_THOM" vbProcedure="false">"c5279"</definedName>
    <definedName function="false" hidden="true" name="IQ_PPI" vbProcedure="false">"c6810"</definedName>
    <definedName function="false" hidden="true" name="IQ_PPI_APR" vbProcedure="false">"c7470"</definedName>
    <definedName function="false" hidden="true" name="IQ_PPI_APR_FC" vbProcedure="false">"c8350"</definedName>
    <definedName function="false" hidden="true" name="IQ_PPI_CORE" vbProcedure="false">"c6840"</definedName>
    <definedName function="false" hidden="true" name="IQ_PPI_CORE_APR" vbProcedure="false">"c7500"</definedName>
    <definedName function="false" hidden="true" name="IQ_PPI_CORE_APR_FC" vbProcedure="false">"c8380"</definedName>
    <definedName function="false" hidden="true" name="IQ_PPI_CORE_FC" vbProcedure="false">"c7720"</definedName>
    <definedName function="false" hidden="true" name="IQ_PPI_CORE_POP" vbProcedure="false">"c7060"</definedName>
    <definedName function="false" hidden="true" name="IQ_PPI_CORE_POP_FC" vbProcedure="false">"c7940"</definedName>
    <definedName function="false" hidden="true" name="IQ_PPI_CORE_YOY" vbProcedure="false">"c7280"</definedName>
    <definedName function="false" hidden="true" name="IQ_PPI_CORE_YOY_FC" vbProcedure="false">"c8160"</definedName>
    <definedName function="false" hidden="true" name="IQ_PPI_FC" vbProcedure="false">"c7690"</definedName>
    <definedName function="false" hidden="true" name="IQ_PPI_POP" vbProcedure="false">"c7030"</definedName>
    <definedName function="false" hidden="true" name="IQ_PPI_POP_FC" vbProcedure="false">"c7910"</definedName>
    <definedName function="false" hidden="true" name="IQ_PPI_YOY" vbProcedure="false">"c7250"</definedName>
    <definedName function="false" hidden="true" name="IQ_PPI_YOY_FC" vbProcedure="false">"c8130"</definedName>
    <definedName function="false" hidden="true" name="IQ_PP_ATTRIB_ORE_RESERVES_ALUM" vbProcedure="false">"c9218"</definedName>
    <definedName function="false" hidden="true" name="IQ_PP_ATTRIB_ORE_RESERVES_COP" vbProcedure="false">"c9162"</definedName>
    <definedName function="false" hidden="true" name="IQ_PP_ATTRIB_ORE_RESERVES_DIAM" vbProcedure="false">"c9642"</definedName>
    <definedName function="false" hidden="true" name="IQ_PP_ATTRIB_ORE_RESERVES_GOLD" vbProcedure="false">"c9003"</definedName>
    <definedName function="false" hidden="true" name="IQ_PP_ATTRIB_ORE_RESERVES_IRON" vbProcedure="false">"c9377"</definedName>
    <definedName function="false" hidden="true" name="IQ_PP_ATTRIB_ORE_RESERVES_LEAD" vbProcedure="false">"c9430"</definedName>
    <definedName function="false" hidden="true" name="IQ_PP_ATTRIB_ORE_RESERVES_MANG" vbProcedure="false">"c9483"</definedName>
    <definedName function="false" hidden="true" name="IQ_PP_ATTRIB_ORE_RESERVES_MOLYB" vbProcedure="false">"c9695"</definedName>
    <definedName function="false" hidden="true" name="IQ_PP_ATTRIB_ORE_RESERVES_NICK" vbProcedure="false">"c9271"</definedName>
    <definedName function="false" hidden="true" name="IQ_PP_ATTRIB_ORE_RESERVES_PLAT" vbProcedure="false">"c9109"</definedName>
    <definedName function="false" hidden="true" name="IQ_PP_ATTRIB_ORE_RESERVES_SILVER" vbProcedure="false">"c9056"</definedName>
    <definedName function="false" hidden="true" name="IQ_PP_ATTRIB_ORE_RESERVES_TITAN" vbProcedure="false">"c9536"</definedName>
    <definedName function="false" hidden="true" name="IQ_PP_ATTRIB_ORE_RESERVES_URAN" vbProcedure="false">"c9589"</definedName>
    <definedName function="false" hidden="true" name="IQ_PP_ATTRIB_ORE_RESERVES_ZINC" vbProcedure="false">"c9324"</definedName>
    <definedName function="false" hidden="true" name="IQ_PP_ORE_RESERVES_ALUM" vbProcedure="false">"c9211"</definedName>
    <definedName function="false" hidden="true" name="IQ_PP_ORE_RESERVES_COP" vbProcedure="false">"c9155"</definedName>
    <definedName function="false" hidden="true" name="IQ_PP_ORE_RESERVES_DIAM" vbProcedure="false">"c9635"</definedName>
    <definedName function="false" hidden="true" name="IQ_PP_ORE_RESERVES_GOLD" vbProcedure="false">"c8996"</definedName>
    <definedName function="false" hidden="true" name="IQ_PP_ORE_RESERVES_IRON" vbProcedure="false">"c9370"</definedName>
    <definedName function="false" hidden="true" name="IQ_PP_ORE_RESERVES_LEAD" vbProcedure="false">"c9423"</definedName>
    <definedName function="false" hidden="true" name="IQ_PP_ORE_RESERVES_MANG" vbProcedure="false">"c9476"</definedName>
    <definedName function="false" hidden="true" name="IQ_PP_ORE_RESERVES_MOLYB" vbProcedure="false">"c9688"</definedName>
    <definedName function="false" hidden="true" name="IQ_PP_ORE_RESERVES_NICK" vbProcedure="false">"c9264"</definedName>
    <definedName function="false" hidden="true" name="IQ_PP_ORE_RESERVES_PLAT" vbProcedure="false">"c9102"</definedName>
    <definedName function="false" hidden="true" name="IQ_PP_ORE_RESERVES_SILVER" vbProcedure="false">"c9049"</definedName>
    <definedName function="false" hidden="true" name="IQ_PP_ORE_RESERVES_TITAN" vbProcedure="false">"c9529"</definedName>
    <definedName function="false" hidden="true" name="IQ_PP_ORE_RESERVES_URAN" vbProcedure="false">"c9582"</definedName>
    <definedName function="false" hidden="true" name="IQ_PP_ORE_RESERVES_ZINC" vbProcedure="false">"c9317"</definedName>
    <definedName function="false" hidden="true" name="IQ_PP_RECOV_ATTRIB_RESERVES_ALUM" vbProcedure="false">"c9221"</definedName>
    <definedName function="false" hidden="true" name="IQ_PP_RECOV_ATTRIB_RESERVES_COAL" vbProcedure="false">"c9805"</definedName>
    <definedName function="false" hidden="true" name="IQ_PP_RECOV_ATTRIB_RESERVES_COP" vbProcedure="false">"c9165"</definedName>
    <definedName function="false" hidden="true" name="IQ_PP_RECOV_ATTRIB_RESERVES_DIAM" vbProcedure="false">"c9645"</definedName>
    <definedName function="false" hidden="true" name="IQ_PP_RECOV_ATTRIB_RESERVES_GOLD" vbProcedure="false">"c9006"</definedName>
    <definedName function="false" hidden="true" name="IQ_PP_RECOV_ATTRIB_RESERVES_IRON" vbProcedure="false">"c9380"</definedName>
    <definedName function="false" hidden="true" name="IQ_PP_RECOV_ATTRIB_RESERVES_LEAD" vbProcedure="false">"c9433"</definedName>
    <definedName function="false" hidden="true" name="IQ_PP_RECOV_ATTRIB_RESERVES_MANG" vbProcedure="false">"c9486"</definedName>
    <definedName function="false" hidden="true" name="IQ_PP_RECOV_ATTRIB_RESERVES_MET_COAL" vbProcedure="false">"c9745"</definedName>
    <definedName function="false" hidden="true" name="IQ_PP_RECOV_ATTRIB_RESERVES_MOLYB" vbProcedure="false">"c9698"</definedName>
    <definedName function="false" hidden="true" name="IQ_PP_RECOV_ATTRIB_RESERVES_NICK" vbProcedure="false">"c9274"</definedName>
    <definedName function="false" hidden="true" name="IQ_PP_RECOV_ATTRIB_RESERVES_PLAT" vbProcedure="false">"c9112"</definedName>
    <definedName function="false" hidden="true" name="IQ_PP_RECOV_ATTRIB_RESERVES_SILVER" vbProcedure="false">"c9059"</definedName>
    <definedName function="false" hidden="true" name="IQ_PP_RECOV_ATTRIB_RESERVES_STEAM" vbProcedure="false">"c9775"</definedName>
    <definedName function="false" hidden="true" name="IQ_PP_RECOV_ATTRIB_RESERVES_TITAN" vbProcedure="false">"c9539"</definedName>
    <definedName function="false" hidden="true" name="IQ_PP_RECOV_ATTRIB_RESERVES_URAN" vbProcedure="false">"c9592"</definedName>
    <definedName function="false" hidden="true" name="IQ_PP_RECOV_ATTRIB_RESERVES_ZINC" vbProcedure="false">"c9327"</definedName>
    <definedName function="false" hidden="true" name="IQ_PP_RECOV_RESERVES_ALUM" vbProcedure="false">"c9215"</definedName>
    <definedName function="false" hidden="true" name="IQ_PP_RECOV_RESERVES_COAL" vbProcedure="false">"c9802"</definedName>
    <definedName function="false" hidden="true" name="IQ_PP_RECOV_RESERVES_COP" vbProcedure="false">"c9159"</definedName>
    <definedName function="false" hidden="true" name="IQ_PP_RECOV_RESERVES_DIAM" vbProcedure="false">"c9639"</definedName>
    <definedName function="false" hidden="true" name="IQ_PP_RECOV_RESERVES_GOLD" vbProcedure="false">"c9000"</definedName>
    <definedName function="false" hidden="true" name="IQ_PP_RECOV_RESERVES_IRON" vbProcedure="false">"c9374"</definedName>
    <definedName function="false" hidden="true" name="IQ_PP_RECOV_RESERVES_LEAD" vbProcedure="false">"c9427"</definedName>
    <definedName function="false" hidden="true" name="IQ_PP_RECOV_RESERVES_MANG" vbProcedure="false">"c9480"</definedName>
    <definedName function="false" hidden="true" name="IQ_PP_RECOV_RESERVES_MET_COAL" vbProcedure="false">"c9742"</definedName>
    <definedName function="false" hidden="true" name="IQ_PP_RECOV_RESERVES_MOLYB" vbProcedure="false">"c9692"</definedName>
    <definedName function="false" hidden="true" name="IQ_PP_RECOV_RESERVES_NICK" vbProcedure="false">"c9268"</definedName>
    <definedName function="false" hidden="true" name="IQ_PP_RECOV_RESERVES_PLAT" vbProcedure="false">"c9106"</definedName>
    <definedName function="false" hidden="true" name="IQ_PP_RECOV_RESERVES_SILVER" vbProcedure="false">"c9053"</definedName>
    <definedName function="false" hidden="true" name="IQ_PP_RECOV_RESERVES_STEAM" vbProcedure="false">"c9772"</definedName>
    <definedName function="false" hidden="true" name="IQ_PP_RECOV_RESERVES_TITAN" vbProcedure="false">"c9533"</definedName>
    <definedName function="false" hidden="true" name="IQ_PP_RECOV_RESERVES_URAN" vbProcedure="false">"c9586"</definedName>
    <definedName function="false" hidden="true" name="IQ_PP_RECOV_RESERVES_ZINC" vbProcedure="false">"c9321"</definedName>
    <definedName function="false" hidden="true" name="IQ_PP_RESERVES_CALORIFIC_VALUE_COAL" vbProcedure="false">"c9799"</definedName>
    <definedName function="false" hidden="true" name="IQ_PP_RESERVES_CALORIFIC_VALUE_MET_COAL" vbProcedure="false">"c9739"</definedName>
    <definedName function="false" hidden="true" name="IQ_PP_RESERVES_CALORIFIC_VALUE_STEAM" vbProcedure="false">"c9769"</definedName>
    <definedName function="false" hidden="true" name="IQ_PP_RESERVES_GRADE_ALUM" vbProcedure="false">"c9212"</definedName>
    <definedName function="false" hidden="true" name="IQ_PP_RESERVES_GRADE_COP" vbProcedure="false">"c9156"</definedName>
    <definedName function="false" hidden="true" name="IQ_PP_RESERVES_GRADE_DIAM" vbProcedure="false">"c9636"</definedName>
    <definedName function="false" hidden="true" name="IQ_PP_RESERVES_GRADE_GOLD" vbProcedure="false">"c8997"</definedName>
    <definedName function="false" hidden="true" name="IQ_PP_RESERVES_GRADE_IRON" vbProcedure="false">"c9371"</definedName>
    <definedName function="false" hidden="true" name="IQ_PP_RESERVES_GRADE_LEAD" vbProcedure="false">"c9424"</definedName>
    <definedName function="false" hidden="true" name="IQ_PP_RESERVES_GRADE_MANG" vbProcedure="false">"c9477"</definedName>
    <definedName function="false" hidden="true" name="IQ_PP_RESERVES_GRADE_MOLYB" vbProcedure="false">"c9689"</definedName>
    <definedName function="false" hidden="true" name="IQ_PP_RESERVES_GRADE_NICK" vbProcedure="false">"c9265"</definedName>
    <definedName function="false" hidden="true" name="IQ_PP_RESERVES_GRADE_PLAT" vbProcedure="false">"c9103"</definedName>
    <definedName function="false" hidden="true" name="IQ_PP_RESERVES_GRADE_SILVER" vbProcedure="false">"c9050"</definedName>
    <definedName function="false" hidden="true" name="IQ_PP_RESERVES_GRADE_TITAN" vbProcedure="false">"c9530"</definedName>
    <definedName function="false" hidden="true" name="IQ_PP_RESERVES_GRADE_URAN" vbProcedure="false">"c9583"</definedName>
    <definedName function="false" hidden="true" name="IQ_PP_RESERVES_GRADE_ZINC" vbProcedure="false">"c9318"</definedName>
    <definedName function="false" hidden="true" name="IQ_PREFERRED_DEPOSITS_FFIEC" vbProcedure="false">"c15312"</definedName>
    <definedName function="false" hidden="true" name="IQ_PREFERRED_FDIC" vbProcedure="false">"c6349"</definedName>
    <definedName function="false" hidden="true" name="IQ_PREFERRED_LIST" vbProcedure="false">"c13506"</definedName>
    <definedName function="false" hidden="true" name="IQ_PREF_CONVERT" vbProcedure="false">"c1041"</definedName>
    <definedName function="false" hidden="true" name="IQ_PREF_DIVID" vbProcedure="false">"c1461"</definedName>
    <definedName function="false" hidden="true" name="IQ_PREF_DIV_CF" vbProcedure="false">"c1042"</definedName>
    <definedName function="false" hidden="true" name="IQ_PREF_DIV_OTHER" vbProcedure="false">"c1043"</definedName>
    <definedName function="false" hidden="true" name="IQ_PREF_EQUITY" vbProcedure="false">"c1044"</definedName>
    <definedName function="false" hidden="true" name="IQ_PREF_ISSUED" vbProcedure="false">"c1045"</definedName>
    <definedName function="false" hidden="true" name="IQ_PREF_ISSUED_BNK" vbProcedure="false">"c1046"</definedName>
    <definedName function="false" hidden="true" name="IQ_PREF_ISSUED_BR" vbProcedure="false">"c1047"</definedName>
    <definedName function="false" hidden="true" name="IQ_PREF_ISSUED_FIN" vbProcedure="false">"c1048"</definedName>
    <definedName function="false" hidden="true" name="IQ_PREF_ISSUED_INS" vbProcedure="false">"c1049"</definedName>
    <definedName function="false" hidden="true" name="IQ_PREF_ISSUED_RE" vbProcedure="false">"c6261"</definedName>
    <definedName function="false" hidden="true" name="IQ_PREF_ISSUED_REIT" vbProcedure="false">"c1050"</definedName>
    <definedName function="false" hidden="true" name="IQ_PREF_ISSUED_UTI" vbProcedure="false">"c1051"</definedName>
    <definedName function="false" hidden="true" name="IQ_PREF_NON_REDEEM" vbProcedure="false">"c1052"</definedName>
    <definedName function="false" hidden="true" name="IQ_PREF_OTHER" vbProcedure="false">"c1053"</definedName>
    <definedName function="false" hidden="true" name="IQ_PREF_OTHER_BNK" vbProcedure="false">"c1054"</definedName>
    <definedName function="false" hidden="true" name="IQ_PREF_OTHER_BR" vbProcedure="false">"c1055"</definedName>
    <definedName function="false" hidden="true" name="IQ_PREF_OTHER_FIN" vbProcedure="false">"c1056"</definedName>
    <definedName function="false" hidden="true" name="IQ_PREF_OTHER_INS" vbProcedure="false">"c1057"</definedName>
    <definedName function="false" hidden="true" name="IQ_PREF_OTHER_RE" vbProcedure="false">"c6262"</definedName>
    <definedName function="false" hidden="true" name="IQ_PREF_OTHER_REIT" vbProcedure="false">"c1058"</definedName>
    <definedName function="false" hidden="true" name="IQ_PREF_OTHER_UTI" vbProcedure="false">"c6022"</definedName>
    <definedName function="false" hidden="true" name="IQ_PREF_REDEEM" vbProcedure="false">"c1059"</definedName>
    <definedName function="false" hidden="true" name="IQ_PREF_REP" vbProcedure="false">"c1060"</definedName>
    <definedName function="false" hidden="true" name="IQ_PREF_REP_BNK" vbProcedure="false">"c1061"</definedName>
    <definedName function="false" hidden="true" name="IQ_PREF_REP_BR" vbProcedure="false">"c1062"</definedName>
    <definedName function="false" hidden="true" name="IQ_PREF_REP_FIN" vbProcedure="false">"c1063"</definedName>
    <definedName function="false" hidden="true" name="IQ_PREF_REP_INS" vbProcedure="false">"c1064"</definedName>
    <definedName function="false" hidden="true" name="IQ_PREF_REP_RE" vbProcedure="false">"c6263"</definedName>
    <definedName function="false" hidden="true" name="IQ_PREF_REP_REIT" vbProcedure="false">"c1065"</definedName>
    <definedName function="false" hidden="true" name="IQ_PREF_REP_UTI" vbProcedure="false">"c1066"</definedName>
    <definedName function="false" hidden="true" name="IQ_PREF_STOCK" vbProcedure="false">"c1416"</definedName>
    <definedName function="false" hidden="true" name="IQ_PREF_STOCK_FFIEC" vbProcedure="false">"c12875"</definedName>
    <definedName function="false" hidden="true" name="IQ_PREF_TOT" vbProcedure="false">"c1415"</definedName>
    <definedName function="false" hidden="true" name="IQ_PREMISES_EQUIPMENT_FDIC" vbProcedure="false">"c6577"</definedName>
    <definedName function="false" hidden="true" name="IQ_PREMISES_FIXED_ASSETS_CAP_LEASES_FFIEC" vbProcedure="false">"c12830"</definedName>
    <definedName function="false" hidden="true" name="IQ_PREMIUMS_ANNUITY_REV" vbProcedure="false">"c1067"</definedName>
    <definedName function="false" hidden="true" name="IQ_PREMIUM_INSURANCE_CREDIT_FFIEC" vbProcedure="false">"c13070"</definedName>
    <definedName function="false" hidden="true" name="IQ_PREPAID_CHURN" vbProcedure="false">"c2120"</definedName>
    <definedName function="false" hidden="true" name="IQ_PREPAID_EXP" vbProcedure="false">"c1068"</definedName>
    <definedName function="false" hidden="true" name="IQ_PREPAID_EXPEN" vbProcedure="false">"c1418"</definedName>
    <definedName function="false" hidden="true" name="IQ_PREPAID_SUBS" vbProcedure="false">"c2117"</definedName>
    <definedName function="false" hidden="true" name="IQ_PRESIDENT_ID" vbProcedure="false">"c15216"</definedName>
    <definedName function="false" hidden="true" name="IQ_PRESIDENT_NAME" vbProcedure="false">"c15215"</definedName>
    <definedName function="false" hidden="true" name="IQ_PRETAX_GW_INC_DET_EST_CIQ" vbProcedure="false">"c12116"</definedName>
    <definedName function="false" hidden="true" name="IQ_PRETAX_GW_INC_DET_EST_CURRENCY_CIQ" vbProcedure="false">"c12507"</definedName>
    <definedName function="false" hidden="true" name="IQ_PRETAX_GW_INC_DET_EST_DATE_CIQ" vbProcedure="false">"c12262"</definedName>
    <definedName function="false" hidden="true" name="IQ_PRETAX_GW_INC_DET_EST_INCL_CIQ" vbProcedure="false">"c12390"</definedName>
    <definedName function="false" hidden="true" name="IQ_PRETAX_GW_INC_DET_EST_NOTE" vbProcedure="false">"c17536"</definedName>
    <definedName function="false" hidden="true" name="IQ_PRETAX_GW_INC_DET_EST_NOTE_CIQ" vbProcedure="false">"c17489"</definedName>
    <definedName function="false" hidden="true" name="IQ_PRETAX_GW_INC_DET_EST_ORIGIN_CIQ" vbProcedure="false">"c12631"</definedName>
    <definedName function="false" hidden="true" name="IQ_PRETAX_GW_INC_EST" vbProcedure="false">"c1702"</definedName>
    <definedName function="false" hidden="true" name="IQ_PRETAX_GW_INC_EST_CIQ" vbProcedure="false">"c4688"</definedName>
    <definedName function="false" hidden="true" name="IQ_PRETAX_GW_INC_EST_DOWN_2MONTH" vbProcedure="false">"c16417"</definedName>
    <definedName function="false" hidden="true" name="IQ_PRETAX_GW_INC_EST_DOWN_2MONTH_CIQ" vbProcedure="false">"c16705"</definedName>
    <definedName function="false" hidden="true" name="IQ_PRETAX_GW_INC_EST_DOWN_3MONTH" vbProcedure="false">"c16421"</definedName>
    <definedName function="false" hidden="true" name="IQ_PRETAX_GW_INC_EST_DOWN_3MONTH_CIQ" vbProcedure="false">"c16709"</definedName>
    <definedName function="false" hidden="true" name="IQ_PRETAX_GW_INC_EST_DOWN_MONTH" vbProcedure="false">"c16413"</definedName>
    <definedName function="false" hidden="true" name="IQ_PRETAX_GW_INC_EST_DOWN_MONTH_CIQ" vbProcedure="false">"c16701"</definedName>
    <definedName function="false" hidden="true" name="IQ_PRETAX_GW_INC_EST_NOTE" vbProcedure="false">"c17513"</definedName>
    <definedName function="false" hidden="true" name="IQ_PRETAX_GW_INC_EST_NOTE_CIQ" vbProcedure="false">"c17466"</definedName>
    <definedName function="false" hidden="true" name="IQ_PRETAX_GW_INC_EST_NUM_ANALYSTS_2MONTH" vbProcedure="false">"c16415"</definedName>
    <definedName function="false" hidden="true" name="IQ_PRETAX_GW_INC_EST_NUM_ANALYSTS_2MONTH_CIQ" vbProcedure="false">"c16703"</definedName>
    <definedName function="false" hidden="true" name="IQ_PRETAX_GW_INC_EST_NUM_ANALYSTS_3MONTH" vbProcedure="false">"c16419"</definedName>
    <definedName function="false" hidden="true" name="IQ_PRETAX_GW_INC_EST_NUM_ANALYSTS_3MONTH_CIQ" vbProcedure="false">"c16707"</definedName>
    <definedName function="false" hidden="true" name="IQ_PRETAX_GW_INC_EST_NUM_ANALYSTS_MONTH" vbProcedure="false">"c16411"</definedName>
    <definedName function="false" hidden="true" name="IQ_PRETAX_GW_INC_EST_NUM_ANALYSTS_MONTH_CIQ" vbProcedure="false">"c16699"</definedName>
    <definedName function="false" hidden="true" name="IQ_PRETAX_GW_INC_EST_REUT" vbProcedure="false">"c5354"</definedName>
    <definedName function="false" hidden="true" name="IQ_PRETAX_GW_INC_EST_TOTAL_REVISED_2MONTH" vbProcedure="false">"c16418"</definedName>
    <definedName function="false" hidden="true" name="IQ_PRETAX_GW_INC_EST_TOTAL_REVISED_2MONTH_CIQ" vbProcedure="false">"c16706"</definedName>
    <definedName function="false" hidden="true" name="IQ_PRETAX_GW_INC_EST_TOTAL_REVISED_3MONTH" vbProcedure="false">"c16422"</definedName>
    <definedName function="false" hidden="true" name="IQ_PRETAX_GW_INC_EST_TOTAL_REVISED_3MONTH_CIQ" vbProcedure="false">"c16710"</definedName>
    <definedName function="false" hidden="true" name="IQ_PRETAX_GW_INC_EST_TOTAL_REVISED_MONTH" vbProcedure="false">"c16414"</definedName>
    <definedName function="false" hidden="true" name="IQ_PRETAX_GW_INC_EST_TOTAL_REVISED_MONTH_CIQ" vbProcedure="false">"c16702"</definedName>
    <definedName function="false" hidden="true" name="IQ_PRETAX_GW_INC_EST_UP_2MONTH" vbProcedure="false">"c16416"</definedName>
    <definedName function="false" hidden="true" name="IQ_PRETAX_GW_INC_EST_UP_2MONTH_CIQ" vbProcedure="false">"c16704"</definedName>
    <definedName function="false" hidden="true" name="IQ_PRETAX_GW_INC_EST_UP_3MONTH" vbProcedure="false">"c16420"</definedName>
    <definedName function="false" hidden="true" name="IQ_PRETAX_GW_INC_EST_UP_3MONTH_CIQ" vbProcedure="false">"c16708"</definedName>
    <definedName function="false" hidden="true" name="IQ_PRETAX_GW_INC_EST_UP_MONTH" vbProcedure="false">"c16412"</definedName>
    <definedName function="false" hidden="true" name="IQ_PRETAX_GW_INC_EST_UP_MONTH_CIQ" vbProcedure="false">"c16700"</definedName>
    <definedName function="false" hidden="true" name="IQ_PRETAX_GW_INC_HIGH_EST" vbProcedure="false">"c1704"</definedName>
    <definedName function="false" hidden="true" name="IQ_PRETAX_GW_INC_HIGH_EST_CIQ" vbProcedure="false">"c4690"</definedName>
    <definedName function="false" hidden="true" name="IQ_PRETAX_GW_INC_HIGH_EST_REUT" vbProcedure="false">"c5356"</definedName>
    <definedName function="false" hidden="true" name="IQ_PRETAX_GW_INC_LOW_EST" vbProcedure="false">"c1705"</definedName>
    <definedName function="false" hidden="true" name="IQ_PRETAX_GW_INC_LOW_EST_CIQ" vbProcedure="false">"c4691"</definedName>
    <definedName function="false" hidden="true" name="IQ_PRETAX_GW_INC_LOW_EST_REUT" vbProcedure="false">"c5357"</definedName>
    <definedName function="false" hidden="true" name="IQ_PRETAX_GW_INC_MEDIAN_EST" vbProcedure="false">"c1703"</definedName>
    <definedName function="false" hidden="true" name="IQ_PRETAX_GW_INC_MEDIAN_EST_CIQ" vbProcedure="false">"c4689"</definedName>
    <definedName function="false" hidden="true" name="IQ_PRETAX_GW_INC_MEDIAN_EST_REUT" vbProcedure="false">"c5355"</definedName>
    <definedName function="false" hidden="true" name="IQ_PRETAX_GW_INC_NUM_EST" vbProcedure="false">"c1706"</definedName>
    <definedName function="false" hidden="true" name="IQ_PRETAX_GW_INC_NUM_EST_CIQ" vbProcedure="false">"c4692"</definedName>
    <definedName function="false" hidden="true" name="IQ_PRETAX_GW_INC_NUM_EST_REUT" vbProcedure="false">"c5358"</definedName>
    <definedName function="false" hidden="true" name="IQ_PRETAX_GW_INC_STDDEV_EST" vbProcedure="false">"c1707"</definedName>
    <definedName function="false" hidden="true" name="IQ_PRETAX_GW_INC_STDDEV_EST_CIQ" vbProcedure="false">"c4693"</definedName>
    <definedName function="false" hidden="true" name="IQ_PRETAX_GW_INC_STDDEV_EST_REUT" vbProcedure="false">"c5359"</definedName>
    <definedName function="false" hidden="true" name="IQ_PRETAX_INC" vbProcedure="false">"IQ_PRETAX_INC"</definedName>
    <definedName function="false" hidden="true" name="IQ_PRETAX_INC_10K" vbProcedure="false">"IQ_PRETAX_INC_10K"</definedName>
    <definedName function="false" hidden="true" name="IQ_PRETAX_INC_10Q" vbProcedure="false">"IQ_PRETAX_INC_10Q"</definedName>
    <definedName function="false" hidden="true" name="IQ_PRETAX_INC_10Q1" vbProcedure="false">"IQ_PRETAX_INC_10Q1"</definedName>
    <definedName function="false" hidden="true" name="IQ_PRETAX_INC_AFTER_CAP_ALLOCATION_FOREIGN_FFIEC" vbProcedure="false">"c15390"</definedName>
    <definedName function="false" hidden="true" name="IQ_PRETAX_INC_BEFORE_CAP_ALLOCATION_FOREIGN_FFIEC" vbProcedure="false">"c15388"</definedName>
    <definedName function="false" hidden="true" name="IQ_PRETAX_INC_DET_EST" vbProcedure="false">"c12055"</definedName>
    <definedName function="false" hidden="true" name="IQ_PRETAX_INC_DET_EST_CIQ" vbProcedure="false">"c12115"</definedName>
    <definedName function="false" hidden="true" name="IQ_PRETAX_INC_DET_EST_CURRENCY" vbProcedure="false">"c12462"</definedName>
    <definedName function="false" hidden="true" name="IQ_PRETAX_INC_DET_EST_CURRENCY_CIQ" vbProcedure="false">"c12506"</definedName>
    <definedName function="false" hidden="true" name="IQ_PRETAX_INC_DET_EST_CURRENCY_THOM" vbProcedure="false">"c12483"</definedName>
    <definedName function="false" hidden="true" name="IQ_PRETAX_INC_DET_EST_DATE" vbProcedure="false">"c12208"</definedName>
    <definedName function="false" hidden="true" name="IQ_PRETAX_INC_DET_EST_DATE_CIQ" vbProcedure="false">"c12261"</definedName>
    <definedName function="false" hidden="true" name="IQ_PRETAX_INC_DET_EST_DATE_THOM" vbProcedure="false">"c12234"</definedName>
    <definedName function="false" hidden="true" name="IQ_PRETAX_INC_DET_EST_INCL" vbProcedure="false">"c12345"</definedName>
    <definedName function="false" hidden="true" name="IQ_PRETAX_INC_DET_EST_INCL_CIQ" vbProcedure="false">"c12389"</definedName>
    <definedName function="false" hidden="true" name="IQ_PRETAX_INC_DET_EST_INCL_THOM" vbProcedure="false">"c12366"</definedName>
    <definedName function="false" hidden="true" name="IQ_PRETAX_INC_DET_EST_NOTE" vbProcedure="false">"c17534"</definedName>
    <definedName function="false" hidden="true" name="IQ_PRETAX_INC_DET_EST_NOTE_CIQ" vbProcedure="false">"c17487"</definedName>
    <definedName function="false" hidden="true" name="IQ_PRETAX_INC_DET_EST_ORIGIN" vbProcedure="false">"c12771"</definedName>
    <definedName function="false" hidden="true" name="IQ_PRETAX_INC_DET_EST_ORIGIN_CIQ" vbProcedure="false">"c12630"</definedName>
    <definedName function="false" hidden="true" name="IQ_PRETAX_INC_DET_EST_ORIGIN_THOM" vbProcedure="false">"c12604"</definedName>
    <definedName function="false" hidden="true" name="IQ_PRETAX_INC_DET_EST_THOM" vbProcedure="false">"c12084"</definedName>
    <definedName function="false" hidden="true" name="IQ_PRETAX_INC_EST" vbProcedure="false">"c1695"</definedName>
    <definedName function="false" hidden="true" name="IQ_PRETAX_INC_EST_CIQ" vbProcedure="false">"c4681"</definedName>
    <definedName function="false" hidden="true" name="IQ_PRETAX_INC_EST_DOWN_2MONTH" vbProcedure="false">"c16393"</definedName>
    <definedName function="false" hidden="true" name="IQ_PRETAX_INC_EST_DOWN_2MONTH_CIQ" vbProcedure="false">"c16681"</definedName>
    <definedName function="false" hidden="true" name="IQ_PRETAX_INC_EST_DOWN_3MONTH" vbProcedure="false">"c16397"</definedName>
    <definedName function="false" hidden="true" name="IQ_PRETAX_INC_EST_DOWN_3MONTH_CIQ" vbProcedure="false">"c16685"</definedName>
    <definedName function="false" hidden="true" name="IQ_PRETAX_INC_EST_DOWN_MONTH" vbProcedure="false">"c16389"</definedName>
    <definedName function="false" hidden="true" name="IQ_PRETAX_INC_EST_DOWN_MONTH_CIQ" vbProcedure="false">"c16677"</definedName>
    <definedName function="false" hidden="true" name="IQ_PRETAX_INC_EST_NOTE" vbProcedure="false">"c17511"</definedName>
    <definedName function="false" hidden="true" name="IQ_PRETAX_INC_EST_NOTE_CIQ" vbProcedure="false">"c17464"</definedName>
    <definedName function="false" hidden="true" name="IQ_PRETAX_INC_EST_NUM_ANALYSTS_2MONTH" vbProcedure="false">"c16391"</definedName>
    <definedName function="false" hidden="true" name="IQ_PRETAX_INC_EST_NUM_ANALYSTS_2MONTH_CIQ" vbProcedure="false">"c16679"</definedName>
    <definedName function="false" hidden="true" name="IQ_PRETAX_INC_EST_NUM_ANALYSTS_3MONTH" vbProcedure="false">"c16395"</definedName>
    <definedName function="false" hidden="true" name="IQ_PRETAX_INC_EST_NUM_ANALYSTS_3MONTH_CIQ" vbProcedure="false">"c16683"</definedName>
    <definedName function="false" hidden="true" name="IQ_PRETAX_INC_EST_NUM_ANALYSTS_MONTH" vbProcedure="false">"c16387"</definedName>
    <definedName function="false" hidden="true" name="IQ_PRETAX_INC_EST_NUM_ANALYSTS_MONTH_CIQ" vbProcedure="false">"c16675"</definedName>
    <definedName function="false" hidden="true" name="IQ_PRETAX_INC_EST_REUT" vbProcedure="false">"c5347"</definedName>
    <definedName function="false" hidden="true" name="IQ_PRETAX_INC_EST_THOM" vbProcedure="false">"c5119"</definedName>
    <definedName function="false" hidden="true" name="IQ_PRETAX_INC_EST_TOTAL_REVISED_2MONTH" vbProcedure="false">"c16394"</definedName>
    <definedName function="false" hidden="true" name="IQ_PRETAX_INC_EST_TOTAL_REVISED_2MONTH_CIQ" vbProcedure="false">"c16682"</definedName>
    <definedName function="false" hidden="true" name="IQ_PRETAX_INC_EST_TOTAL_REVISED_3MONTH" vbProcedure="false">"c16398"</definedName>
    <definedName function="false" hidden="true" name="IQ_PRETAX_INC_EST_TOTAL_REVISED_3MONTH_CIQ" vbProcedure="false">"c16686"</definedName>
    <definedName function="false" hidden="true" name="IQ_PRETAX_INC_EST_TOTAL_REVISED_MONTH" vbProcedure="false">"c16390"</definedName>
    <definedName function="false" hidden="true" name="IQ_PRETAX_INC_EST_TOTAL_REVISED_MONTH_CIQ" vbProcedure="false">"c16678"</definedName>
    <definedName function="false" hidden="true" name="IQ_PRETAX_INC_EST_UP_2MONTH" vbProcedure="false">"c16392"</definedName>
    <definedName function="false" hidden="true" name="IQ_PRETAX_INC_EST_UP_2MONTH_CIQ" vbProcedure="false">"c16680"</definedName>
    <definedName function="false" hidden="true" name="IQ_PRETAX_INC_EST_UP_3MONTH" vbProcedure="false">"c16396"</definedName>
    <definedName function="false" hidden="true" name="IQ_PRETAX_INC_EST_UP_3MONTH_CIQ" vbProcedure="false">"c16684"</definedName>
    <definedName function="false" hidden="true" name="IQ_PRETAX_INC_EST_UP_MONTH" vbProcedure="false">"c16388"</definedName>
    <definedName function="false" hidden="true" name="IQ_PRETAX_INC_EST_UP_MONTH_CIQ" vbProcedure="false">"c16676"</definedName>
    <definedName function="false" hidden="true" name="IQ_PRETAX_INC_HIGH_EST" vbProcedure="false">"c1697"</definedName>
    <definedName function="false" hidden="true" name="IQ_PRETAX_INC_HIGH_EST_CIQ" vbProcedure="false">"c4683"</definedName>
    <definedName function="false" hidden="true" name="IQ_PRETAX_INC_HIGH_EST_REUT" vbProcedure="false">"c5349"</definedName>
    <definedName function="false" hidden="true" name="IQ_PRETAX_INC_HIGH_EST_THOM" vbProcedure="false">"c5121"</definedName>
    <definedName function="false" hidden="true" name="IQ_PRETAX_INC_LOW_EST" vbProcedure="false">"c1698"</definedName>
    <definedName function="false" hidden="true" name="IQ_PRETAX_INC_LOW_EST_CIQ" vbProcedure="false">"c4684"</definedName>
    <definedName function="false" hidden="true" name="IQ_PRETAX_INC_LOW_EST_REUT" vbProcedure="false">"c5350"</definedName>
    <definedName function="false" hidden="true" name="IQ_PRETAX_INC_LOW_EST_THOM" vbProcedure="false">"c5122"</definedName>
    <definedName function="false" hidden="true" name="IQ_PRETAX_INC_MEDIAN_EST" vbProcedure="false">"c1696"</definedName>
    <definedName function="false" hidden="true" name="IQ_PRETAX_INC_MEDIAN_EST_CIQ" vbProcedure="false">"c4682"</definedName>
    <definedName function="false" hidden="true" name="IQ_PRETAX_INC_MEDIAN_EST_REUT" vbProcedure="false">"c5348"</definedName>
    <definedName function="false" hidden="true" name="IQ_PRETAX_INC_MEDIAN_EST_THOM" vbProcedure="false">"c5120"</definedName>
    <definedName function="false" hidden="true" name="IQ_PRETAX_INC_NUM_EST" vbProcedure="false">"c1699"</definedName>
    <definedName function="false" hidden="true" name="IQ_PRETAX_INC_NUM_EST_CIQ" vbProcedure="false">"c4685"</definedName>
    <definedName function="false" hidden="true" name="IQ_PRETAX_INC_NUM_EST_REUT" vbProcedure="false">"c5351"</definedName>
    <definedName function="false" hidden="true" name="IQ_PRETAX_INC_NUM_EST_THOM" vbProcedure="false">"c5123"</definedName>
    <definedName function="false" hidden="true" name="IQ_PRETAX_INC_STDDEV_EST" vbProcedure="false">"c1700"</definedName>
    <definedName function="false" hidden="true" name="IQ_PRETAX_INC_STDDEV_EST_CIQ" vbProcedure="false">"c4686"</definedName>
    <definedName function="false" hidden="true" name="IQ_PRETAX_INC_STDDEV_EST_REUT" vbProcedure="false">"c5352"</definedName>
    <definedName function="false" hidden="true" name="IQ_PRETAX_INC_STDDEV_EST_THOM" vbProcedure="false">"c5124"</definedName>
    <definedName function="false" hidden="true" name="IQ_PRETAX_OPERATING_INC_AVG_ASSETS_FFIEC" vbProcedure="false">"c13365"</definedName>
    <definedName function="false" hidden="true" name="IQ_PRETAX_REPORT_INC_DET_EST_CIQ" vbProcedure="false">"c12117"</definedName>
    <definedName function="false" hidden="true" name="IQ_PRETAX_REPORT_INC_DET_EST_CURRENCY_CIQ" vbProcedure="false">"c12508"</definedName>
    <definedName function="false" hidden="true" name="IQ_PRETAX_REPORT_INC_DET_EST_DATE_CIQ" vbProcedure="false">"c12263"</definedName>
    <definedName function="false" hidden="true" name="IQ_PRETAX_REPORT_INC_DET_EST_INCL_CIQ" vbProcedure="false">"c12391"</definedName>
    <definedName function="false" hidden="true" name="IQ_PRETAX_REPORT_INC_DET_EST_NOTE" vbProcedure="false">"c17535"</definedName>
    <definedName function="false" hidden="true" name="IQ_PRETAX_REPORT_INC_DET_EST_NOTE_CIQ" vbProcedure="false">"c17488"</definedName>
    <definedName function="false" hidden="true" name="IQ_PRETAX_REPORT_INC_DET_EST_ORIGIN_CIQ" vbProcedure="false">"c12719"</definedName>
    <definedName function="false" hidden="true" name="IQ_PRETAX_REPORT_INC_EST" vbProcedure="false">"c1709"</definedName>
    <definedName function="false" hidden="true" name="IQ_PRETAX_REPORT_INC_EST_CIQ" vbProcedure="false">"c4695"</definedName>
    <definedName function="false" hidden="true" name="IQ_PRETAX_REPORT_INC_EST_DOWN_2MONTH" vbProcedure="false">"c16405"</definedName>
    <definedName function="false" hidden="true" name="IQ_PRETAX_REPORT_INC_EST_DOWN_2MONTH_CIQ" vbProcedure="false">"c16693"</definedName>
    <definedName function="false" hidden="true" name="IQ_PRETAX_REPORT_INC_EST_DOWN_3MONTH" vbProcedure="false">"c16409"</definedName>
    <definedName function="false" hidden="true" name="IQ_PRETAX_REPORT_INC_EST_DOWN_3MONTH_CIQ" vbProcedure="false">"c16697"</definedName>
    <definedName function="false" hidden="true" name="IQ_PRETAX_REPORT_INC_EST_DOWN_MONTH" vbProcedure="false">"c16401"</definedName>
    <definedName function="false" hidden="true" name="IQ_PRETAX_REPORT_INC_EST_DOWN_MONTH_CIQ" vbProcedure="false">"c16689"</definedName>
    <definedName function="false" hidden="true" name="IQ_PRETAX_REPORT_INC_EST_NOTE" vbProcedure="false">"c17512"</definedName>
    <definedName function="false" hidden="true" name="IQ_PRETAX_REPORT_INC_EST_NOTE_CIQ" vbProcedure="false">"c17465"</definedName>
    <definedName function="false" hidden="true" name="IQ_PRETAX_REPORT_INC_EST_NUM_ANALYSTS_2MONTH" vbProcedure="false">"c16403"</definedName>
    <definedName function="false" hidden="true" name="IQ_PRETAX_REPORT_INC_EST_NUM_ANALYSTS_2MONTH_CIQ" vbProcedure="false">"c16691"</definedName>
    <definedName function="false" hidden="true" name="IQ_PRETAX_REPORT_INC_EST_NUM_ANALYSTS_3MONTH" vbProcedure="false">"c16407"</definedName>
    <definedName function="false" hidden="true" name="IQ_PRETAX_REPORT_INC_EST_NUM_ANALYSTS_3MONTH_CIQ" vbProcedure="false">"c16695"</definedName>
    <definedName function="false" hidden="true" name="IQ_PRETAX_REPORT_INC_EST_NUM_ANALYSTS_MONTH" vbProcedure="false">"c16399"</definedName>
    <definedName function="false" hidden="true" name="IQ_PRETAX_REPORT_INC_EST_NUM_ANALYSTS_MONTH_CIQ" vbProcedure="false">"c16687"</definedName>
    <definedName function="false" hidden="true" name="IQ_PRETAX_REPORT_INC_EST_REUT" vbProcedure="false">"c5361"</definedName>
    <definedName function="false" hidden="true" name="IQ_PRETAX_REPORT_INC_EST_TOTAL_REVISED_2MONTH" vbProcedure="false">"c16406"</definedName>
    <definedName function="false" hidden="true" name="IQ_PRETAX_REPORT_INC_EST_TOTAL_REVISED_2MONTH_CIQ" vbProcedure="false">"c16694"</definedName>
    <definedName function="false" hidden="true" name="IQ_PRETAX_REPORT_INC_EST_TOTAL_REVISED_3MONTH" vbProcedure="false">"c16410"</definedName>
    <definedName function="false" hidden="true" name="IQ_PRETAX_REPORT_INC_EST_TOTAL_REVISED_3MONTH_CIQ" vbProcedure="false">"c16698"</definedName>
    <definedName function="false" hidden="true" name="IQ_PRETAX_REPORT_INC_EST_TOTAL_REVISED_MONTH" vbProcedure="false">"c16402"</definedName>
    <definedName function="false" hidden="true" name="IQ_PRETAX_REPORT_INC_EST_TOTAL_REVISED_MONTH_CIQ" vbProcedure="false">"c16690"</definedName>
    <definedName function="false" hidden="true" name="IQ_PRETAX_REPORT_INC_EST_UP_2MONTH" vbProcedure="false">"c16404"</definedName>
    <definedName function="false" hidden="true" name="IQ_PRETAX_REPORT_INC_EST_UP_2MONTH_CIQ" vbProcedure="false">"c16692"</definedName>
    <definedName function="false" hidden="true" name="IQ_PRETAX_REPORT_INC_EST_UP_3MONTH" vbProcedure="false">"c16408"</definedName>
    <definedName function="false" hidden="true" name="IQ_PRETAX_REPORT_INC_EST_UP_3MONTH_CIQ" vbProcedure="false">"c16696"</definedName>
    <definedName function="false" hidden="true" name="IQ_PRETAX_REPORT_INC_EST_UP_MONTH" vbProcedure="false">"c16400"</definedName>
    <definedName function="false" hidden="true" name="IQ_PRETAX_REPORT_INC_EST_UP_MONTH_CIQ" vbProcedure="false">"c16688"</definedName>
    <definedName function="false" hidden="true" name="IQ_PRETAX_REPORT_INC_HIGH_EST" vbProcedure="false">"c1711"</definedName>
    <definedName function="false" hidden="true" name="IQ_PRETAX_REPORT_INC_HIGH_EST_CIQ" vbProcedure="false">"c4697"</definedName>
    <definedName function="false" hidden="true" name="IQ_PRETAX_REPORT_INC_HIGH_EST_REUT" vbProcedure="false">"c5363"</definedName>
    <definedName function="false" hidden="true" name="IQ_PRETAX_REPORT_INC_LOW_EST" vbProcedure="false">"c1712"</definedName>
    <definedName function="false" hidden="true" name="IQ_PRETAX_REPORT_INC_LOW_EST_CIQ" vbProcedure="false">"c4698"</definedName>
    <definedName function="false" hidden="true" name="IQ_PRETAX_REPORT_INC_LOW_EST_REUT" vbProcedure="false">"c5364"</definedName>
    <definedName function="false" hidden="true" name="IQ_PRETAX_REPORT_INC_MEDIAN_EST" vbProcedure="false">"c1710"</definedName>
    <definedName function="false" hidden="true" name="IQ_PRETAX_REPORT_INC_MEDIAN_EST_CIQ" vbProcedure="false">"c4696"</definedName>
    <definedName function="false" hidden="true" name="IQ_PRETAX_REPORT_INC_MEDIAN_EST_REUT" vbProcedure="false">"c5362"</definedName>
    <definedName function="false" hidden="true" name="IQ_PRETAX_REPORT_INC_NUM_EST" vbProcedure="false">"c1713"</definedName>
    <definedName function="false" hidden="true" name="IQ_PRETAX_REPORT_INC_NUM_EST_CIQ" vbProcedure="false">"c4699"</definedName>
    <definedName function="false" hidden="true" name="IQ_PRETAX_REPORT_INC_NUM_EST_REUT" vbProcedure="false">"c5365"</definedName>
    <definedName function="false" hidden="true" name="IQ_PRETAX_REPORT_INC_STDDEV_EST" vbProcedure="false">"c1714"</definedName>
    <definedName function="false" hidden="true" name="IQ_PRETAX_REPORT_INC_STDDEV_EST_CIQ" vbProcedure="false">"c4700"</definedName>
    <definedName function="false" hidden="true" name="IQ_PRETAX_REPORT_INC_STDDEV_EST_REUT" vbProcedure="false">"c5366"</definedName>
    <definedName function="false" hidden="true" name="IQ_PRETAX_RETURN_ASSETS_FDIC" vbProcedure="false">"c6731"</definedName>
    <definedName function="false" hidden="true" name="IQ_PREVIOUS_TIME_RT" vbProcedure="false">"PREVIOUSLASTTIME"</definedName>
    <definedName function="false" hidden="true" name="IQ_PREV_MONTHLY_FACTOR" vbProcedure="false">"c8973"</definedName>
    <definedName function="false" hidden="true" name="IQ_PREV_MONTHLY_FACTOR_DATE" vbProcedure="false">"c8974"</definedName>
    <definedName function="false" hidden="true" name="IQ_PRE_OPEN_COST" vbProcedure="false">"c1040"</definedName>
    <definedName function="false" hidden="true" name="IQ_PRE_TAX_ACT_OR_EST" vbProcedure="false">"c2221"</definedName>
    <definedName function="false" hidden="true" name="IQ_PRE_TAX_ACT_OR_EST_CIQ" vbProcedure="false">"c5064"</definedName>
    <definedName function="false" hidden="true" name="IQ_PRE_TAX_ACT_OR_EST_CIQ_COL" vbProcedure="false">"c11711"</definedName>
    <definedName function="false" hidden="true" name="IQ_PRE_TAX_ACT_OR_EST_REUT" vbProcedure="false">"c5467"</definedName>
    <definedName function="false" hidden="true" name="IQ_PRE_TAX_ACT_OR_EST_THOM" vbProcedure="false">"c5305"</definedName>
    <definedName function="false" hidden="true" name="IQ_PRE_TAX_INCOME_FDIC" vbProcedure="false">"c6581"</definedName>
    <definedName function="false" hidden="true" name="IQ_PRICEDATE" vbProcedure="false">"c1069"</definedName>
    <definedName function="false" hidden="true" name="IQ_PRICEDATETIME" vbProcedure="false">"IQ_PRICEDATETIME"</definedName>
    <definedName function="false" hidden="true" name="IQ_PRICE_CFPS_FWD" vbProcedure="false">"c2237"</definedName>
    <definedName function="false" hidden="true" name="IQ_PRICE_CFPS_FWD_CIQ" vbProcedure="false">"c4046"</definedName>
    <definedName function="false" hidden="true" name="IQ_PRICE_CFPS_FWD_REUT" vbProcedure="false">"c4053"</definedName>
    <definedName function="false" hidden="true" name="IQ_PRICE_CFPS_FWD_THOM" vbProcedure="false">"c4060"</definedName>
    <definedName function="false" hidden="true" name="IQ_PRICE_OVER_BVPS" vbProcedure="false">"c1412"</definedName>
    <definedName function="false" hidden="true" name="IQ_PRICE_OVER_EPS_EST" vbProcedure="false">"IQ_PRICE_OVER_EPS_EST"</definedName>
    <definedName function="false" hidden="true" name="IQ_PRICE_OVER_EPS_EST_1" vbProcedure="false">"IQ_PRICE_OVER_EPS_EST_1"</definedName>
    <definedName function="false" hidden="true" name="IQ_PRICE_OVER_LTM_EPS" vbProcedure="false">"c1413"</definedName>
    <definedName function="false" hidden="true" name="IQ_PRICE_PAID_FARM_INDEX" vbProcedure="false">"c6948"</definedName>
    <definedName function="false" hidden="true" name="IQ_PRICE_PAID_FARM_INDEX_APR" vbProcedure="false">"c7608"</definedName>
    <definedName function="false" hidden="true" name="IQ_PRICE_PAID_FARM_INDEX_APR_FC" vbProcedure="false">"c8488"</definedName>
    <definedName function="false" hidden="true" name="IQ_PRICE_PAID_FARM_INDEX_FC" vbProcedure="false">"c7828"</definedName>
    <definedName function="false" hidden="true" name="IQ_PRICE_PAID_FARM_INDEX_POP" vbProcedure="false">"c7168"</definedName>
    <definedName function="false" hidden="true" name="IQ_PRICE_PAID_FARM_INDEX_POP_FC" vbProcedure="false">"c8048"</definedName>
    <definedName function="false" hidden="true" name="IQ_PRICE_PAID_FARM_INDEX_YOY" vbProcedure="false">"c7388"</definedName>
    <definedName function="false" hidden="true" name="IQ_PRICE_PAID_FARM_INDEX_YOY_FC" vbProcedure="false">"c8268"</definedName>
    <definedName function="false" hidden="true" name="IQ_PRICE_SALES" vbProcedure="false">"c17552"</definedName>
    <definedName function="false" hidden="true" name="IQ_PRICE_TARGET" vbProcedure="false">"c82"</definedName>
    <definedName function="false" hidden="true" name="IQ_PRICE_TARGET_BOTTOM_UP" vbProcedure="false">"c5486"</definedName>
    <definedName function="false" hidden="true" name="IQ_PRICE_TARGET_BOTTOM_UP_CIQ" vbProcedure="false">"c12023"</definedName>
    <definedName function="false" hidden="true" name="IQ_PRICE_TARGET_BOTTOM_UP_REUT" vbProcedure="false">"c5494"</definedName>
    <definedName function="false" hidden="true" name="IQ_PRICE_TARGET_CIQ" vbProcedure="false">"c3613"</definedName>
    <definedName function="false" hidden="true" name="IQ_PRICE_TARGET_REUT" vbProcedure="false">"c3631"</definedName>
    <definedName function="false" hidden="true" name="IQ_PRICE_TARGET_THOM" vbProcedure="false">"c3649"</definedName>
    <definedName function="false" hidden="true" name="IQ_PRICE_VOLATILITY_EST" vbProcedure="false">"c4492"</definedName>
    <definedName function="false" hidden="true" name="IQ_PRICE_VOLATILITY_EST_CIQ" vbProcedure="false">"c5030"</definedName>
    <definedName function="false" hidden="true" name="IQ_PRICE_VOLATILITY_EST_CIQ_COL" vbProcedure="false">"c11677"</definedName>
    <definedName function="false" hidden="true" name="IQ_PRICE_VOLATILITY_HIGH" vbProcedure="false">"c4493"</definedName>
    <definedName function="false" hidden="true" name="IQ_PRICE_VOLATILITY_HIGH_CIQ" vbProcedure="false">"c5031"</definedName>
    <definedName function="false" hidden="true" name="IQ_PRICE_VOLATILITY_HIGH_CIQ_COL" vbProcedure="false">"c11678"</definedName>
    <definedName function="false" hidden="true" name="IQ_PRICE_VOLATILITY_LOW" vbProcedure="false">"c4494"</definedName>
    <definedName function="false" hidden="true" name="IQ_PRICE_VOLATILITY_LOW_CIQ" vbProcedure="false">"c5032"</definedName>
    <definedName function="false" hidden="true" name="IQ_PRICE_VOLATILITY_LOW_CIQ_COL" vbProcedure="false">"c11679"</definedName>
    <definedName function="false" hidden="true" name="IQ_PRICE_VOLATILITY_MEDIAN" vbProcedure="false">"c4495"</definedName>
    <definedName function="false" hidden="true" name="IQ_PRICE_VOLATILITY_MEDIAN_CIQ" vbProcedure="false">"c5033"</definedName>
    <definedName function="false" hidden="true" name="IQ_PRICE_VOLATILITY_MEDIAN_CIQ_COL" vbProcedure="false">"c11680"</definedName>
    <definedName function="false" hidden="true" name="IQ_PRICE_VOLATILITY_NUM" vbProcedure="false">"c4496"</definedName>
    <definedName function="false" hidden="true" name="IQ_PRICE_VOLATILITY_NUM_CIQ" vbProcedure="false">"c5034"</definedName>
    <definedName function="false" hidden="true" name="IQ_PRICE_VOLATILITY_NUM_CIQ_COL" vbProcedure="false">"c11681"</definedName>
    <definedName function="false" hidden="true" name="IQ_PRICE_VOLATILITY_STDDEV" vbProcedure="false">"c4497"</definedName>
    <definedName function="false" hidden="true" name="IQ_PRICE_VOLATILITY_STDDEV_CIQ" vbProcedure="false">"c5035"</definedName>
    <definedName function="false" hidden="true" name="IQ_PRICE_VOLATILITY_STDDEV_CIQ_COL" vbProcedure="false">"c11682"</definedName>
    <definedName function="false" hidden="true" name="IQ_PRICE_VOL_HIST_2YR" vbProcedure="false">"c15637"</definedName>
    <definedName function="false" hidden="true" name="IQ_PRICE_VOL_HIST_3MTH" vbProcedure="false">"c15634"</definedName>
    <definedName function="false" hidden="true" name="IQ_PRICE_VOL_HIST_5YR" vbProcedure="false">"c15638"</definedName>
    <definedName function="false" hidden="true" name="IQ_PRICE_VOL_HIST_6MTH" vbProcedure="false">"c15635"</definedName>
    <definedName function="false" hidden="true" name="IQ_PRICE_VOL_HIST_YR" vbProcedure="false">"c15636"</definedName>
    <definedName function="false" hidden="true" name="IQ_PRICING_DATE" vbProcedure="false">"c1613"</definedName>
    <definedName function="false" hidden="true" name="IQ_PRIMARY_EPS_TYPE" vbProcedure="false">"c4498"</definedName>
    <definedName function="false" hidden="true" name="IQ_PRIMARY_EPS_TYPE_CIQ" vbProcedure="false">"c5036"</definedName>
    <definedName function="false" hidden="true" name="IQ_PRIMARY_EPS_TYPE_REUT" vbProcedure="false">"c5481"</definedName>
    <definedName function="false" hidden="true" name="IQ_PRIMARY_EPS_TYPE_THOM" vbProcedure="false">"c5297"</definedName>
    <definedName function="false" hidden="true" name="IQ_PRIMARY_EST_CONSOLIDATION" vbProcedure="false">"c16246"</definedName>
    <definedName function="false" hidden="true" name="IQ_PRIMARY_EST_CONSOLIDATION_CIQ" vbProcedure="false">"c16247"</definedName>
    <definedName function="false" hidden="true" name="IQ_PRIMARY_INDUSTRY" vbProcedure="false">"c1070"</definedName>
    <definedName function="false" hidden="true" name="IQ_PRIMARY_SIC_CODE" vbProcedure="false">"c16218"</definedName>
    <definedName function="false" hidden="true" name="IQ_PRIMARY_SIC_INDUSTRY" vbProcedure="false">"c16217"</definedName>
    <definedName function="false" hidden="true" name="IQ_PRINCIPAL_AMT" vbProcedure="false">"c2157"</definedName>
    <definedName function="false" hidden="true" name="IQ_PRIVATELY_ISSUED_MORTGAGE_BACKED_SECURITIES_FDIC" vbProcedure="false">"c6407"</definedName>
    <definedName function="false" hidden="true" name="IQ_PRIVATELY_ISSUED_MORTGAGE_PASS_THROUGHS_FDIC" vbProcedure="false">"c6405"</definedName>
    <definedName function="false" hidden="true" name="IQ_PRIVATE_CONST_TOTAL_APR_FC_UNUSED" vbProcedure="false">"c8559"</definedName>
    <definedName function="false" hidden="true" name="IQ_PRIVATE_CONST_TOTAL_APR_FC_UNUSED_UNUSED_UNUSED" vbProcedure="false">"c8559"</definedName>
    <definedName function="false" hidden="true" name="IQ_PRIVATE_CONST_TOTAL_APR_UNUSED" vbProcedure="false">"c7679"</definedName>
    <definedName function="false" hidden="true" name="IQ_PRIVATE_CONST_TOTAL_APR_UNUSED_UNUSED_UNUSED" vbProcedure="false">"c7679"</definedName>
    <definedName function="false" hidden="true" name="IQ_PRIVATE_CONST_TOTAL_FC_UNUSED" vbProcedure="false">"c7899"</definedName>
    <definedName function="false" hidden="true" name="IQ_PRIVATE_CONST_TOTAL_FC_UNUSED_UNUSED_UNUSED" vbProcedure="false">"c7899"</definedName>
    <definedName function="false" hidden="true" name="IQ_PRIVATE_CONST_TOTAL_POP_FC_UNUSED" vbProcedure="false">"c8119"</definedName>
    <definedName function="false" hidden="true" name="IQ_PRIVATE_CONST_TOTAL_POP_FC_UNUSED_UNUSED_UNUSED" vbProcedure="false">"c8119"</definedName>
    <definedName function="false" hidden="true" name="IQ_PRIVATE_CONST_TOTAL_POP_UNUSED" vbProcedure="false">"c7239"</definedName>
    <definedName function="false" hidden="true" name="IQ_PRIVATE_CONST_TOTAL_POP_UNUSED_UNUSED_UNUSED" vbProcedure="false">"c7239"</definedName>
    <definedName function="false" hidden="true" name="IQ_PRIVATE_CONST_TOTAL_UNUSED" vbProcedure="false">"c7019"</definedName>
    <definedName function="false" hidden="true" name="IQ_PRIVATE_CONST_TOTAL_UNUSED_UNUSED_UNUSED" vbProcedure="false">"c7019"</definedName>
    <definedName function="false" hidden="true" name="IQ_PRIVATE_CONST_TOTAL_YOY_FC_UNUSED" vbProcedure="false">"c8339"</definedName>
    <definedName function="false" hidden="true" name="IQ_PRIVATE_CONST_TOTAL_YOY_FC_UNUSED_UNUSED_UNUSED" vbProcedure="false">"c8339"</definedName>
    <definedName function="false" hidden="true" name="IQ_PRIVATE_CONST_TOTAL_YOY_UNUSED" vbProcedure="false">"c7459"</definedName>
    <definedName function="false" hidden="true" name="IQ_PRIVATE_CONST_TOTAL_YOY_UNUSED_UNUSED_UNUSED" vbProcedure="false">"c7459"</definedName>
    <definedName function="false" hidden="true" name="IQ_PRIVATE_FIXED_INVEST_TOTAL" vbProcedure="false">"c12006"</definedName>
    <definedName function="false" hidden="true" name="IQ_PRIVATE_FIXED_INVEST_TOTAL_APR" vbProcedure="false">"c12009"</definedName>
    <definedName function="false" hidden="true" name="IQ_PRIVATE_FIXED_INVEST_TOTAL_POP" vbProcedure="false">"c12007"</definedName>
    <definedName function="false" hidden="true" name="IQ_PRIVATE_FIXED_INVEST_TOTAL_YOY" vbProcedure="false">"c12008"</definedName>
    <definedName function="false" hidden="true" name="IQ_PRIVATE_NONRES_CONST_IMPROV" vbProcedure="false">"c6949"</definedName>
    <definedName function="false" hidden="true" name="IQ_PRIVATE_NONRES_CONST_IMPROV_APR" vbProcedure="false">"c7609"</definedName>
    <definedName function="false" hidden="true" name="IQ_PRIVATE_NONRES_CONST_IMPROV_APR_FC" vbProcedure="false">"c8489"</definedName>
    <definedName function="false" hidden="true" name="IQ_PRIVATE_NONRES_CONST_IMPROV_FC" vbProcedure="false">"c7829"</definedName>
    <definedName function="false" hidden="true" name="IQ_PRIVATE_NONRES_CONST_IMPROV_POP" vbProcedure="false">"c7169"</definedName>
    <definedName function="false" hidden="true" name="IQ_PRIVATE_NONRES_CONST_IMPROV_POP_FC" vbProcedure="false">"c8049"</definedName>
    <definedName function="false" hidden="true" name="IQ_PRIVATE_NONRES_CONST_IMPROV_YOY" vbProcedure="false">"c7389"</definedName>
    <definedName function="false" hidden="true" name="IQ_PRIVATE_NONRES_CONST_IMPROV_YOY_FC" vbProcedure="false">"c8269"</definedName>
    <definedName function="false" hidden="true" name="IQ_PRIVATE_RES_CONST_IMPROV" vbProcedure="false">"c6950"</definedName>
    <definedName function="false" hidden="true" name="IQ_PRIVATE_RES_CONST_IMPROV_APR" vbProcedure="false">"c7610"</definedName>
    <definedName function="false" hidden="true" name="IQ_PRIVATE_RES_CONST_IMPROV_APR_FC" vbProcedure="false">"c8490"</definedName>
    <definedName function="false" hidden="true" name="IQ_PRIVATE_RES_CONST_IMPROV_FC" vbProcedure="false">"c7830"</definedName>
    <definedName function="false" hidden="true" name="IQ_PRIVATE_RES_CONST_IMPROV_POP" vbProcedure="false">"c7170"</definedName>
    <definedName function="false" hidden="true" name="IQ_PRIVATE_RES_CONST_IMPROV_POP_FC" vbProcedure="false">"c8050"</definedName>
    <definedName function="false" hidden="true" name="IQ_PRIVATE_RES_CONST_IMPROV_YOY" vbProcedure="false">"c7390"</definedName>
    <definedName function="false" hidden="true" name="IQ_PRIVATE_RES_CONST_IMPROV_YOY_FC" vbProcedure="false">"c8270"</definedName>
    <definedName function="false" hidden="true" name="IQ_PRIVATE_RES_CONST_REAL_APR_FC_UNUSED" vbProcedure="false">"c8535"</definedName>
    <definedName function="false" hidden="true" name="IQ_PRIVATE_RES_CONST_REAL_APR_FC_UNUSED_UNUSED_UNUSED" vbProcedure="false">"c8535"</definedName>
    <definedName function="false" hidden="true" name="IQ_PRIVATE_RES_CONST_REAL_APR_UNUSED" vbProcedure="false">"c7655"</definedName>
    <definedName function="false" hidden="true" name="IQ_PRIVATE_RES_CONST_REAL_APR_UNUSED_UNUSED_UNUSED" vbProcedure="false">"c7655"</definedName>
    <definedName function="false" hidden="true" name="IQ_PRIVATE_RES_CONST_REAL_FC_UNUSED" vbProcedure="false">"c7875"</definedName>
    <definedName function="false" hidden="true" name="IQ_PRIVATE_RES_CONST_REAL_FC_UNUSED_UNUSED_UNUSED" vbProcedure="false">"c7875"</definedName>
    <definedName function="false" hidden="true" name="IQ_PRIVATE_RES_CONST_REAL_POP_FC_UNUSED" vbProcedure="false">"c8095"</definedName>
    <definedName function="false" hidden="true" name="IQ_PRIVATE_RES_CONST_REAL_POP_FC_UNUSED_UNUSED_UNUSED" vbProcedure="false">"c8095"</definedName>
    <definedName function="false" hidden="true" name="IQ_PRIVATE_RES_CONST_REAL_POP_UNUSED" vbProcedure="false">"c7215"</definedName>
    <definedName function="false" hidden="true" name="IQ_PRIVATE_RES_CONST_REAL_POP_UNUSED_UNUSED_UNUSED" vbProcedure="false">"c7215"</definedName>
    <definedName function="false" hidden="true" name="IQ_PRIVATE_RES_CONST_REAL_UNUSED" vbProcedure="false">"c6995"</definedName>
    <definedName function="false" hidden="true" name="IQ_PRIVATE_RES_CONST_REAL_UNUSED_UNUSED_UNUSED" vbProcedure="false">"c6995"</definedName>
    <definedName function="false" hidden="true" name="IQ_PRIVATE_RES_CONST_REAL_YOY_FC_UNUSED" vbProcedure="false">"c8315"</definedName>
    <definedName function="false" hidden="true" name="IQ_PRIVATE_RES_CONST_REAL_YOY_FC_UNUSED_UNUSED_UNUSED" vbProcedure="false">"c8315"</definedName>
    <definedName function="false" hidden="true" name="IQ_PRIVATE_RES_CONST_REAL_YOY_UNUSED" vbProcedure="false">"c7435"</definedName>
    <definedName function="false" hidden="true" name="IQ_PRIVATE_RES_CONST_REAL_YOY_UNUSED_UNUSED_UNUSED" vbProcedure="false">"c7435"</definedName>
    <definedName function="false" hidden="true" name="IQ_PRIVATE_RES_FIXED_INVEST_REAL" vbProcedure="false">"c11986"</definedName>
    <definedName function="false" hidden="true" name="IQ_PRIVATE_RES_FIXED_INVEST_REAL_APR" vbProcedure="false">"c11989"</definedName>
    <definedName function="false" hidden="true" name="IQ_PRIVATE_RES_FIXED_INVEST_REAL_POP" vbProcedure="false">"c11987"</definedName>
    <definedName function="false" hidden="true" name="IQ_PRIVATE_RES_FIXED_INVEST_REAL_YOY" vbProcedure="false">"c11988"</definedName>
    <definedName function="false" hidden="true" name="IQ_PROBABLE_ATTRIB_ORE_RESERVES_ALUM" vbProcedure="false">"c9217"</definedName>
    <definedName function="false" hidden="true" name="IQ_PROBABLE_ATTRIB_ORE_RESERVES_COP" vbProcedure="false">"c9161"</definedName>
    <definedName function="false" hidden="true" name="IQ_PROBABLE_ATTRIB_ORE_RESERVES_DIAM" vbProcedure="false">"c9641"</definedName>
    <definedName function="false" hidden="true" name="IQ_PROBABLE_ATTRIB_ORE_RESERVES_GOLD" vbProcedure="false">"c9002"</definedName>
    <definedName function="false" hidden="true" name="IQ_PROBABLE_ATTRIB_ORE_RESERVES_IRON" vbProcedure="false">"c9376"</definedName>
    <definedName function="false" hidden="true" name="IQ_PROBABLE_ATTRIB_ORE_RESERVES_LEAD" vbProcedure="false">"c9429"</definedName>
    <definedName function="false" hidden="true" name="IQ_PROBABLE_ATTRIB_ORE_RESERVES_MANG" vbProcedure="false">"c9482"</definedName>
    <definedName function="false" hidden="true" name="IQ_PROBABLE_ATTRIB_ORE_RESERVES_MOLYB" vbProcedure="false">"c9694"</definedName>
    <definedName function="false" hidden="true" name="IQ_PROBABLE_ATTRIB_ORE_RESERVES_NICK" vbProcedure="false">"c9270"</definedName>
    <definedName function="false" hidden="true" name="IQ_PROBABLE_ATTRIB_ORE_RESERVES_PLAT" vbProcedure="false">"c9108"</definedName>
    <definedName function="false" hidden="true" name="IQ_PROBABLE_ATTRIB_ORE_RESERVES_SILVER" vbProcedure="false">"c9055"</definedName>
    <definedName function="false" hidden="true" name="IQ_PROBABLE_ATTRIB_ORE_RESERVES_TITAN" vbProcedure="false">"c9535"</definedName>
    <definedName function="false" hidden="true" name="IQ_PROBABLE_ATTRIB_ORE_RESERVES_URAN" vbProcedure="false">"c9588"</definedName>
    <definedName function="false" hidden="true" name="IQ_PROBABLE_ATTRIB_ORE_RESERVES_ZINC" vbProcedure="false">"c9323"</definedName>
    <definedName function="false" hidden="true" name="IQ_PROBABLE_ORE_RESERVES_ALUM" vbProcedure="false">"c9209"</definedName>
    <definedName function="false" hidden="true" name="IQ_PROBABLE_ORE_RESERVES_COP" vbProcedure="false">"c9153"</definedName>
    <definedName function="false" hidden="true" name="IQ_PROBABLE_ORE_RESERVES_DIAM" vbProcedure="false">"c9633"</definedName>
    <definedName function="false" hidden="true" name="IQ_PROBABLE_ORE_RESERVES_GOLD" vbProcedure="false">"c8994"</definedName>
    <definedName function="false" hidden="true" name="IQ_PROBABLE_ORE_RESERVES_IRON" vbProcedure="false">"c9368"</definedName>
    <definedName function="false" hidden="true" name="IQ_PROBABLE_ORE_RESERVES_LEAD" vbProcedure="false">"c9421"</definedName>
    <definedName function="false" hidden="true" name="IQ_PROBABLE_ORE_RESERVES_MANG" vbProcedure="false">"c9474"</definedName>
    <definedName function="false" hidden="true" name="IQ_PROBABLE_ORE_RESERVES_MOLYB" vbProcedure="false">"c9686"</definedName>
    <definedName function="false" hidden="true" name="IQ_PROBABLE_ORE_RESERVES_NICK" vbProcedure="false">"c9262"</definedName>
    <definedName function="false" hidden="true" name="IQ_PROBABLE_ORE_RESERVES_PLAT" vbProcedure="false">"c9100"</definedName>
    <definedName function="false" hidden="true" name="IQ_PROBABLE_ORE_RESERVES_SILVER" vbProcedure="false">"c9047"</definedName>
    <definedName function="false" hidden="true" name="IQ_PROBABLE_ORE_RESERVES_TITAN" vbProcedure="false">"c9527"</definedName>
    <definedName function="false" hidden="true" name="IQ_PROBABLE_ORE_RESERVES_URAN" vbProcedure="false">"c9580"</definedName>
    <definedName function="false" hidden="true" name="IQ_PROBABLE_ORE_RESERVES_ZINC" vbProcedure="false">"c9315"</definedName>
    <definedName function="false" hidden="true" name="IQ_PROBABLE_RECOV_ATTRIB_RESERVES_ALUM" vbProcedure="false">"c9220"</definedName>
    <definedName function="false" hidden="true" name="IQ_PROBABLE_RECOV_ATTRIB_RESERVES_COAL" vbProcedure="false">"c9804"</definedName>
    <definedName function="false" hidden="true" name="IQ_PROBABLE_RECOV_ATTRIB_RESERVES_COP" vbProcedure="false">"c9164"</definedName>
    <definedName function="false" hidden="true" name="IQ_PROBABLE_RECOV_ATTRIB_RESERVES_DIAM" vbProcedure="false">"c9644"</definedName>
    <definedName function="false" hidden="true" name="IQ_PROBABLE_RECOV_ATTRIB_RESERVES_GOLD" vbProcedure="false">"c9005"</definedName>
    <definedName function="false" hidden="true" name="IQ_PROBABLE_RECOV_ATTRIB_RESERVES_IRON" vbProcedure="false">"c9379"</definedName>
    <definedName function="false" hidden="true" name="IQ_PROBABLE_RECOV_ATTRIB_RESERVES_LEAD" vbProcedure="false">"c9432"</definedName>
    <definedName function="false" hidden="true" name="IQ_PROBABLE_RECOV_ATTRIB_RESERVES_MANG" vbProcedure="false">"c9485"</definedName>
    <definedName function="false" hidden="true" name="IQ_PROBABLE_RECOV_ATTRIB_RESERVES_MET_COAL" vbProcedure="false">"c9744"</definedName>
    <definedName function="false" hidden="true" name="IQ_PROBABLE_RECOV_ATTRIB_RESERVES_MOLYB" vbProcedure="false">"c9697"</definedName>
    <definedName function="false" hidden="true" name="IQ_PROBABLE_RECOV_ATTRIB_RESERVES_NICK" vbProcedure="false">"c9273"</definedName>
    <definedName function="false" hidden="true" name="IQ_PROBABLE_RECOV_ATTRIB_RESERVES_PLAT" vbProcedure="false">"c9111"</definedName>
    <definedName function="false" hidden="true" name="IQ_PROBABLE_RECOV_ATTRIB_RESERVES_SILVER" vbProcedure="false">"c9058"</definedName>
    <definedName function="false" hidden="true" name="IQ_PROBABLE_RECOV_ATTRIB_RESERVES_STEAM" vbProcedure="false">"c9774"</definedName>
    <definedName function="false" hidden="true" name="IQ_PROBABLE_RECOV_ATTRIB_RESERVES_TITAN" vbProcedure="false">"c9538"</definedName>
    <definedName function="false" hidden="true" name="IQ_PROBABLE_RECOV_ATTRIB_RESERVES_URAN" vbProcedure="false">"c9591"</definedName>
    <definedName function="false" hidden="true" name="IQ_PROBABLE_RECOV_ATTRIB_RESERVES_ZINC" vbProcedure="false">"c9326"</definedName>
    <definedName function="false" hidden="true" name="IQ_PROBABLE_RECOV_RESERVES_ALUM" vbProcedure="false">"c9214"</definedName>
    <definedName function="false" hidden="true" name="IQ_PROBABLE_RECOV_RESERVES_COAL" vbProcedure="false">"c9801"</definedName>
    <definedName function="false" hidden="true" name="IQ_PROBABLE_RECOV_RESERVES_COP" vbProcedure="false">"c9158"</definedName>
    <definedName function="false" hidden="true" name="IQ_PROBABLE_RECOV_RESERVES_DIAM" vbProcedure="false">"c9638"</definedName>
    <definedName function="false" hidden="true" name="IQ_PROBABLE_RECOV_RESERVES_GOLD" vbProcedure="false">"c8999"</definedName>
    <definedName function="false" hidden="true" name="IQ_PROBABLE_RECOV_RESERVES_IRON" vbProcedure="false">"c9373"</definedName>
    <definedName function="false" hidden="true" name="IQ_PROBABLE_RECOV_RESERVES_LEAD" vbProcedure="false">"c9426"</definedName>
    <definedName function="false" hidden="true" name="IQ_PROBABLE_RECOV_RESERVES_MANG" vbProcedure="false">"c9479"</definedName>
    <definedName function="false" hidden="true" name="IQ_PROBABLE_RECOV_RESERVES_MET_COAL" vbProcedure="false">"c9741"</definedName>
    <definedName function="false" hidden="true" name="IQ_PROBABLE_RECOV_RESERVES_MOLYB" vbProcedure="false">"c9691"</definedName>
    <definedName function="false" hidden="true" name="IQ_PROBABLE_RECOV_RESERVES_NICK" vbProcedure="false">"c9267"</definedName>
    <definedName function="false" hidden="true" name="IQ_PROBABLE_RECOV_RESERVES_PLAT" vbProcedure="false">"c9105"</definedName>
    <definedName function="false" hidden="true" name="IQ_PROBABLE_RECOV_RESERVES_SILVER" vbProcedure="false">"c9052"</definedName>
    <definedName function="false" hidden="true" name="IQ_PROBABLE_RECOV_RESERVES_STEAM" vbProcedure="false">"c9771"</definedName>
    <definedName function="false" hidden="true" name="IQ_PROBABLE_RECOV_RESERVES_TITAN" vbProcedure="false">"c9532"</definedName>
    <definedName function="false" hidden="true" name="IQ_PROBABLE_RECOV_RESERVES_URAN" vbProcedure="false">"c9585"</definedName>
    <definedName function="false" hidden="true" name="IQ_PROBABLE_RECOV_RESERVES_ZINC" vbProcedure="false">"c9320"</definedName>
    <definedName function="false" hidden="true" name="IQ_PROBABLE_RESERVES_CALORIFIC_VALUE_COAL" vbProcedure="false">"c9798"</definedName>
    <definedName function="false" hidden="true" name="IQ_PROBABLE_RESERVES_CALORIFIC_VALUE_MET_COAL" vbProcedure="false">"c9738"</definedName>
    <definedName function="false" hidden="true" name="IQ_PROBABLE_RESERVES_CALORIFIC_VALUE_STEAM" vbProcedure="false">"c9768"</definedName>
    <definedName function="false" hidden="true" name="IQ_PROBABLE_RESERVES_GRADE_ALUM" vbProcedure="false">"c9210"</definedName>
    <definedName function="false" hidden="true" name="IQ_PROBABLE_RESERVES_GRADE_COP" vbProcedure="false">"c9154"</definedName>
    <definedName function="false" hidden="true" name="IQ_PROBABLE_RESERVES_GRADE_DIAM" vbProcedure="false">"c9634"</definedName>
    <definedName function="false" hidden="true" name="IQ_PROBABLE_RESERVES_GRADE_GOLD" vbProcedure="false">"c8995"</definedName>
    <definedName function="false" hidden="true" name="IQ_PROBABLE_RESERVES_GRADE_IRON" vbProcedure="false">"c9369"</definedName>
    <definedName function="false" hidden="true" name="IQ_PROBABLE_RESERVES_GRADE_LEAD" vbProcedure="false">"c9422"</definedName>
    <definedName function="false" hidden="true" name="IQ_PROBABLE_RESERVES_GRADE_MANG" vbProcedure="false">"c9475"</definedName>
    <definedName function="false" hidden="true" name="IQ_PROBABLE_RESERVES_GRADE_MOLYB" vbProcedure="false">"c9687"</definedName>
    <definedName function="false" hidden="true" name="IQ_PROBABLE_RESERVES_GRADE_NICK" vbProcedure="false">"c9263"</definedName>
    <definedName function="false" hidden="true" name="IQ_PROBABLE_RESERVES_GRADE_PLAT" vbProcedure="false">"c9101"</definedName>
    <definedName function="false" hidden="true" name="IQ_PROBABLE_RESERVES_GRADE_SILVER" vbProcedure="false">"c9048"</definedName>
    <definedName function="false" hidden="true" name="IQ_PROBABLE_RESERVES_GRADE_TITAN" vbProcedure="false">"c9528"</definedName>
    <definedName function="false" hidden="true" name="IQ_PROBABLE_RESERVES_GRADE_URAN" vbProcedure="false">"c9581"</definedName>
    <definedName function="false" hidden="true" name="IQ_PROBABLE_RESERVES_GRADE_ZINC" vbProcedure="false">"c9316"</definedName>
    <definedName function="false" hidden="true" name="IQ_PROBABLE_RESERVES_TO_TOTAL_RESERVES_COAL" vbProcedure="false">"c15953"</definedName>
    <definedName function="false" hidden="true" name="IQ_PRODUCTION_COST_ALUM" vbProcedure="false">"c9253"</definedName>
    <definedName function="false" hidden="true" name="IQ_PRODUCTION_COST_COAL" vbProcedure="false">"c9826"</definedName>
    <definedName function="false" hidden="true" name="IQ_PRODUCTION_COST_COP" vbProcedure="false">"c9200"</definedName>
    <definedName function="false" hidden="true" name="IQ_PRODUCTION_COST_DIAM" vbProcedure="false">"c9677"</definedName>
    <definedName function="false" hidden="true" name="IQ_PRODUCTION_COST_GOLD" vbProcedure="false">"c9038"</definedName>
    <definedName function="false" hidden="true" name="IQ_PRODUCTION_COST_IRON" vbProcedure="false">"c9412"</definedName>
    <definedName function="false" hidden="true" name="IQ_PRODUCTION_COST_LEAD" vbProcedure="false">"c9465"</definedName>
    <definedName function="false" hidden="true" name="IQ_PRODUCTION_COST_MANG" vbProcedure="false">"c9518"</definedName>
    <definedName function="false" hidden="true" name="IQ_PRODUCTION_COST_MET_COAL" vbProcedure="false">"c9763"</definedName>
    <definedName function="false" hidden="true" name="IQ_PRODUCTION_COST_MOLYB" vbProcedure="false">"c9730"</definedName>
    <definedName function="false" hidden="true" name="IQ_PRODUCTION_COST_NICK" vbProcedure="false">"c9306"</definedName>
    <definedName function="false" hidden="true" name="IQ_PRODUCTION_COST_PLAT" vbProcedure="false">"c9144"</definedName>
    <definedName function="false" hidden="true" name="IQ_PRODUCTION_COST_SILVER" vbProcedure="false">"c9091"</definedName>
    <definedName function="false" hidden="true" name="IQ_PRODUCTION_COST_STEAM" vbProcedure="false">"c9793"</definedName>
    <definedName function="false" hidden="true" name="IQ_PRODUCTION_COST_TITAN" vbProcedure="false">"c9571"</definedName>
    <definedName function="false" hidden="true" name="IQ_PRODUCTION_COST_URAN" vbProcedure="false">"c9624"</definedName>
    <definedName function="false" hidden="true" name="IQ_PRODUCTION_COST_ZINC" vbProcedure="false">"c9359"</definedName>
    <definedName function="false" hidden="true" name="IQ_PRODUCTION_TO_SOLD_COAL" vbProcedure="false">"c15945"</definedName>
    <definedName function="false" hidden="true" name="IQ_PROFESSIONAL" vbProcedure="false">"c1071"</definedName>
    <definedName function="false" hidden="true" name="IQ_PROFESSIONAL_ALL_OTHER_COMP" vbProcedure="false">"c18944"</definedName>
    <definedName function="false" hidden="true" name="IQ_PROFESSIONAL_ANNUAL_CASH_COMP" vbProcedure="false">"c18945"</definedName>
    <definedName function="false" hidden="true" name="IQ_PROFESSIONAL_ASSISTANT_EMAIL" vbProcedure="false">"c15169"</definedName>
    <definedName function="false" hidden="true" name="IQ_PROFESSIONAL_ASSISTANT_FAX" vbProcedure="false">"c15171"</definedName>
    <definedName function="false" hidden="true" name="IQ_PROFESSIONAL_ASSISTANT_NAME" vbProcedure="false">"c15168"</definedName>
    <definedName function="false" hidden="true" name="IQ_PROFESSIONAL_ASSISTANT_PHONE" vbProcedure="false">"c15170"</definedName>
    <definedName function="false" hidden="true" name="IQ_PROFESSIONAL_AS_REPORTED_COMP" vbProcedure="false">"c18949"</definedName>
    <definedName function="false" hidden="true" name="IQ_PROFESSIONAL_AS_REPORTED_DIRECTOR_COMP" vbProcedure="false">"c18961"</definedName>
    <definedName function="false" hidden="true" name="IQ_PROFESSIONAL_BACKGROUND" vbProcedure="false">"c15161"</definedName>
    <definedName function="false" hidden="true" name="IQ_PROFESSIONAL_BONUS" vbProcedure="false">"c18940"</definedName>
    <definedName function="false" hidden="true" name="IQ_PROFESSIONAL_CALCULATED_COMP" vbProcedure="false">"c18947"</definedName>
    <definedName function="false" hidden="true" name="IQ_PROFESSIONAL_CHANGE_PENSION" vbProcedure="false">"c18962"</definedName>
    <definedName function="false" hidden="true" name="IQ_PROFESSIONAL_DIRECTOR_BONUS" vbProcedure="false">"c18956"</definedName>
    <definedName function="false" hidden="true" name="IQ_PROFESSIONAL_DIRECTOR_CHANGE_PENSION" vbProcedure="false">"c18957"</definedName>
    <definedName function="false" hidden="true" name="IQ_PROFESSIONAL_DIRECTOR_FEE" vbProcedure="false">"c18953"</definedName>
    <definedName function="false" hidden="true" name="IQ_PROFESSIONAL_DIRECTOR_NON_EQUITY_COMP" vbProcedure="false">"c18958"</definedName>
    <definedName function="false" hidden="true" name="IQ_PROFESSIONAL_DIRECTOR_OPTION_AWARDS" vbProcedure="false">"c18954"</definedName>
    <definedName function="false" hidden="true" name="IQ_PROFESSIONAL_DIRECTOR_OTHER" vbProcedure="false">"c18955"</definedName>
    <definedName function="false" hidden="true" name="IQ_PROFESSIONAL_DIRECTOR_STOCK_AWARDS" vbProcedure="false">"c18959"</definedName>
    <definedName function="false" hidden="true" name="IQ_PROFESSIONAL_DIRECTOR_STOCK_GRANTS" vbProcedure="false">"c18986"</definedName>
    <definedName function="false" hidden="true" name="IQ_PROFESSIONAL_DIRECTOR_STOCK_OPTIONS" vbProcedure="false">"c18960"</definedName>
    <definedName function="false" hidden="true" name="IQ_PROFESSIONAL_DIRECT_FAX" vbProcedure="false">"c15166"</definedName>
    <definedName function="false" hidden="true" name="IQ_PROFESSIONAL_DIRECT_PHONE" vbProcedure="false">"c15165"</definedName>
    <definedName function="false" hidden="true" name="IQ_PROFESSIONAL_EMAIL" vbProcedure="false">"c15167"</definedName>
    <definedName function="false" hidden="true" name="IQ_PROFESSIONAL_EQUITY_INCENTIVE" vbProcedure="false">"c18982"</definedName>
    <definedName function="false" hidden="true" name="IQ_PROFESSIONAL_EST_PAYMENTS_CHANGE_CONTROL" vbProcedure="false">"c18951"</definedName>
    <definedName function="false" hidden="true" name="IQ_PROFESSIONAL_EST_PAYMENTS_TERMINATION" vbProcedure="false">"c18963"</definedName>
    <definedName function="false" hidden="true" name="IQ_PROFESSIONAL_EXERCISABLE_OPTIONS" vbProcedure="false">"c18966"</definedName>
    <definedName function="false" hidden="true" name="IQ_PROFESSIONAL_EXERCISABLE_VALUES" vbProcedure="false">"c18967"</definedName>
    <definedName function="false" hidden="true" name="IQ_PROFESSIONAL_EXERCISED_OPTIONS" vbProcedure="false">"c18964"</definedName>
    <definedName function="false" hidden="true" name="IQ_PROFESSIONAL_EXERCISED_VALUES" vbProcedure="false">"c18965"</definedName>
    <definedName function="false" hidden="true" name="IQ_PROFESSIONAL_ID" vbProcedure="false">"c13755"</definedName>
    <definedName function="false" hidden="true" name="IQ_PROFESSIONAL_LT_INCENTIVE" vbProcedure="false">"c18943"</definedName>
    <definedName function="false" hidden="true" name="IQ_PROFESSIONAL_MAIN_FAX" vbProcedure="false">"c15164"</definedName>
    <definedName function="false" hidden="true" name="IQ_PROFESSIONAL_MAIN_PHONE" vbProcedure="false">"c15163"</definedName>
    <definedName function="false" hidden="true" name="IQ_PROFESSIONAL_MARKET_VALUE_SHARES_NOT_VESTED" vbProcedure="false">"c18981"</definedName>
    <definedName function="false" hidden="true" name="IQ_PROFESSIONAL_NON_EQUITY_INCENTIVE" vbProcedure="false">"c18952"</definedName>
    <definedName function="false" hidden="true" name="IQ_PROFESSIONAL_NUM_SHARED_NOT_VESTED" vbProcedure="false">"c18980"</definedName>
    <definedName function="false" hidden="true" name="IQ_PROFESSIONAL_NUM_SHARES_ACQUIRED" vbProcedure="false">"c18978"</definedName>
    <definedName function="false" hidden="true" name="IQ_PROFESSIONAL_OFFICE_ADDRESS" vbProcedure="false">"c15162"</definedName>
    <definedName function="false" hidden="true" name="IQ_PROFESSIONAL_OPTION_AWARDS" vbProcedure="false">"c18948"</definedName>
    <definedName function="false" hidden="true" name="IQ_PROFESSIONAL_OPTION_MARKET_PRICE" vbProcedure="false">"c18977"</definedName>
    <definedName function="false" hidden="true" name="IQ_PROFESSIONAL_OPTION_PRICE" vbProcedure="false">"c18976"</definedName>
    <definedName function="false" hidden="true" name="IQ_PROFESSIONAL_OTHER_ANNUAL_COMP" vbProcedure="false">"c18941"</definedName>
    <definedName function="false" hidden="true" name="IQ_PROFESSIONAL_OTHER_COMP" vbProcedure="false">"c18950"</definedName>
    <definedName function="false" hidden="true" name="IQ_PROFESSIONAL_RESTRICTED_STOCK_COMP" vbProcedure="false">"c18942"</definedName>
    <definedName function="false" hidden="true" name="IQ_PROFESSIONAL_SALARY" vbProcedure="false">"c18939"</definedName>
    <definedName function="false" hidden="true" name="IQ_PROFESSIONAL_ST_COMP" vbProcedure="false">"c18946"</definedName>
    <definedName function="false" hidden="true" name="IQ_PROFESSIONAL_TITLE" vbProcedure="false">"c1072"</definedName>
    <definedName function="false" hidden="true" name="IQ_PROFESSIONAL_TOTAL_NUM_STOCK_AWARDS" vbProcedure="false">"c18985"</definedName>
    <definedName function="false" hidden="true" name="IQ_PROFESSIONAL_TOTAL_OPTIONS" vbProcedure="false">"c18974"</definedName>
    <definedName function="false" hidden="true" name="IQ_PROFESSIONAL_TOTAL_STOCK_VALUE" vbProcedure="false">"c18984"</definedName>
    <definedName function="false" hidden="true" name="IQ_PROFESSIONAL_TOTAL_VALUE_OPTIONS" vbProcedure="false">"c18975"</definedName>
    <definedName function="false" hidden="true" name="IQ_PROFESSIONAL_UNCLASSIFIED_OPTIONS" vbProcedure="false">"c18970"</definedName>
    <definedName function="false" hidden="true" name="IQ_PROFESSIONAL_UNCLASSIFIED_OPTIONS_VALUE" vbProcedure="false">"c18971"</definedName>
    <definedName function="false" hidden="true" name="IQ_PROFESSIONAL_UNEARNED_STOCK_VALUE" vbProcedure="false">"c18983"</definedName>
    <definedName function="false" hidden="true" name="IQ_PROFESSIONAL_UNEXERCISABLE_OPTIONS" vbProcedure="false">"c18968"</definedName>
    <definedName function="false" hidden="true" name="IQ_PROFESSIONAL_UNEXERCISABLE_VALUES" vbProcedure="false">"c18969"</definedName>
    <definedName function="false" hidden="true" name="IQ_PROFESSIONAL_UNEXERCISED_UNEARNED_OPTIONS" vbProcedure="false">"c18972"</definedName>
    <definedName function="false" hidden="true" name="IQ_PROFESSIONAL_UNEXERCISED_UNEARNED_OPTIONS_VALUE" vbProcedure="false">"c18973"</definedName>
    <definedName function="false" hidden="true" name="IQ_PROFESSIONAL_VALUE_VESTING" vbProcedure="false">"c18979"</definedName>
    <definedName function="false" hidden="true" name="IQ_PROFIT_AFTER_COST_CAPITAL_NEW_BUSINESS" vbProcedure="false">"c9969"</definedName>
    <definedName function="false" hidden="true" name="IQ_PROFIT_BEFORE_COST_CAPITAL_NEW_BUSINESS" vbProcedure="false">"c9967"</definedName>
    <definedName function="false" hidden="true" name="IQ_PROGRAMMING_COSTS" vbProcedure="false">"c2884"</definedName>
    <definedName function="false" hidden="true" name="IQ_PROJECTED_PENSION_OBLIGATION" vbProcedure="false">"c1292"</definedName>
    <definedName function="false" hidden="true" name="IQ_PROJECTED_PENSION_OBLIGATION_DOMESTIC" vbProcedure="false">"c2656"</definedName>
    <definedName function="false" hidden="true" name="IQ_PROJECTED_PENSION_OBLIGATION_FOREIGN" vbProcedure="false">"c2664"</definedName>
    <definedName function="false" hidden="true" name="IQ_PROPERTY_EXP" vbProcedure="false">"c1073"</definedName>
    <definedName function="false" hidden="true" name="IQ_PROPERTY_GROSS" vbProcedure="false">"c1379"</definedName>
    <definedName function="false" hidden="true" name="IQ_PROPERTY_MGMT_FEE" vbProcedure="false">"c1074"</definedName>
    <definedName function="false" hidden="true" name="IQ_PROPERTY_NET" vbProcedure="false">"c1402"</definedName>
    <definedName function="false" hidden="true" name="IQ_PROPERTY_TAX_INSURANCE" vbProcedure="false">"c16033"</definedName>
    <definedName function="false" hidden="true" name="IQ_PROP_MGMT_EXPENSE" vbProcedure="false">"c16038"</definedName>
    <definedName function="false" hidden="true" name="IQ_PROP_MGMT_INCOME" vbProcedure="false">"c16028"</definedName>
    <definedName function="false" hidden="true" name="IQ_PROP_OPERATING_EXPENSE" vbProcedure="false">"c16037"</definedName>
    <definedName function="false" hidden="true" name="IQ_PROP_RENTAL_REVENUE" vbProcedure="false">"c16019"</definedName>
    <definedName function="false" hidden="true" name="IQ_PROP_SALES_EXPENSE" vbProcedure="false">"c16044"</definedName>
    <definedName function="false" hidden="true" name="IQ_PROVED_ATTRIB_ORE_RESERVES_ALUM" vbProcedure="false">"c9216"</definedName>
    <definedName function="false" hidden="true" name="IQ_PROVED_ATTRIB_ORE_RESERVES_COP" vbProcedure="false">"c9160"</definedName>
    <definedName function="false" hidden="true" name="IQ_PROVED_ATTRIB_ORE_RESERVES_DIAM" vbProcedure="false">"c9640"</definedName>
    <definedName function="false" hidden="true" name="IQ_PROVED_ATTRIB_ORE_RESERVES_GOLD" vbProcedure="false">"c9001"</definedName>
    <definedName function="false" hidden="true" name="IQ_PROVED_ATTRIB_ORE_RESERVES_IRON" vbProcedure="false">"c9375"</definedName>
    <definedName function="false" hidden="true" name="IQ_PROVED_ATTRIB_ORE_RESERVES_LEAD" vbProcedure="false">"c9428"</definedName>
    <definedName function="false" hidden="true" name="IQ_PROVED_ATTRIB_ORE_RESERVES_MANG" vbProcedure="false">"c9481"</definedName>
    <definedName function="false" hidden="true" name="IQ_PROVED_ATTRIB_ORE_RESERVES_MOLYB" vbProcedure="false">"c9693"</definedName>
    <definedName function="false" hidden="true" name="IQ_PROVED_ATTRIB_ORE_RESERVES_NICK" vbProcedure="false">"c9269"</definedName>
    <definedName function="false" hidden="true" name="IQ_PROVED_ATTRIB_ORE_RESERVES_PLAT" vbProcedure="false">"c9107"</definedName>
    <definedName function="false" hidden="true" name="IQ_PROVED_ATTRIB_ORE_RESERVES_SILVER" vbProcedure="false">"c9054"</definedName>
    <definedName function="false" hidden="true" name="IQ_PROVED_ATTRIB_ORE_RESERVES_TITAN" vbProcedure="false">"c9534"</definedName>
    <definedName function="false" hidden="true" name="IQ_PROVED_ATTRIB_ORE_RESERVES_URAN" vbProcedure="false">"c9587"</definedName>
    <definedName function="false" hidden="true" name="IQ_PROVED_ATTRIB_ORE_RESERVES_ZINC" vbProcedure="false">"c9322"</definedName>
    <definedName function="false" hidden="true" name="IQ_PROVED_ORE_RESERVES_ALUM" vbProcedure="false">"c9207"</definedName>
    <definedName function="false" hidden="true" name="IQ_PROVED_ORE_RESERVES_COP" vbProcedure="false">"c9151"</definedName>
    <definedName function="false" hidden="true" name="IQ_PROVED_ORE_RESERVES_DIAM" vbProcedure="false">"c9631"</definedName>
    <definedName function="false" hidden="true" name="IQ_PROVED_ORE_RESERVES_GOLD" vbProcedure="false">"c8992"</definedName>
    <definedName function="false" hidden="true" name="IQ_PROVED_ORE_RESERVES_IRON" vbProcedure="false">"c9366"</definedName>
    <definedName function="false" hidden="true" name="IQ_PROVED_ORE_RESERVES_LEAD" vbProcedure="false">"c9419"</definedName>
    <definedName function="false" hidden="true" name="IQ_PROVED_ORE_RESERVES_MANG" vbProcedure="false">"c9472"</definedName>
    <definedName function="false" hidden="true" name="IQ_PROVED_ORE_RESERVES_MOLYB" vbProcedure="false">"c9684"</definedName>
    <definedName function="false" hidden="true" name="IQ_PROVED_ORE_RESERVES_NICK" vbProcedure="false">"c9260"</definedName>
    <definedName function="false" hidden="true" name="IQ_PROVED_ORE_RESERVES_PLAT" vbProcedure="false">"c9098"</definedName>
    <definedName function="false" hidden="true" name="IQ_PROVED_ORE_RESERVES_SILVER" vbProcedure="false">"c9045"</definedName>
    <definedName function="false" hidden="true" name="IQ_PROVED_ORE_RESERVES_TITAN" vbProcedure="false">"c9525"</definedName>
    <definedName function="false" hidden="true" name="IQ_PROVED_ORE_RESERVES_URAN" vbProcedure="false">"c9578"</definedName>
    <definedName function="false" hidden="true" name="IQ_PROVED_ORE_RESERVES_ZINC" vbProcedure="false">"c9313"</definedName>
    <definedName function="false" hidden="true" name="IQ_PROVED_RECOV_ATTRIB_RESERVES_ALUM" vbProcedure="false">"c9219"</definedName>
    <definedName function="false" hidden="true" name="IQ_PROVED_RECOV_ATTRIB_RESERVES_COAL" vbProcedure="false">"c9803"</definedName>
    <definedName function="false" hidden="true" name="IQ_PROVED_RECOV_ATTRIB_RESERVES_COP" vbProcedure="false">"c9163"</definedName>
    <definedName function="false" hidden="true" name="IQ_PROVED_RECOV_ATTRIB_RESERVES_DIAM" vbProcedure="false">"c9643"</definedName>
    <definedName function="false" hidden="true" name="IQ_PROVED_RECOV_ATTRIB_RESERVES_GOLD" vbProcedure="false">"c9004"</definedName>
    <definedName function="false" hidden="true" name="IQ_PROVED_RECOV_ATTRIB_RESERVES_IRON" vbProcedure="false">"c9378"</definedName>
    <definedName function="false" hidden="true" name="IQ_PROVED_RECOV_ATTRIB_RESERVES_LEAD" vbProcedure="false">"c9431"</definedName>
    <definedName function="false" hidden="true" name="IQ_PROVED_RECOV_ATTRIB_RESERVES_MANG" vbProcedure="false">"c9484"</definedName>
    <definedName function="false" hidden="true" name="IQ_PROVED_RECOV_ATTRIB_RESERVES_MET_COAL" vbProcedure="false">"c9743"</definedName>
    <definedName function="false" hidden="true" name="IQ_PROVED_RECOV_ATTRIB_RESERVES_MOLYB" vbProcedure="false">"c9696"</definedName>
    <definedName function="false" hidden="true" name="IQ_PROVED_RECOV_ATTRIB_RESERVES_NICK" vbProcedure="false">"c9272"</definedName>
    <definedName function="false" hidden="true" name="IQ_PROVED_RECOV_ATTRIB_RESERVES_PLAT" vbProcedure="false">"c9110"</definedName>
    <definedName function="false" hidden="true" name="IQ_PROVED_RECOV_ATTRIB_RESERVES_SILVER" vbProcedure="false">"c9057"</definedName>
    <definedName function="false" hidden="true" name="IQ_PROVED_RECOV_ATTRIB_RESERVES_STEAM" vbProcedure="false">"c9773"</definedName>
    <definedName function="false" hidden="true" name="IQ_PROVED_RECOV_ATTRIB_RESERVES_TITAN" vbProcedure="false">"c9537"</definedName>
    <definedName function="false" hidden="true" name="IQ_PROVED_RECOV_ATTRIB_RESERVES_URAN" vbProcedure="false">"c9590"</definedName>
    <definedName function="false" hidden="true" name="IQ_PROVED_RECOV_ATTRIB_RESERVES_ZINC" vbProcedure="false">"c9325"</definedName>
    <definedName function="false" hidden="true" name="IQ_PROVED_RECOV_RESERVES_ALUM" vbProcedure="false">"c9213"</definedName>
    <definedName function="false" hidden="true" name="IQ_PROVED_RECOV_RESERVES_COAL" vbProcedure="false">"c9800"</definedName>
    <definedName function="false" hidden="true" name="IQ_PROVED_RECOV_RESERVES_COP" vbProcedure="false">"c9157"</definedName>
    <definedName function="false" hidden="true" name="IQ_PROVED_RECOV_RESERVES_DIAM" vbProcedure="false">"c9637"</definedName>
    <definedName function="false" hidden="true" name="IQ_PROVED_RECOV_RESERVES_GOLD" vbProcedure="false">"c8998"</definedName>
    <definedName function="false" hidden="true" name="IQ_PROVED_RECOV_RESERVES_IRON" vbProcedure="false">"c9372"</definedName>
    <definedName function="false" hidden="true" name="IQ_PROVED_RECOV_RESERVES_LEAD" vbProcedure="false">"c9425"</definedName>
    <definedName function="false" hidden="true" name="IQ_PROVED_RECOV_RESERVES_MANG" vbProcedure="false">"c9478"</definedName>
    <definedName function="false" hidden="true" name="IQ_PROVED_RECOV_RESERVES_MET_COAL" vbProcedure="false">"c9740"</definedName>
    <definedName function="false" hidden="true" name="IQ_PROVED_RECOV_RESERVES_MOLYB" vbProcedure="false">"c9690"</definedName>
    <definedName function="false" hidden="true" name="IQ_PROVED_RECOV_RESERVES_NICK" vbProcedure="false">"c9266"</definedName>
    <definedName function="false" hidden="true" name="IQ_PROVED_RECOV_RESERVES_PLAT" vbProcedure="false">"c9104"</definedName>
    <definedName function="false" hidden="true" name="IQ_PROVED_RECOV_RESERVES_SILVER" vbProcedure="false">"c9051"</definedName>
    <definedName function="false" hidden="true" name="IQ_PROVED_RECOV_RESERVES_STEAM" vbProcedure="false">"c9770"</definedName>
    <definedName function="false" hidden="true" name="IQ_PROVED_RECOV_RESERVES_TITAN" vbProcedure="false">"c9531"</definedName>
    <definedName function="false" hidden="true" name="IQ_PROVED_RECOV_RESERVES_URAN" vbProcedure="false">"c9584"</definedName>
    <definedName function="false" hidden="true" name="IQ_PROVED_RECOV_RESERVES_ZINC" vbProcedure="false">"c9319"</definedName>
    <definedName function="false" hidden="true" name="IQ_PROVED_RESERVES_CALORIFIC_VALUE_COAL" vbProcedure="false">"c9797"</definedName>
    <definedName function="false" hidden="true" name="IQ_PROVED_RESERVES_CALORIFIC_VALUE_MET_COAL" vbProcedure="false">"c9737"</definedName>
    <definedName function="false" hidden="true" name="IQ_PROVED_RESERVES_CALORIFIC_VALUE_STEAM" vbProcedure="false">"c9767"</definedName>
    <definedName function="false" hidden="true" name="IQ_PROVED_RESERVES_GRADE_ALUM" vbProcedure="false">"c9208"</definedName>
    <definedName function="false" hidden="true" name="IQ_PROVED_RESERVES_GRADE_COP" vbProcedure="false">"c9152"</definedName>
    <definedName function="false" hidden="true" name="IQ_PROVED_RESERVES_GRADE_DIAM" vbProcedure="false">"c9632"</definedName>
    <definedName function="false" hidden="true" name="IQ_PROVED_RESERVES_GRADE_GOLD" vbProcedure="false">"c8993"</definedName>
    <definedName function="false" hidden="true" name="IQ_PROVED_RESERVES_GRADE_IRON" vbProcedure="false">"c9367"</definedName>
    <definedName function="false" hidden="true" name="IQ_PROVED_RESERVES_GRADE_LEAD" vbProcedure="false">"c9420"</definedName>
    <definedName function="false" hidden="true" name="IQ_PROVED_RESERVES_GRADE_MANG" vbProcedure="false">"c9473"</definedName>
    <definedName function="false" hidden="true" name="IQ_PROVED_RESERVES_GRADE_MOLYB" vbProcedure="false">"c9685"</definedName>
    <definedName function="false" hidden="true" name="IQ_PROVED_RESERVES_GRADE_NICK" vbProcedure="false">"c9261"</definedName>
    <definedName function="false" hidden="true" name="IQ_PROVED_RESERVES_GRADE_PLAT" vbProcedure="false">"c9099"</definedName>
    <definedName function="false" hidden="true" name="IQ_PROVED_RESERVES_GRADE_SILVER" vbProcedure="false">"c9046"</definedName>
    <definedName function="false" hidden="true" name="IQ_PROVED_RESERVES_GRADE_TITAN" vbProcedure="false">"c9526"</definedName>
    <definedName function="false" hidden="true" name="IQ_PROVED_RESERVES_GRADE_URAN" vbProcedure="false">"c9579"</definedName>
    <definedName function="false" hidden="true" name="IQ_PROVED_RESERVES_GRADE_ZINC" vbProcedure="false">"c9314"</definedName>
    <definedName function="false" hidden="true" name="IQ_PROVEN_RESERVES_TO_TOTAL_RESERVES_COAL" vbProcedure="false">"c15952"</definedName>
    <definedName function="false" hidden="true" name="IQ_PROVISION_10YR_ANN_CAGR" vbProcedure="false">"c6135"</definedName>
    <definedName function="false" hidden="true" name="IQ_PROVISION_10YR_ANN_GROWTH" vbProcedure="false">"c1077"</definedName>
    <definedName function="false" hidden="true" name="IQ_PROVISION_1YR_ANN_GROWTH" vbProcedure="false">"c1078"</definedName>
    <definedName function="false" hidden="true" name="IQ_PROVISION_2YR_ANN_CAGR" vbProcedure="false">"c6136"</definedName>
    <definedName function="false" hidden="true" name="IQ_PROVISION_2YR_ANN_GROWTH" vbProcedure="false">"c1079"</definedName>
    <definedName function="false" hidden="true" name="IQ_PROVISION_3YR_ANN_CAGR" vbProcedure="false">"c6137"</definedName>
    <definedName function="false" hidden="true" name="IQ_PROVISION_3YR_ANN_GROWTH" vbProcedure="false">"c1080"</definedName>
    <definedName function="false" hidden="true" name="IQ_PROVISION_5YR_ANN_CAGR" vbProcedure="false">"c6138"</definedName>
    <definedName function="false" hidden="true" name="IQ_PROVISION_5YR_ANN_GROWTH" vbProcedure="false">"c1081"</definedName>
    <definedName function="false" hidden="true" name="IQ_PROVISION_7YR_ANN_CAGR" vbProcedure="false">"c6139"</definedName>
    <definedName function="false" hidden="true" name="IQ_PROVISION_7YR_ANN_GROWTH" vbProcedure="false">"c1082"</definedName>
    <definedName function="false" hidden="true" name="IQ_PROVISION_AVG_LOANS" vbProcedure="false">"c15717"</definedName>
    <definedName function="false" hidden="true" name="IQ_PROVISION_CHARGE_OFFS" vbProcedure="false">"c1083"</definedName>
    <definedName function="false" hidden="true" name="IQ_PROVISION_LL_FFIEC" vbProcedure="false">"c13019"</definedName>
    <definedName function="false" hidden="true" name="IQ_PROVISION_LOAN_LOSS_AVG_ASSETS_FFIEC" vbProcedure="false">"c18879"</definedName>
    <definedName function="false" hidden="true" name="IQ_PROVISION_LOSSES_AVG_ASSETS_FFIEC" vbProcedure="false">"c13362"</definedName>
    <definedName function="false" hidden="true" name="IQ_PROVISION_LOSSES_AVG_LOANS_FFIEC" vbProcedure="false">"c13470"</definedName>
    <definedName function="false" hidden="true" name="IQ_PROVISION_LOSSES_NET_LOSSES_FFIEC" vbProcedure="false">"c13471"</definedName>
    <definedName function="false" hidden="true" name="IQ_PROV_BAD_DEBTS" vbProcedure="false">"c1075"</definedName>
    <definedName function="false" hidden="true" name="IQ_PROV_BAD_DEBTS_CF" vbProcedure="false">"c1076"</definedName>
    <definedName function="false" hidden="true" name="IQ_PRO_FORMA_BASIC_EPS" vbProcedure="false">"c1614"</definedName>
    <definedName function="false" hidden="true" name="IQ_PRO_FORMA_DILUT_EPS" vbProcedure="false">"c1615"</definedName>
    <definedName function="false" hidden="true" name="IQ_PRO_FORMA_NET_INC" vbProcedure="false">"c1452"</definedName>
    <definedName function="false" hidden="true" name="IQ_PSGR_REV" vbProcedure="false">"c19125"</definedName>
    <definedName function="false" hidden="true" name="IQ_PTBV" vbProcedure="false">"c1084"</definedName>
    <definedName function="false" hidden="true" name="IQ_PTBV_AVG" vbProcedure="false">"c1085"</definedName>
    <definedName function="false" hidden="true" name="IQ_PURCHASED_COAL" vbProcedure="false">"c15934"</definedName>
    <definedName function="false" hidden="true" name="IQ_PURCHASED_CREDIT_RELS_SERVICING_ASSETS_FFIEC" vbProcedure="false">"c12839"</definedName>
    <definedName function="false" hidden="true" name="IQ_PURCHASED_OPTION_CONTRACTS_FDIC" vbProcedure="false">"c6510"</definedName>
    <definedName function="false" hidden="true" name="IQ_PURCHASED_OPTION_CONTRACTS_FX_RISK_FDIC" vbProcedure="false">"c6515"</definedName>
    <definedName function="false" hidden="true" name="IQ_PURCHASED_OPTION_CONTRACTS_NON_FX_IR_FDIC" vbProcedure="false">"c6520"</definedName>
    <definedName function="false" hidden="true" name="IQ_PURCHASED_PRODUCTION_TO_SOLD_COAL" vbProcedure="false">"c15947"</definedName>
    <definedName function="false" hidden="true" name="IQ_PURCHASED_TO_PRODUCTION_COAL" vbProcedure="false">"c15948"</definedName>
    <definedName function="false" hidden="true" name="IQ_PURCHASED_TO_SOLD_COAL" vbProcedure="false">"c15946"</definedName>
    <definedName function="false" hidden="true" name="IQ_PURCHASES_EQUIP_NONRES_SAAR_APR_FC_UNUSED" vbProcedure="false">"c8491"</definedName>
    <definedName function="false" hidden="true" name="IQ_PURCHASES_EQUIP_NONRES_SAAR_APR_FC_UNUSED_UNUSED_UNUSED" vbProcedure="false">"c8491"</definedName>
    <definedName function="false" hidden="true" name="IQ_PURCHASES_EQUIP_NONRES_SAAR_APR_UNUSED" vbProcedure="false">"c7611"</definedName>
    <definedName function="false" hidden="true" name="IQ_PURCHASES_EQUIP_NONRES_SAAR_APR_UNUSED_UNUSED_UNUSED" vbProcedure="false">"c7611"</definedName>
    <definedName function="false" hidden="true" name="IQ_PURCHASES_EQUIP_NONRES_SAAR_FC_UNUSED" vbProcedure="false">"c7831"</definedName>
    <definedName function="false" hidden="true" name="IQ_PURCHASES_EQUIP_NONRES_SAAR_FC_UNUSED_UNUSED_UNUSED" vbProcedure="false">"c7831"</definedName>
    <definedName function="false" hidden="true" name="IQ_PURCHASES_EQUIP_NONRES_SAAR_POP_FC_UNUSED" vbProcedure="false">"c8051"</definedName>
    <definedName function="false" hidden="true" name="IQ_PURCHASES_EQUIP_NONRES_SAAR_POP_FC_UNUSED_UNUSED_UNUSED" vbProcedure="false">"c8051"</definedName>
    <definedName function="false" hidden="true" name="IQ_PURCHASES_EQUIP_NONRES_SAAR_POP_UNUSED" vbProcedure="false">"c7171"</definedName>
    <definedName function="false" hidden="true" name="IQ_PURCHASES_EQUIP_NONRES_SAAR_POP_UNUSED_UNUSED_UNUSED" vbProcedure="false">"c7171"</definedName>
    <definedName function="false" hidden="true" name="IQ_PURCHASES_EQUIP_NONRES_SAAR_UNUSED" vbProcedure="false">"c6951"</definedName>
    <definedName function="false" hidden="true" name="IQ_PURCHASES_EQUIP_NONRES_SAAR_UNUSED_UNUSED_UNUSED" vbProcedure="false">"c6951"</definedName>
    <definedName function="false" hidden="true" name="IQ_PURCHASES_EQUIP_NONRES_SAAR_YOY_FC_UNUSED" vbProcedure="false">"c8271"</definedName>
    <definedName function="false" hidden="true" name="IQ_PURCHASES_EQUIP_NONRES_SAAR_YOY_FC_UNUSED_UNUSED_UNUSED" vbProcedure="false">"c8271"</definedName>
    <definedName function="false" hidden="true" name="IQ_PURCHASES_EQUIP_NONRES_SAAR_YOY_UNUSED" vbProcedure="false">"c7391"</definedName>
    <definedName function="false" hidden="true" name="IQ_PURCHASES_EQUIP_NONRES_SAAR_YOY_UNUSED_UNUSED_UNUSED" vbProcedure="false">"c7391"</definedName>
    <definedName function="false" hidden="true" name="IQ_PURCHASE_FOREIGN_CURRENCIES_FDIC" vbProcedure="false">"c6513"</definedName>
    <definedName function="false" hidden="true" name="IQ_PURCHASE_TREASURY_FFIEC" vbProcedure="false">"c12966"</definedName>
    <definedName function="false" hidden="true" name="IQ_PURCHASING_SECURITIES_LL_REC_FFIEC" vbProcedure="false">"c12893"</definedName>
    <definedName function="false" hidden="true" name="IQ_PUT_DATE_SCHEDULE" vbProcedure="false">"c2483"</definedName>
    <definedName function="false" hidden="true" name="IQ_PUT_NOTIFICATION" vbProcedure="false">"c2485"</definedName>
    <definedName function="false" hidden="true" name="IQ_PUT_PRICE_SCHEDULE" vbProcedure="false">"c2484"</definedName>
    <definedName function="false" hidden="true" name="IQ_PV_PREMIUMS_NEW_BUSINESS" vbProcedure="false">"c9973"</definedName>
    <definedName function="false" hidden="true" name="IQ_QTD" vbProcedure="false">750000</definedName>
    <definedName function="false" hidden="true" name="IQ_QUALIFYING_MINORITY_INT_T1_FFIEC" vbProcedure="false">"c13135"</definedName>
    <definedName function="false" hidden="true" name="IQ_QUALIFYING_SUB_DEBT_REDEEM_PREF_T2_FFIEC" vbProcedure="false">"c13144"</definedName>
    <definedName function="false" hidden="true" name="IQ_QUALIFYING_TRUST_PREFERRED_T1_FFIEC" vbProcedure="false">"c13136"</definedName>
    <definedName function="false" hidden="true" name="IQ_QUICK_COMP" vbProcedure="false">"c13750"</definedName>
    <definedName function="false" hidden="true" name="IQ_QUICK_RATIO" vbProcedure="false">"c1086"</definedName>
    <definedName function="false" hidden="true" name="IQ_RATE_COMP_GROWTH_DOMESTIC" vbProcedure="false">"c1087"</definedName>
    <definedName function="false" hidden="true" name="IQ_RATE_COMP_GROWTH_FOREIGN" vbProcedure="false">"c1088"</definedName>
    <definedName function="false" hidden="true" name="IQ_RATE_COUNTRY" vbProcedure="false">"c19247"</definedName>
    <definedName function="false" hidden="true" name="IQ_RATE_LEVEL" vbProcedure="false">"c19251"</definedName>
    <definedName function="false" hidden="true" name="IQ_RATE_NAME" vbProcedure="false">"c19249"</definedName>
    <definedName function="false" hidden="true" name="IQ_RATE_TERM" vbProcedure="false">"c19248"</definedName>
    <definedName function="false" hidden="true" name="IQ_RATE_TYPE" vbProcedure="false">"c19246"</definedName>
    <definedName function="false" hidden="true" name="IQ_RAW_INV" vbProcedure="false">"c1089"</definedName>
    <definedName function="false" hidden="true" name="IQ_RAW_SALEABLE_INVENTORY_COAL" vbProcedure="false">"c15941"</definedName>
    <definedName function="false" hidden="true" name="IQ_RC" vbProcedure="false">"c2497"</definedName>
    <definedName function="false" hidden="true" name="IQ_RC_PCT" vbProcedure="false">"c2498"</definedName>
    <definedName function="false" hidden="true" name="IQ_RD_EXP" vbProcedure="false">"c1090"</definedName>
    <definedName function="false" hidden="true" name="IQ_RD_EXP_FN" vbProcedure="false">"c1091"</definedName>
    <definedName function="false" hidden="true" name="IQ_RE" vbProcedure="false">"c1092"</definedName>
    <definedName function="false" hidden="true" name="IQ_REALIZED_GAINS_AVAIL_SALE_SEC_FFIEC" vbProcedure="false">"c13022"</definedName>
    <definedName function="false" hidden="true" name="IQ_REALIZED_GAINS_HELD_MATURITY_SEC_FFIEC" vbProcedure="false">"c13021"</definedName>
    <definedName function="false" hidden="true" name="IQ_REALIZED_GAINS_SEC_TOT_FFIEC" vbProcedure="false">"c13517"</definedName>
    <definedName function="false" hidden="true" name="IQ_REAL_ESTATE" vbProcedure="false">"c1093"</definedName>
    <definedName function="false" hidden="true" name="IQ_REAL_ESTATE_ASSETS" vbProcedure="false">"c1094"</definedName>
    <definedName function="false" hidden="true" name="IQ_RECENT_FUNDS" vbProcedure="false">"c18908"</definedName>
    <definedName function="false" hidden="true" name="IQ_RECENT_FUNDS_ID" vbProcedure="false">"c18909"</definedName>
    <definedName function="false" hidden="true" name="IQ_RECOVERIES_1_4_FAMILY_LOANS_FDIC" vbProcedure="false">"c6707"</definedName>
    <definedName function="false" hidden="true" name="IQ_RECOVERIES_AUTO_LOANS_FDIC" vbProcedure="false">"c6701"</definedName>
    <definedName function="false" hidden="true" name="IQ_RECOVERIES_AVG_LOANS_FFIEC" vbProcedure="false">"c13476"</definedName>
    <definedName function="false" hidden="true" name="IQ_RECOVERIES_CL_LOANS_FDIC" vbProcedure="false">"c6702"</definedName>
    <definedName function="false" hidden="true" name="IQ_RECOVERIES_CREDIT_CARDS_RECEIVABLES_FDIC" vbProcedure="false">"c6704"</definedName>
    <definedName function="false" hidden="true" name="IQ_RECOVERIES_HOME_EQUITY_LINES_FDIC" vbProcedure="false">"c6705"</definedName>
    <definedName function="false" hidden="true" name="IQ_RECOVERIES_OTHER_CONSUMER_LOANS_FDIC" vbProcedure="false">"c6703"</definedName>
    <definedName function="false" hidden="true" name="IQ_RECOVERIES_OTHER_LOANS_FDIC" vbProcedure="false">"c6706"</definedName>
    <definedName function="false" hidden="true" name="IQ_RECURRING_PROFIT_ACT_OR_EST" vbProcedure="false">"c4507"</definedName>
    <definedName function="false" hidden="true" name="IQ_RECURRING_PROFIT_ACT_OR_EST_CIQ" vbProcedure="false">"c5045"</definedName>
    <definedName function="false" hidden="true" name="IQ_RECURRING_PROFIT_ACT_OR_EST_CIQ_COL" vbProcedure="false">"c11692"</definedName>
    <definedName function="false" hidden="true" name="IQ_RECURRING_PROFIT_EST" vbProcedure="false">"c4499"</definedName>
    <definedName function="false" hidden="true" name="IQ_RECURRING_PROFIT_EST_CIQ" vbProcedure="false">"c5037"</definedName>
    <definedName function="false" hidden="true" name="IQ_RECURRING_PROFIT_GUIDANCE" vbProcedure="false">"c4500"</definedName>
    <definedName function="false" hidden="true" name="IQ_RECURRING_PROFIT_GUIDANCE_CIQ" vbProcedure="false">"c5038"</definedName>
    <definedName function="false" hidden="true" name="IQ_RECURRING_PROFIT_GUIDANCE_CIQ_COL" vbProcedure="false">"c11685"</definedName>
    <definedName function="false" hidden="true" name="IQ_RECURRING_PROFIT_HIGH_EST" vbProcedure="false">"c4501"</definedName>
    <definedName function="false" hidden="true" name="IQ_RECURRING_PROFIT_HIGH_EST_CIQ" vbProcedure="false">"c5039"</definedName>
    <definedName function="false" hidden="true" name="IQ_RECURRING_PROFIT_HIGH_GUIDANCE" vbProcedure="false">"c4179"</definedName>
    <definedName function="false" hidden="true" name="IQ_RECURRING_PROFIT_HIGH_GUIDANCE_CIQ" vbProcedure="false">"c4591"</definedName>
    <definedName function="false" hidden="true" name="IQ_RECURRING_PROFIT_HIGH_GUIDANCE_CIQ_COL" vbProcedure="false">"c11240"</definedName>
    <definedName function="false" hidden="true" name="IQ_RECURRING_PROFIT_LOW_EST" vbProcedure="false">"c4502"</definedName>
    <definedName function="false" hidden="true" name="IQ_RECURRING_PROFIT_LOW_EST_CIQ" vbProcedure="false">"c5040"</definedName>
    <definedName function="false" hidden="true" name="IQ_RECURRING_PROFIT_LOW_GUIDANCE" vbProcedure="false">"c4219"</definedName>
    <definedName function="false" hidden="true" name="IQ_RECURRING_PROFIT_LOW_GUIDANCE_CIQ" vbProcedure="false">"c4631"</definedName>
    <definedName function="false" hidden="true" name="IQ_RECURRING_PROFIT_LOW_GUIDANCE_CIQ_COL" vbProcedure="false">"c11280"</definedName>
    <definedName function="false" hidden="true" name="IQ_RECURRING_PROFIT_MEDIAN_EST" vbProcedure="false">"c4503"</definedName>
    <definedName function="false" hidden="true" name="IQ_RECURRING_PROFIT_MEDIAN_EST_CIQ" vbProcedure="false">"c5041"</definedName>
    <definedName function="false" hidden="true" name="IQ_RECURRING_PROFIT_NUM_EST" vbProcedure="false">"c4504"</definedName>
    <definedName function="false" hidden="true" name="IQ_RECURRING_PROFIT_NUM_EST_CIQ" vbProcedure="false">"c5042"</definedName>
    <definedName function="false" hidden="true" name="IQ_RECURRING_PROFIT_SHARE_ACT_OR_EST" vbProcedure="false">"c4508"</definedName>
    <definedName function="false" hidden="true" name="IQ_RECURRING_PROFIT_SHARE_ACT_OR_EST_CIQ" vbProcedure="false">"c5046"</definedName>
    <definedName function="false" hidden="true" name="IQ_RECURRING_PROFIT_SHARE_ACT_OR_EST_CIQ_COL" vbProcedure="false">"c11693"</definedName>
    <definedName function="false" hidden="true" name="IQ_RECURRING_PROFIT_SHARE_EST" vbProcedure="false">"c4506"</definedName>
    <definedName function="false" hidden="true" name="IQ_RECURRING_PROFIT_SHARE_EST_CIQ" vbProcedure="false">"c5044"</definedName>
    <definedName function="false" hidden="true" name="IQ_RECURRING_PROFIT_SHARE_GUIDANCE" vbProcedure="false">"c4509"</definedName>
    <definedName function="false" hidden="true" name="IQ_RECURRING_PROFIT_SHARE_GUIDANCE_CIQ" vbProcedure="false">"c5047"</definedName>
    <definedName function="false" hidden="true" name="IQ_RECURRING_PROFIT_SHARE_GUIDANCE_CIQ_COL" vbProcedure="false">"c11694"</definedName>
    <definedName function="false" hidden="true" name="IQ_RECURRING_PROFIT_SHARE_HIGH_EST" vbProcedure="false">"c4510"</definedName>
    <definedName function="false" hidden="true" name="IQ_RECURRING_PROFIT_SHARE_HIGH_EST_CIQ" vbProcedure="false">"c5048"</definedName>
    <definedName function="false" hidden="true" name="IQ_RECURRING_PROFIT_SHARE_HIGH_GUIDANCE" vbProcedure="false">"c4200"</definedName>
    <definedName function="false" hidden="true" name="IQ_RECURRING_PROFIT_SHARE_HIGH_GUIDANCE_CIQ" vbProcedure="false">"c4612"</definedName>
    <definedName function="false" hidden="true" name="IQ_RECURRING_PROFIT_SHARE_HIGH_GUIDANCE_CIQ_COL" vbProcedure="false">"c11261"</definedName>
    <definedName function="false" hidden="true" name="IQ_RECURRING_PROFIT_SHARE_LOW_EST" vbProcedure="false">"c4511"</definedName>
    <definedName function="false" hidden="true" name="IQ_RECURRING_PROFIT_SHARE_LOW_EST_CIQ" vbProcedure="false">"c5049"</definedName>
    <definedName function="false" hidden="true" name="IQ_RECURRING_PROFIT_SHARE_LOW_GUIDANCE" vbProcedure="false">"c4240"</definedName>
    <definedName function="false" hidden="true" name="IQ_RECURRING_PROFIT_SHARE_LOW_GUIDANCE_CIQ" vbProcedure="false">"c4652"</definedName>
    <definedName function="false" hidden="true" name="IQ_RECURRING_PROFIT_SHARE_LOW_GUIDANCE_CIQ_COL" vbProcedure="false">"c11301"</definedName>
    <definedName function="false" hidden="true" name="IQ_RECURRING_PROFIT_SHARE_MEDIAN_EST" vbProcedure="false">"c4512"</definedName>
    <definedName function="false" hidden="true" name="IQ_RECURRING_PROFIT_SHARE_MEDIAN_EST_CIQ" vbProcedure="false">"c5050"</definedName>
    <definedName function="false" hidden="true" name="IQ_RECURRING_PROFIT_SHARE_NUM_EST" vbProcedure="false">"c4513"</definedName>
    <definedName function="false" hidden="true" name="IQ_RECURRING_PROFIT_SHARE_NUM_EST_CIQ" vbProcedure="false">"c5051"</definedName>
    <definedName function="false" hidden="true" name="IQ_RECURRING_PROFIT_SHARE_STDDEV_EST" vbProcedure="false">"c4514"</definedName>
    <definedName function="false" hidden="true" name="IQ_RECURRING_PROFIT_SHARE_STDDEV_EST_CIQ" vbProcedure="false">"c5052"</definedName>
    <definedName function="false" hidden="true" name="IQ_RECURRING_PROFIT_STDDEV_EST" vbProcedure="false">"c4516"</definedName>
    <definedName function="false" hidden="true" name="IQ_RECURRING_PROFIT_STDDEV_EST_CIQ" vbProcedure="false">"c5054"</definedName>
    <definedName function="false" hidden="true" name="IQ_REDEEM_PREF_STOCK" vbProcedure="false">"c1417"</definedName>
    <definedName function="false" hidden="true" name="IQ_REDUCTION_TAX_POSITION_CURRENT_YR" vbProcedure="false">"c15734"</definedName>
    <definedName function="false" hidden="true" name="IQ_REDUCTION_TAX_POSITION_PRIOR_YRS" vbProcedure="false">"c15736"</definedName>
    <definedName function="false" hidden="true" name="IQ_REF_ENTITY" vbProcedure="false">"c6033"</definedName>
    <definedName function="false" hidden="true" name="IQ_REF_ENTITY_CIQID" vbProcedure="false">"c6024"</definedName>
    <definedName function="false" hidden="true" name="IQ_REF_ENTITY_TICKER" vbProcedure="false">"c6023"</definedName>
    <definedName function="false" hidden="true" name="IQ_REG_ASSETS" vbProcedure="false">"c1095"</definedName>
    <definedName function="false" hidden="true" name="IQ_REINSURANCE" vbProcedure="false">"c1100"</definedName>
    <definedName function="false" hidden="true" name="IQ_REINSURANCE_RECOVERABLE_ASSETS_LH_FFIEC" vbProcedure="false">"c13104"</definedName>
    <definedName function="false" hidden="true" name="IQ_REINSURANCE_RECOVERABLE_ASSETS_PC_FFIEC" vbProcedure="false">"c13098"</definedName>
    <definedName function="false" hidden="true" name="IQ_REINSUR_PAY" vbProcedure="false">"c1096"</definedName>
    <definedName function="false" hidden="true" name="IQ_REINSUR_PAY_CF" vbProcedure="false">"c1097"</definedName>
    <definedName function="false" hidden="true" name="IQ_REINSUR_RECOVER" vbProcedure="false">"c1098"</definedName>
    <definedName function="false" hidden="true" name="IQ_REINSUR_RECOVER_CF" vbProcedure="false">"c1099"</definedName>
    <definedName function="false" hidden="true" name="IQ_RELATED_PLANS_FDIC" vbProcedure="false">"c6320"</definedName>
    <definedName function="false" hidden="true" name="IQ_RENTAL_NOI" vbProcedure="false">"c16065"</definedName>
    <definedName function="false" hidden="true" name="IQ_RENTAL_NOI_AVG_GROSS_PROP" vbProcedure="false">"c16057"</definedName>
    <definedName function="false" hidden="true" name="IQ_RENTAL_NOI_TOTAL_RENT_REVENUE" vbProcedure="false">"c16061"</definedName>
    <definedName function="false" hidden="true" name="IQ_RENTAL_REV" vbProcedure="false">"c1101"</definedName>
    <definedName function="false" hidden="true" name="IQ_RENT_AVG_PROP" vbProcedure="false">"c16056"</definedName>
    <definedName function="false" hidden="true" name="IQ_RENT_OTHER_INC_FROM_OREO_FFIEC" vbProcedure="false">"c13043"</definedName>
    <definedName function="false" hidden="true" name="IQ_RENT_PER_SQ_FT_AVG_CONSOL" vbProcedure="false">"c8846"</definedName>
    <definedName function="false" hidden="true" name="IQ_RENT_PER_SQ_FT_AVG_MANAGED" vbProcedure="false">"c8848"</definedName>
    <definedName function="false" hidden="true" name="IQ_RENT_PER_SQ_FT_AVG_OTHER" vbProcedure="false">"c8849"</definedName>
    <definedName function="false" hidden="true" name="IQ_RENT_PER_SQ_FT_AVG_TOTAL" vbProcedure="false">"c8850"</definedName>
    <definedName function="false" hidden="true" name="IQ_RENT_PER_SQ_FT_AVG_UNCONSOL" vbProcedure="false">"c8847"</definedName>
    <definedName function="false" hidden="true" name="IQ_RENT_PER_SQ_METER_AVG_CONSOL" vbProcedure="false">"c8851"</definedName>
    <definedName function="false" hidden="true" name="IQ_RENT_PER_SQ_METER_AVG_MANAGED" vbProcedure="false">"c8853"</definedName>
    <definedName function="false" hidden="true" name="IQ_RENT_PER_SQ_METER_AVG_OTHER" vbProcedure="false">"c8854"</definedName>
    <definedName function="false" hidden="true" name="IQ_RENT_PER_SQ_METER_AVG_TOTAL" vbProcedure="false">"c8855"</definedName>
    <definedName function="false" hidden="true" name="IQ_RENT_PER_SQ_METER_AVG_UNCONSOL" vbProcedure="false">"c8852"</definedName>
    <definedName function="false" hidden="true" name="IQ_RENT_SAFE_DEPOSIT_FFIEC" vbProcedure="false">"c13044"</definedName>
    <definedName function="false" hidden="true" name="IQ_REPAIRS_MAINTENANCE" vbProcedure="false">"c16032"</definedName>
    <definedName function="false" hidden="true" name="IQ_REPO" vbProcedure="false">"c19133"</definedName>
    <definedName function="false" hidden="true" name="IQ_REPRICEABLE_EARNING_ASSETS_INT_SENSITIVITY_FFIEC" vbProcedure="false">"c13093"</definedName>
    <definedName function="false" hidden="true" name="IQ_REPRICEABLE_INT_DEPOSITS_INT_SENSITIVITY_FFIEC" vbProcedure="false">"c13094"</definedName>
    <definedName function="false" hidden="true" name="IQ_REPURCHASED_REBOOKED_GNMA_DUE_30_89_FFIEC" vbProcedure="false">"c13283"</definedName>
    <definedName function="false" hidden="true" name="IQ_REPURCHASED_REBOOKED_GNMA_DUE_90_FFIEC" vbProcedure="false">"c13309"</definedName>
    <definedName function="false" hidden="true" name="IQ_REPURCHASED_REBOOKED_GNMA_NON_ACCRUAL_FFIEC" vbProcedure="false">"c13334"</definedName>
    <definedName function="false" hidden="true" name="IQ_RESEARCH_DEV" vbProcedure="false">"c1419"</definedName>
    <definedName function="false" hidden="true" name="IQ_RESIDENTIAL_LOANS" vbProcedure="false">"c1102"</definedName>
    <definedName function="false" hidden="true" name="IQ_RESTATEMENTS_FFIEC" vbProcedure="false">"c12958"</definedName>
    <definedName function="false" hidden="true" name="IQ_RESTATEMENTS_NET_FDIC" vbProcedure="false">"c6500"</definedName>
    <definedName function="false" hidden="true" name="IQ_RESTATEMENT_BS" vbProcedure="false">"c1643"</definedName>
    <definedName function="false" hidden="true" name="IQ_RESTATEMENT_CF" vbProcedure="false">"c1644"</definedName>
    <definedName function="false" hidden="true" name="IQ_RESTATEMENT_IS" vbProcedure="false">"c1642"</definedName>
    <definedName function="false" hidden="true" name="IQ_RESTRICTED_CASH" vbProcedure="false">"c1103"</definedName>
    <definedName function="false" hidden="true" name="IQ_RESTRICTED_CASH_NON_CURRENT" vbProcedure="false">"c6192"</definedName>
    <definedName function="false" hidden="true" name="IQ_RESTRICTED_CASH_TOTAL" vbProcedure="false">"c6193"</definedName>
    <definedName function="false" hidden="true" name="IQ_RESTRUCTURE" vbProcedure="false">"c1104"</definedName>
    <definedName function="false" hidden="true" name="IQ_RESTRUCTURED_LOANS" vbProcedure="false">"c1112"</definedName>
    <definedName function="false" hidden="true" name="IQ_RESTRUCTURED_LOANS_1_4_RESIDENTIAL_FDIC" vbProcedure="false">"c6378"</definedName>
    <definedName function="false" hidden="true" name="IQ_RESTRUCTURED_LOANS_LEASES_FDIC" vbProcedure="false">"c6377"</definedName>
    <definedName function="false" hidden="true" name="IQ_RESTRUCTURED_LOANS_NON_1_4_FDIC" vbProcedure="false">"c6379"</definedName>
    <definedName function="false" hidden="true" name="IQ_RESTRUCTURE_BNK" vbProcedure="false">"c1105"</definedName>
    <definedName function="false" hidden="true" name="IQ_RESTRUCTURE_BR" vbProcedure="false">"c1106"</definedName>
    <definedName function="false" hidden="true" name="IQ_RESTRUCTURE_CF" vbProcedure="false">"c1107"</definedName>
    <definedName function="false" hidden="true" name="IQ_RESTRUCTURE_FIN" vbProcedure="false">"c1108"</definedName>
    <definedName function="false" hidden="true" name="IQ_RESTRUCTURE_INS" vbProcedure="false">"c1109"</definedName>
    <definedName function="false" hidden="true" name="IQ_RESTRUCTURE_RE" vbProcedure="false">"c6264"</definedName>
    <definedName function="false" hidden="true" name="IQ_RESTRUCTURE_REIT" vbProcedure="false">"c1110"</definedName>
    <definedName function="false" hidden="true" name="IQ_RESTRUCTURE_SUPPLE" vbProcedure="false">"c13809"</definedName>
    <definedName function="false" hidden="true" name="IQ_RESTRUCTURE_UTI" vbProcedure="false">"c1111"</definedName>
    <definedName function="false" hidden="true" name="IQ_RESTR_STOCK_COMP" vbProcedure="false">"c3506"</definedName>
    <definedName function="false" hidden="true" name="IQ_RESTR_STOCK_COMP_PRETAX" vbProcedure="false">"c3504"</definedName>
    <definedName function="false" hidden="true" name="IQ_RESTR_STOCK_COMP_TAX" vbProcedure="false">"c3505"</definedName>
    <definedName function="false" hidden="true" name="IQ_REST_ACQUIRED_AFFILIATED_OTHER_RESTAURANTS" vbProcedure="false">"c9873"</definedName>
    <definedName function="false" hidden="true" name="IQ_REST_ACQUIRED_FRANCHISE_RESTAURANTS" vbProcedure="false">"c9867"</definedName>
    <definedName function="false" hidden="true" name="IQ_REST_ACQUIRED_OWNED_RESTAURANTS" vbProcedure="false">"c9861"</definedName>
    <definedName function="false" hidden="true" name="IQ_REST_ACQUIRED_RESTAURANTS" vbProcedure="false">"c9855"</definedName>
    <definedName function="false" hidden="true" name="IQ_REST_AFFILIATED_OTHER_RESTAURANTS_BEG" vbProcedure="false">"c9871"</definedName>
    <definedName function="false" hidden="true" name="IQ_REST_AVG_VALUE_TRANSACTION" vbProcedure="false">"c9887"</definedName>
    <definedName function="false" hidden="true" name="IQ_REST_AVG_VALUE_TRANSACTION_GROWTH" vbProcedure="false">"c9888"</definedName>
    <definedName function="false" hidden="true" name="IQ_REST_AVG_WEEKLY_SALES" vbProcedure="false">"c9879"</definedName>
    <definedName function="false" hidden="true" name="IQ_REST_AVG_WEEKLY_SALES_FRANCHISE" vbProcedure="false">"c9877"</definedName>
    <definedName function="false" hidden="true" name="IQ_REST_AVG_WEEKLY_SALES_OWNED" vbProcedure="false">"c9878"</definedName>
    <definedName function="false" hidden="true" name="IQ_REST_CLOSED_AFFILIATED_OTHER_RESTAURANTS" vbProcedure="false">"c9874"</definedName>
    <definedName function="false" hidden="true" name="IQ_REST_CLOSED_FRANCHISE_RESTAURANTS" vbProcedure="false">"c9868"</definedName>
    <definedName function="false" hidden="true" name="IQ_REST_CLOSED_OWNED_RESTAURANTS" vbProcedure="false">"c9862"</definedName>
    <definedName function="false" hidden="true" name="IQ_REST_CLOSED_RESTAURANTS" vbProcedure="false">"c9856"</definedName>
    <definedName function="false" hidden="true" name="IQ_REST_FRANCHISE_RESTAURANTS_BEG" vbProcedure="false">"c9865"</definedName>
    <definedName function="false" hidden="true" name="IQ_REST_GUEST_COUNT_GROWTH" vbProcedure="false">"c9889"</definedName>
    <definedName function="false" hidden="true" name="IQ_REST_OPENED_AFFILIATED_OTHER_RESTAURANTS" vbProcedure="false">"c9872"</definedName>
    <definedName function="false" hidden="true" name="IQ_REST_OPENED_FRANCHISE_RESTAURANTS" vbProcedure="false">"c9866"</definedName>
    <definedName function="false" hidden="true" name="IQ_REST_OPENED_OWNED_RESTAURANTS" vbProcedure="false">"c9860"</definedName>
    <definedName function="false" hidden="true" name="IQ_REST_OPENED_RESTAURANTS" vbProcedure="false">"c9854"</definedName>
    <definedName function="false" hidden="true" name="IQ_REST_OPERATING_MARGIN" vbProcedure="false">"c9886"</definedName>
    <definedName function="false" hidden="true" name="IQ_REST_OWNED_RESTAURANTS_BEG" vbProcedure="false">"c9859"</definedName>
    <definedName function="false" hidden="true" name="IQ_REST_RESTAURANTS_BEG" vbProcedure="false">"c9853"</definedName>
    <definedName function="false" hidden="true" name="IQ_REST_SAME_RESTAURANT_SALES" vbProcedure="false">"c9885"</definedName>
    <definedName function="false" hidden="true" name="IQ_REST_SAME_RESTAURANT_SALES_FRANCHISE" vbProcedure="false">"c9883"</definedName>
    <definedName function="false" hidden="true" name="IQ_REST_SAME_RESTAURANT_SALES_GROWTH" vbProcedure="false">"c9882"</definedName>
    <definedName function="false" hidden="true" name="IQ_REST_SAME_RESTAURANT_SALES_GROWTH_FRANCHISE" vbProcedure="false">"c9880"</definedName>
    <definedName function="false" hidden="true" name="IQ_REST_SAME_RESTAURANT_SALES_GROWTH_OWNED" vbProcedure="false">"c9881"</definedName>
    <definedName function="false" hidden="true" name="IQ_REST_SAME_RESTAURANT_SALES_OWNED" vbProcedure="false">"c9884"</definedName>
    <definedName function="false" hidden="true" name="IQ_REST_SOLD_AFFILIATED_OTHER_RESTAURANTS" vbProcedure="false">"c9875"</definedName>
    <definedName function="false" hidden="true" name="IQ_REST_SOLD_FRANCHISE_RESTAURANTS" vbProcedure="false">"c9869"</definedName>
    <definedName function="false" hidden="true" name="IQ_REST_SOLD_OWNED_RESTAURANTS" vbProcedure="false">"c9863"</definedName>
    <definedName function="false" hidden="true" name="IQ_REST_SOLD_RESTAURANTS" vbProcedure="false">"c9857"</definedName>
    <definedName function="false" hidden="true" name="IQ_REST_TOTAL_AFFILIATED_OTHER_RESTAURANTS" vbProcedure="false">"c9876"</definedName>
    <definedName function="false" hidden="true" name="IQ_REST_TOTAL_FRANCHISE_RESTAURANTS" vbProcedure="false">"c9870"</definedName>
    <definedName function="false" hidden="true" name="IQ_REST_TOTAL_OWNED_RESTAURANTS" vbProcedure="false">"c9864"</definedName>
    <definedName function="false" hidden="true" name="IQ_REST_TOTAL_RESTAURANTS" vbProcedure="false">"c9858"</definedName>
    <definedName function="false" hidden="true" name="IQ_RES_CONST_REAL_APR_FC_UNUSED" vbProcedure="false">"c8536"</definedName>
    <definedName function="false" hidden="true" name="IQ_RES_CONST_REAL_APR_FC_UNUSED_UNUSED_UNUSED" vbProcedure="false">"c8536"</definedName>
    <definedName function="false" hidden="true" name="IQ_RES_CONST_REAL_APR_UNUSED" vbProcedure="false">"c7656"</definedName>
    <definedName function="false" hidden="true" name="IQ_RES_CONST_REAL_APR_UNUSED_UNUSED_UNUSED" vbProcedure="false">"c7656"</definedName>
    <definedName function="false" hidden="true" name="IQ_RES_CONST_REAL_FC_UNUSED" vbProcedure="false">"c7876"</definedName>
    <definedName function="false" hidden="true" name="IQ_RES_CONST_REAL_FC_UNUSED_UNUSED_UNUSED" vbProcedure="false">"c7876"</definedName>
    <definedName function="false" hidden="true" name="IQ_RES_CONST_REAL_POP_FC_UNUSED" vbProcedure="false">"c8096"</definedName>
    <definedName function="false" hidden="true" name="IQ_RES_CONST_REAL_POP_FC_UNUSED_UNUSED_UNUSED" vbProcedure="false">"c8096"</definedName>
    <definedName function="false" hidden="true" name="IQ_RES_CONST_REAL_POP_UNUSED" vbProcedure="false">"c7216"</definedName>
    <definedName function="false" hidden="true" name="IQ_RES_CONST_REAL_POP_UNUSED_UNUSED_UNUSED" vbProcedure="false">"c7216"</definedName>
    <definedName function="false" hidden="true" name="IQ_RES_CONST_REAL_SAAR_APR_FC_UNUSED" vbProcedure="false">"c8537"</definedName>
    <definedName function="false" hidden="true" name="IQ_RES_CONST_REAL_SAAR_APR_FC_UNUSED_UNUSED_UNUSED" vbProcedure="false">"c8537"</definedName>
    <definedName function="false" hidden="true" name="IQ_RES_CONST_REAL_SAAR_APR_UNUSED" vbProcedure="false">"c7657"</definedName>
    <definedName function="false" hidden="true" name="IQ_RES_CONST_REAL_SAAR_APR_UNUSED_UNUSED_UNUSED" vbProcedure="false">"c7657"</definedName>
    <definedName function="false" hidden="true" name="IQ_RES_CONST_REAL_SAAR_FC_UNUSED" vbProcedure="false">"c7877"</definedName>
    <definedName function="false" hidden="true" name="IQ_RES_CONST_REAL_SAAR_FC_UNUSED_UNUSED_UNUSED" vbProcedure="false">"c7877"</definedName>
    <definedName function="false" hidden="true" name="IQ_RES_CONST_REAL_SAAR_POP_FC_UNUSED" vbProcedure="false">"c8097"</definedName>
    <definedName function="false" hidden="true" name="IQ_RES_CONST_REAL_SAAR_POP_FC_UNUSED_UNUSED_UNUSED" vbProcedure="false">"c8097"</definedName>
    <definedName function="false" hidden="true" name="IQ_RES_CONST_REAL_SAAR_POP_UNUSED" vbProcedure="false">"c7217"</definedName>
    <definedName function="false" hidden="true" name="IQ_RES_CONST_REAL_SAAR_POP_UNUSED_UNUSED_UNUSED" vbProcedure="false">"c7217"</definedName>
    <definedName function="false" hidden="true" name="IQ_RES_CONST_REAL_SAAR_UNUSED" vbProcedure="false">"c6997"</definedName>
    <definedName function="false" hidden="true" name="IQ_RES_CONST_REAL_SAAR_UNUSED_UNUSED_UNUSED" vbProcedure="false">"c6997"</definedName>
    <definedName function="false" hidden="true" name="IQ_RES_CONST_REAL_SAAR_YOY_FC_UNUSED" vbProcedure="false">"c8317"</definedName>
    <definedName function="false" hidden="true" name="IQ_RES_CONST_REAL_SAAR_YOY_FC_UNUSED_UNUSED_UNUSED" vbProcedure="false">"c8317"</definedName>
    <definedName function="false" hidden="true" name="IQ_RES_CONST_REAL_SAAR_YOY_UNUSED" vbProcedure="false">"c7437"</definedName>
    <definedName function="false" hidden="true" name="IQ_RES_CONST_REAL_SAAR_YOY_UNUSED_UNUSED_UNUSED" vbProcedure="false">"c7437"</definedName>
    <definedName function="false" hidden="true" name="IQ_RES_CONST_REAL_UNUSED" vbProcedure="false">"c6996"</definedName>
    <definedName function="false" hidden="true" name="IQ_RES_CONST_REAL_UNUSED_UNUSED_UNUSED" vbProcedure="false">"c6996"</definedName>
    <definedName function="false" hidden="true" name="IQ_RES_CONST_REAL_YOY_FC_UNUSED" vbProcedure="false">"c8316"</definedName>
    <definedName function="false" hidden="true" name="IQ_RES_CONST_REAL_YOY_FC_UNUSED_UNUSED_UNUSED" vbProcedure="false">"c8316"</definedName>
    <definedName function="false" hidden="true" name="IQ_RES_CONST_REAL_YOY_UNUSED" vbProcedure="false">"c7436"</definedName>
    <definedName function="false" hidden="true" name="IQ_RES_CONST_REAL_YOY_UNUSED_UNUSED_UNUSED" vbProcedure="false">"c7436"</definedName>
    <definedName function="false" hidden="true" name="IQ_RES_CONST_SAAR_APR_FC_UNUSED" vbProcedure="false">"c8540"</definedName>
    <definedName function="false" hidden="true" name="IQ_RES_CONST_SAAR_APR_FC_UNUSED_UNUSED_UNUSED" vbProcedure="false">"c8540"</definedName>
    <definedName function="false" hidden="true" name="IQ_RES_CONST_SAAR_APR_UNUSED" vbProcedure="false">"c7660"</definedName>
    <definedName function="false" hidden="true" name="IQ_RES_CONST_SAAR_APR_UNUSED_UNUSED_UNUSED" vbProcedure="false">"c7660"</definedName>
    <definedName function="false" hidden="true" name="IQ_RES_CONST_SAAR_FC_UNUSED" vbProcedure="false">"c7880"</definedName>
    <definedName function="false" hidden="true" name="IQ_RES_CONST_SAAR_FC_UNUSED_UNUSED_UNUSED" vbProcedure="false">"c7880"</definedName>
    <definedName function="false" hidden="true" name="IQ_RES_CONST_SAAR_POP_FC_UNUSED" vbProcedure="false">"c8100"</definedName>
    <definedName function="false" hidden="true" name="IQ_RES_CONST_SAAR_POP_FC_UNUSED_UNUSED_UNUSED" vbProcedure="false">"c8100"</definedName>
    <definedName function="false" hidden="true" name="IQ_RES_CONST_SAAR_POP_UNUSED" vbProcedure="false">"c7220"</definedName>
    <definedName function="false" hidden="true" name="IQ_RES_CONST_SAAR_POP_UNUSED_UNUSED_UNUSED" vbProcedure="false">"c7220"</definedName>
    <definedName function="false" hidden="true" name="IQ_RES_CONST_SAAR_UNUSED" vbProcedure="false">"c7000"</definedName>
    <definedName function="false" hidden="true" name="IQ_RES_CONST_SAAR_UNUSED_UNUSED_UNUSED" vbProcedure="false">"c7000"</definedName>
    <definedName function="false" hidden="true" name="IQ_RES_CONST_SAAR_YOY_FC_UNUSED" vbProcedure="false">"c8320"</definedName>
    <definedName function="false" hidden="true" name="IQ_RES_CONST_SAAR_YOY_FC_UNUSED_UNUSED_UNUSED" vbProcedure="false">"c8320"</definedName>
    <definedName function="false" hidden="true" name="IQ_RES_CONST_SAAR_YOY_UNUSED" vbProcedure="false">"c7440"</definedName>
    <definedName function="false" hidden="true" name="IQ_RES_CONST_SAAR_YOY_UNUSED_UNUSED_UNUSED" vbProcedure="false">"c7440"</definedName>
    <definedName function="false" hidden="true" name="IQ_RES_FIXED_INVEST" vbProcedure="false">"c7001"</definedName>
    <definedName function="false" hidden="true" name="IQ_RES_FIXED_INVEST_APR" vbProcedure="false">"c7661"</definedName>
    <definedName function="false" hidden="true" name="IQ_RES_FIXED_INVEST_APR_FC" vbProcedure="false">"c8541"</definedName>
    <definedName function="false" hidden="true" name="IQ_RES_FIXED_INVEST_FC" vbProcedure="false">"c7881"</definedName>
    <definedName function="false" hidden="true" name="IQ_RES_FIXED_INVEST_POP" vbProcedure="false">"c7221"</definedName>
    <definedName function="false" hidden="true" name="IQ_RES_FIXED_INVEST_POP_FC" vbProcedure="false">"c8101"</definedName>
    <definedName function="false" hidden="true" name="IQ_RES_FIXED_INVEST_REAL" vbProcedure="false">"c6998"</definedName>
    <definedName function="false" hidden="true" name="IQ_RES_FIXED_INVEST_REAL_APR" vbProcedure="false">"c7658"</definedName>
    <definedName function="false" hidden="true" name="IQ_RES_FIXED_INVEST_REAL_APR_FC" vbProcedure="false">"c8538"</definedName>
    <definedName function="false" hidden="true" name="IQ_RES_FIXED_INVEST_REAL_FC" vbProcedure="false">"c7878"</definedName>
    <definedName function="false" hidden="true" name="IQ_RES_FIXED_INVEST_REAL_POP" vbProcedure="false">"c7218"</definedName>
    <definedName function="false" hidden="true" name="IQ_RES_FIXED_INVEST_REAL_POP_FC" vbProcedure="false">"c8098"</definedName>
    <definedName function="false" hidden="true" name="IQ_RES_FIXED_INVEST_REAL_YOY" vbProcedure="false">"c7438"</definedName>
    <definedName function="false" hidden="true" name="IQ_RES_FIXED_INVEST_REAL_YOY_FC" vbProcedure="false">"c8318"</definedName>
    <definedName function="false" hidden="true" name="IQ_RES_FIXED_INVEST_SAAR" vbProcedure="false">"c11994"</definedName>
    <definedName function="false" hidden="true" name="IQ_RES_FIXED_INVEST_SAAR_APR" vbProcedure="false">"c11997"</definedName>
    <definedName function="false" hidden="true" name="IQ_RES_FIXED_INVEST_SAAR_POP" vbProcedure="false">"c11995"</definedName>
    <definedName function="false" hidden="true" name="IQ_RES_FIXED_INVEST_SAAR_REAL" vbProcedure="false">"c11990"</definedName>
    <definedName function="false" hidden="true" name="IQ_RES_FIXED_INVEST_SAAR_REAL_APR" vbProcedure="false">"c11993"</definedName>
    <definedName function="false" hidden="true" name="IQ_RES_FIXED_INVEST_SAAR_REAL_POP" vbProcedure="false">"c11991"</definedName>
    <definedName function="false" hidden="true" name="IQ_RES_FIXED_INVEST_SAAR_REAL_YOY" vbProcedure="false">"c11992"</definedName>
    <definedName function="false" hidden="true" name="IQ_RES_FIXED_INVEST_SAAR_YOY" vbProcedure="false">"c11996"</definedName>
    <definedName function="false" hidden="true" name="IQ_RES_FIXED_INVEST_YOY" vbProcedure="false">"c7441"</definedName>
    <definedName function="false" hidden="true" name="IQ_RES_FIXED_INVEST_YOY_FC" vbProcedure="false">"c8321"</definedName>
    <definedName function="false" hidden="true" name="IQ_RETAIL_ACQUIRED_AFFILIATED_OTHER_STORES" vbProcedure="false">"c9892"</definedName>
    <definedName function="false" hidden="true" name="IQ_RETAIL_ACQUIRED_FRANCHISE_STORES" vbProcedure="false">"c2895"</definedName>
    <definedName function="false" hidden="true" name="IQ_RETAIL_ACQUIRED_OWNED_STORES" vbProcedure="false">"c2903"</definedName>
    <definedName function="false" hidden="true" name="IQ_RETAIL_ACQUIRED_STORES" vbProcedure="false">"c2887"</definedName>
    <definedName function="false" hidden="true" name="IQ_RETAIL_AFFILIATED_OTHER_STORES_BEG" vbProcedure="false">"c9890"</definedName>
    <definedName function="false" hidden="true" name="IQ_RETAIL_AVG_SQ_METERS_GROSS" vbProcedure="false">"c9908"</definedName>
    <definedName function="false" hidden="true" name="IQ_RETAIL_AVG_SQ_METERS_NET" vbProcedure="false">"c9907"</definedName>
    <definedName function="false" hidden="true" name="IQ_RETAIL_AVG_STORE_SIZE_GROSS" vbProcedure="false">"c2066"</definedName>
    <definedName function="false" hidden="true" name="IQ_RETAIL_AVG_STORE_SIZE_NET" vbProcedure="false">"c2067"</definedName>
    <definedName function="false" hidden="true" name="IQ_RETAIL_AVG_VALUE_TRANSACTION" vbProcedure="false">"c9915"</definedName>
    <definedName function="false" hidden="true" name="IQ_RETAIL_AVG_VALUE_TRANSACTION_GROWTH" vbProcedure="false">"c9916"</definedName>
    <definedName function="false" hidden="true" name="IQ_RETAIL_AVG_WK_SALES" vbProcedure="false">"c2891"</definedName>
    <definedName function="false" hidden="true" name="IQ_RETAIL_AVG_WK_SALES_FRANCHISE" vbProcedure="false">"c2899"</definedName>
    <definedName function="false" hidden="true" name="IQ_RETAIL_AVG_WK_SALES_OWNED" vbProcedure="false">"c2907"</definedName>
    <definedName function="false" hidden="true" name="IQ_RETAIL_CATALOG_REVENUES" vbProcedure="false">"c9903"</definedName>
    <definedName function="false" hidden="true" name="IQ_RETAIL_CLOSED_AFFILIATED_OTHER_STORES" vbProcedure="false">"c9893"</definedName>
    <definedName function="false" hidden="true" name="IQ_RETAIL_CLOSED_FRANCHISE_STORES" vbProcedure="false">"c2896"</definedName>
    <definedName function="false" hidden="true" name="IQ_RETAIL_CLOSED_OWNED_STORES" vbProcedure="false">"c2904"</definedName>
    <definedName function="false" hidden="true" name="IQ_RETAIL_CLOSED_STORES" vbProcedure="false">"c2063"</definedName>
    <definedName function="false" hidden="true" name="IQ_RETAIL_DEPOSITS_FDIC" vbProcedure="false">"c6488"</definedName>
    <definedName function="false" hidden="true" name="IQ_RETAIL_FRANCHISE_STORES_BEG" vbProcedure="false">"c2893"</definedName>
    <definedName function="false" hidden="true" name="IQ_RETAIL_GROSS_MARGIN" vbProcedure="false">"c9899"</definedName>
    <definedName function="false" hidden="true" name="IQ_RETAIL_IS_RATIO" vbProcedure="false">"c7002"</definedName>
    <definedName function="false" hidden="true" name="IQ_RETAIL_IS_RATIO_FC" vbProcedure="false">"c7882"</definedName>
    <definedName function="false" hidden="true" name="IQ_RETAIL_IS_RATIO_POP" vbProcedure="false">"c7222"</definedName>
    <definedName function="false" hidden="true" name="IQ_RETAIL_IS_RATIO_POP_FC" vbProcedure="false">"c8102"</definedName>
    <definedName function="false" hidden="true" name="IQ_RETAIL_IS_RATIO_YOY" vbProcedure="false">"c7442"</definedName>
    <definedName function="false" hidden="true" name="IQ_RETAIL_IS_RATIO_YOY_FC" vbProcedure="false">"c8322"</definedName>
    <definedName function="false" hidden="true" name="IQ_RETAIL_MERCHANDISE_MARGIN" vbProcedure="false">"c9901"</definedName>
    <definedName function="false" hidden="true" name="IQ_RETAIL_ONLINE_REVENUES" vbProcedure="false">"c9904"</definedName>
    <definedName function="false" hidden="true" name="IQ_RETAIL_OPENED_AFFILIATED_OTHER_STORES" vbProcedure="false">"c9891"</definedName>
    <definedName function="false" hidden="true" name="IQ_RETAIL_OPENED_FRANCHISE_STORES" vbProcedure="false">"c2894"</definedName>
    <definedName function="false" hidden="true" name="IQ_RETAIL_OPENED_OWNED_STORES" vbProcedure="false">"c2902"</definedName>
    <definedName function="false" hidden="true" name="IQ_RETAIL_OPENED_STORES" vbProcedure="false">"c2062"</definedName>
    <definedName function="false" hidden="true" name="IQ_RETAIL_OPERATING_MARGIN" vbProcedure="false">"c9900"</definedName>
    <definedName function="false" hidden="true" name="IQ_RETAIL_OWNED_STORES_BEG" vbProcedure="false">"c2901"</definedName>
    <definedName function="false" hidden="true" name="IQ_RETAIL_REVENUES" vbProcedure="false">"c9902"</definedName>
    <definedName function="false" hidden="true" name="IQ_RETAIL_SALES" vbProcedure="false">"c7003"</definedName>
    <definedName function="false" hidden="true" name="IQ_RETAIL_SALES_APR" vbProcedure="false">"c7663"</definedName>
    <definedName function="false" hidden="true" name="IQ_RETAIL_SALES_APR_FC" vbProcedure="false">"c8543"</definedName>
    <definedName function="false" hidden="true" name="IQ_RETAIL_SALES_CATALOG" vbProcedure="false">"c9903"</definedName>
    <definedName function="false" hidden="true" name="IQ_RETAIL_SALES_FC" vbProcedure="false">"c7883"</definedName>
    <definedName function="false" hidden="true" name="IQ_RETAIL_SALES_FOOD" vbProcedure="false">"c7004"</definedName>
    <definedName function="false" hidden="true" name="IQ_RETAIL_SALES_FOOD_APR" vbProcedure="false">"c7664"</definedName>
    <definedName function="false" hidden="true" name="IQ_RETAIL_SALES_FOOD_APR_FC" vbProcedure="false">"c8544"</definedName>
    <definedName function="false" hidden="true" name="IQ_RETAIL_SALES_FOOD_EXCL_VEHICLE" vbProcedure="false">"c7005"</definedName>
    <definedName function="false" hidden="true" name="IQ_RETAIL_SALES_FOOD_EXCL_VEHICLE_APR" vbProcedure="false">"c7665"</definedName>
    <definedName function="false" hidden="true" name="IQ_RETAIL_SALES_FOOD_EXCL_VEHICLE_APR_FC" vbProcedure="false">"c8545"</definedName>
    <definedName function="false" hidden="true" name="IQ_RETAIL_SALES_FOOD_EXCL_VEHICLE_FC" vbProcedure="false">"c7885"</definedName>
    <definedName function="false" hidden="true" name="IQ_RETAIL_SALES_FOOD_EXCL_VEHICLE_POP" vbProcedure="false">"c7225"</definedName>
    <definedName function="false" hidden="true" name="IQ_RETAIL_SALES_FOOD_EXCL_VEHICLE_POP_FC" vbProcedure="false">"c8105"</definedName>
    <definedName function="false" hidden="true" name="IQ_RETAIL_SALES_FOOD_EXCL_VEHICLE_YOY" vbProcedure="false">"c7445"</definedName>
    <definedName function="false" hidden="true" name="IQ_RETAIL_SALES_FOOD_EXCL_VEHICLE_YOY_FC" vbProcedure="false">"c8325"</definedName>
    <definedName function="false" hidden="true" name="IQ_RETAIL_SALES_FOOD_FC" vbProcedure="false">"c7884"</definedName>
    <definedName function="false" hidden="true" name="IQ_RETAIL_SALES_FOOD_POP" vbProcedure="false">"c7224"</definedName>
    <definedName function="false" hidden="true" name="IQ_RETAIL_SALES_FOOD_POP_FC" vbProcedure="false">"c8104"</definedName>
    <definedName function="false" hidden="true" name="IQ_RETAIL_SALES_FOOD_YOY" vbProcedure="false">"c7444"</definedName>
    <definedName function="false" hidden="true" name="IQ_RETAIL_SALES_FOOD_YOY_FC" vbProcedure="false">"c8324"</definedName>
    <definedName function="false" hidden="true" name="IQ_RETAIL_SALES_ONLINE" vbProcedure="false">"c9904"</definedName>
    <definedName function="false" hidden="true" name="IQ_RETAIL_SALES_POP" vbProcedure="false">"c7223"</definedName>
    <definedName function="false" hidden="true" name="IQ_RETAIL_SALES_POP_FC" vbProcedure="false">"c8103"</definedName>
    <definedName function="false" hidden="true" name="IQ_RETAIL_SALES_RETAIL" vbProcedure="false">"c9902"</definedName>
    <definedName function="false" hidden="true" name="IQ_RETAIL_SALES_SAAR" vbProcedure="false">"c7009"</definedName>
    <definedName function="false" hidden="true" name="IQ_RETAIL_SALES_SAAR_APR" vbProcedure="false">"c7669"</definedName>
    <definedName function="false" hidden="true" name="IQ_RETAIL_SALES_SAAR_APR_FC" vbProcedure="false">"c8549"</definedName>
    <definedName function="false" hidden="true" name="IQ_RETAIL_SALES_SAAR_FC" vbProcedure="false">"c7889"</definedName>
    <definedName function="false" hidden="true" name="IQ_RETAIL_SALES_SAAR_POP" vbProcedure="false">"c7229"</definedName>
    <definedName function="false" hidden="true" name="IQ_RETAIL_SALES_SAAR_POP_FC" vbProcedure="false">"c8109"</definedName>
    <definedName function="false" hidden="true" name="IQ_RETAIL_SALES_SAAR_YOY" vbProcedure="false">"c7449"</definedName>
    <definedName function="false" hidden="true" name="IQ_RETAIL_SALES_SAAR_YOY_FC" vbProcedure="false">"c8329"</definedName>
    <definedName function="false" hidden="true" name="IQ_RETAIL_SALES_SQFT_ALL_GROSS" vbProcedure="false">"c2138"</definedName>
    <definedName function="false" hidden="true" name="IQ_RETAIL_SALES_SQFT_ALL_NET" vbProcedure="false">"c2139"</definedName>
    <definedName function="false" hidden="true" name="IQ_RETAIL_SALES_SQFT_COMPARABLE_GROSS" vbProcedure="false">"c2136"</definedName>
    <definedName function="false" hidden="true" name="IQ_RETAIL_SALES_SQFT_COMPARABLE_NET" vbProcedure="false">"c2137"</definedName>
    <definedName function="false" hidden="true" name="IQ_RETAIL_SALES_SQFT_OWNED_GROSS" vbProcedure="false">"c2134"</definedName>
    <definedName function="false" hidden="true" name="IQ_RETAIL_SALES_SQFT_OWNED_NET" vbProcedure="false">"c2135"</definedName>
    <definedName function="false" hidden="true" name="IQ_RETAIL_SALES_SQ_METER_COMPARABLE_GROSS" vbProcedure="false">"c9914"</definedName>
    <definedName function="false" hidden="true" name="IQ_RETAIL_SALES_SQ_METER_COMPARABLE_NET" vbProcedure="false">"c9913"</definedName>
    <definedName function="false" hidden="true" name="IQ_RETAIL_SALES_SQ_METER_GROSS" vbProcedure="false">"c9910"</definedName>
    <definedName function="false" hidden="true" name="IQ_RETAIL_SALES_SQ_METER_NET" vbProcedure="false">"c9909"</definedName>
    <definedName function="false" hidden="true" name="IQ_RETAIL_SALES_SQ_METER_OWNED_GROSS" vbProcedure="false">"c9912"</definedName>
    <definedName function="false" hidden="true" name="IQ_RETAIL_SALES_SQ_METER_OWNED_NET" vbProcedure="false">"c9911"</definedName>
    <definedName function="false" hidden="true" name="IQ_RETAIL_SALES_VALUE_INDEX" vbProcedure="false">"c7006"</definedName>
    <definedName function="false" hidden="true" name="IQ_RETAIL_SALES_VALUE_INDEX_APR" vbProcedure="false">"c7666"</definedName>
    <definedName function="false" hidden="true" name="IQ_RETAIL_SALES_VALUE_INDEX_APR_FC" vbProcedure="false">"c8546"</definedName>
    <definedName function="false" hidden="true" name="IQ_RETAIL_SALES_VALUE_INDEX_FC" vbProcedure="false">"c7886"</definedName>
    <definedName function="false" hidden="true" name="IQ_RETAIL_SALES_VALUE_INDEX_POP" vbProcedure="false">"c7226"</definedName>
    <definedName function="false" hidden="true" name="IQ_RETAIL_SALES_VALUE_INDEX_POP_FC" vbProcedure="false">"c8106"</definedName>
    <definedName function="false" hidden="true" name="IQ_RETAIL_SALES_VALUE_INDEX_YOY" vbProcedure="false">"c7446"</definedName>
    <definedName function="false" hidden="true" name="IQ_RETAIL_SALES_VALUE_INDEX_YOY_FC" vbProcedure="false">"c8326"</definedName>
    <definedName function="false" hidden="true" name="IQ_RETAIL_SALES_VOL_INDEX" vbProcedure="false">"c7007"</definedName>
    <definedName function="false" hidden="true" name="IQ_RETAIL_SALES_VOL_INDEX_APR" vbProcedure="false">"c7667"</definedName>
    <definedName function="false" hidden="true" name="IQ_RETAIL_SALES_VOL_INDEX_APR_FC" vbProcedure="false">"c8547"</definedName>
    <definedName function="false" hidden="true" name="IQ_RETAIL_SALES_VOL_INDEX_EXCL_MOTOR" vbProcedure="false">"c7008"</definedName>
    <definedName function="false" hidden="true" name="IQ_RETAIL_SALES_VOL_INDEX_EXCL_MOTOR_APR" vbProcedure="false">"c7668"</definedName>
    <definedName function="false" hidden="true" name="IQ_RETAIL_SALES_VOL_INDEX_EXCL_MOTOR_APR_FC" vbProcedure="false">"c8548"</definedName>
    <definedName function="false" hidden="true" name="IQ_RETAIL_SALES_VOL_INDEX_EXCL_MOTOR_FC" vbProcedure="false">"c7888"</definedName>
    <definedName function="false" hidden="true" name="IQ_RETAIL_SALES_VOL_INDEX_EXCL_MOTOR_POP" vbProcedure="false">"c7228"</definedName>
    <definedName function="false" hidden="true" name="IQ_RETAIL_SALES_VOL_INDEX_EXCL_MOTOR_POP_FC" vbProcedure="false">"c8108"</definedName>
    <definedName function="false" hidden="true" name="IQ_RETAIL_SALES_VOL_INDEX_EXCL_MOTOR_YOY" vbProcedure="false">"c7448"</definedName>
    <definedName function="false" hidden="true" name="IQ_RETAIL_SALES_VOL_INDEX_EXCL_MOTOR_YOY_FC" vbProcedure="false">"c8328"</definedName>
    <definedName function="false" hidden="true" name="IQ_RETAIL_SALES_VOL_INDEX_FC" vbProcedure="false">"c7887"</definedName>
    <definedName function="false" hidden="true" name="IQ_RETAIL_SALES_VOL_INDEX_POP" vbProcedure="false">"c7227"</definedName>
    <definedName function="false" hidden="true" name="IQ_RETAIL_SALES_VOL_INDEX_POP_FC" vbProcedure="false">"c8107"</definedName>
    <definedName function="false" hidden="true" name="IQ_RETAIL_SALES_VOL_INDEX_YOY" vbProcedure="false">"c7447"</definedName>
    <definedName function="false" hidden="true" name="IQ_RETAIL_SALES_VOL_INDEX_YOY_FC" vbProcedure="false">"c8327"</definedName>
    <definedName function="false" hidden="true" name="IQ_RETAIL_SALES_YOY" vbProcedure="false">"c7443"</definedName>
    <definedName function="false" hidden="true" name="IQ_RETAIL_SALES_YOY_FC" vbProcedure="false">"c8323"</definedName>
    <definedName function="false" hidden="true" name="IQ_RETAIL_SAME_STORE_SALES" vbProcedure="false">"c9898"</definedName>
    <definedName function="false" hidden="true" name="IQ_RETAIL_SAME_STORE_SALES_FRANCHISE" vbProcedure="false">"c9896"</definedName>
    <definedName function="false" hidden="true" name="IQ_RETAIL_SAME_STORE_SALES_OWNED" vbProcedure="false">"c9897"</definedName>
    <definedName function="false" hidden="true" name="IQ_RETAIL_SOLD_AFFILIATED_OTHER_STORES" vbProcedure="false">"c9894"</definedName>
    <definedName function="false" hidden="true" name="IQ_RETAIL_SOLD_FRANCHISE_STORES" vbProcedure="false">"c2897"</definedName>
    <definedName function="false" hidden="true" name="IQ_RETAIL_SOLD_OWNED_STORES" vbProcedure="false">"c2905"</definedName>
    <definedName function="false" hidden="true" name="IQ_RETAIL_SOLD_STORES" vbProcedure="false">"c2889"</definedName>
    <definedName function="false" hidden="true" name="IQ_RETAIL_SQ_FOOTAGE" vbProcedure="false">"c2064"</definedName>
    <definedName function="false" hidden="true" name="IQ_RETAIL_STORES_BEG" vbProcedure="false">"c2885"</definedName>
    <definedName function="false" hidden="true" name="IQ_RETAIL_STORE_SELLING_AREA" vbProcedure="false">"c2065"</definedName>
    <definedName function="false" hidden="true" name="IQ_RETAIL_TOTAL_AFFILIATED_OTHER_STORES" vbProcedure="false">"c9895"</definedName>
    <definedName function="false" hidden="true" name="IQ_RETAIL_TOTAL_FRANCHISE_STORES" vbProcedure="false">"c2898"</definedName>
    <definedName function="false" hidden="true" name="IQ_RETAIL_TOTAL_OWNED_STORES" vbProcedure="false">"c2906"</definedName>
    <definedName function="false" hidden="true" name="IQ_RETAIL_TOTAL_SQ_METERS_GROSS" vbProcedure="false">"c9906"</definedName>
    <definedName function="false" hidden="true" name="IQ_RETAIL_TOTAL_SQ_METERS_NET" vbProcedure="false">"c9905"</definedName>
    <definedName function="false" hidden="true" name="IQ_RETAIL_TOTAL_STORES" vbProcedure="false">"c2061"</definedName>
    <definedName function="false" hidden="true" name="IQ_RETAIL_WHOLESALE_REVENUES" vbProcedure="false">"c15895"</definedName>
    <definedName function="false" hidden="true" name="IQ_RETAINED_EARN" vbProcedure="false">"c1420"</definedName>
    <definedName function="false" hidden="true" name="IQ_RETAINED_EARNINGS_AVERAGE_EQUITY_FDIC" vbProcedure="false">"c6733"</definedName>
    <definedName function="false" hidden="true" name="IQ_RETAINED_EARNINGS_EQUITY_FFIEC" vbProcedure="false">"c13348"</definedName>
    <definedName function="false" hidden="true" name="IQ_RETAINED_EARNINGS_FFIEC" vbProcedure="false">"c12878"</definedName>
    <definedName function="false" hidden="true" name="IQ_RETURN_ASSETS" vbProcedure="false">"c1113"</definedName>
    <definedName function="false" hidden="true" name="IQ_RETURN_ASSETS_ACT_OR_EST" vbProcedure="false">"c3585"</definedName>
    <definedName function="false" hidden="true" name="IQ_RETURN_ASSETS_ACT_OR_EST_CIQ" vbProcedure="false">"c12020"</definedName>
    <definedName function="false" hidden="true" name="IQ_RETURN_ASSETS_ACT_OR_EST_REUT" vbProcedure="false">"c5475"</definedName>
    <definedName function="false" hidden="true" name="IQ_RETURN_ASSETS_ACT_OR_EST_THOM" vbProcedure="false">"c5310"</definedName>
    <definedName function="false" hidden="true" name="IQ_RETURN_ASSETS_BANK" vbProcedure="false">"c1114"</definedName>
    <definedName function="false" hidden="true" name="IQ_RETURN_ASSETS_BROK" vbProcedure="false">"c1115"</definedName>
    <definedName function="false" hidden="true" name="IQ_RETURN_ASSETS_DET_EST" vbProcedure="false">"c12066"</definedName>
    <definedName function="false" hidden="true" name="IQ_RETURN_ASSETS_DET_EST_CIQ" vbProcedure="false">"c12130"</definedName>
    <definedName function="false" hidden="true" name="IQ_RETURN_ASSETS_DET_EST_DATE" vbProcedure="false">"c12219"</definedName>
    <definedName function="false" hidden="true" name="IQ_RETURN_ASSETS_DET_EST_DATE_CIQ" vbProcedure="false">"c12276"</definedName>
    <definedName function="false" hidden="true" name="IQ_RETURN_ASSETS_DET_EST_DATE_THOM" vbProcedure="false">"c12247"</definedName>
    <definedName function="false" hidden="true" name="IQ_RETURN_ASSETS_DET_EST_INCL" vbProcedure="false">"c12356"</definedName>
    <definedName function="false" hidden="true" name="IQ_RETURN_ASSETS_DET_EST_INCL_CIQ" vbProcedure="false">"c12404"</definedName>
    <definedName function="false" hidden="true" name="IQ_RETURN_ASSETS_DET_EST_INCL_THOM" vbProcedure="false">"c12379"</definedName>
    <definedName function="false" hidden="true" name="IQ_RETURN_ASSETS_DET_EST_NOTE" vbProcedure="false">"c17543"</definedName>
    <definedName function="false" hidden="true" name="IQ_RETURN_ASSETS_DET_EST_NOTE_CIQ" vbProcedure="false">"c17496"</definedName>
    <definedName function="false" hidden="true" name="IQ_RETURN_ASSETS_DET_EST_ORIGIN" vbProcedure="false">"c12591"</definedName>
    <definedName function="false" hidden="true" name="IQ_RETURN_ASSETS_DET_EST_ORIGIN_CIQ" vbProcedure="false">"c12645"</definedName>
    <definedName function="false" hidden="true" name="IQ_RETURN_ASSETS_DET_EST_ORIGIN_THOM" vbProcedure="false">"c12617"</definedName>
    <definedName function="false" hidden="true" name="IQ_RETURN_ASSETS_DET_EST_THOM" vbProcedure="false">"c12097"</definedName>
    <definedName function="false" hidden="true" name="IQ_RETURN_ASSETS_EST" vbProcedure="false">"c3529"</definedName>
    <definedName function="false" hidden="true" name="IQ_RETURN_ASSETS_EST_CIQ" vbProcedure="false">"c3828"</definedName>
    <definedName function="false" hidden="true" name="IQ_RETURN_ASSETS_EST_DOWN_2MONTH" vbProcedure="false">"c16537"</definedName>
    <definedName function="false" hidden="true" name="IQ_RETURN_ASSETS_EST_DOWN_2MONTH_CIQ" vbProcedure="false">"c16801"</definedName>
    <definedName function="false" hidden="true" name="IQ_RETURN_ASSETS_EST_DOWN_3MONTH" vbProcedure="false">"c16541"</definedName>
    <definedName function="false" hidden="true" name="IQ_RETURN_ASSETS_EST_DOWN_3MONTH_CIQ" vbProcedure="false">"c16805"</definedName>
    <definedName function="false" hidden="true" name="IQ_RETURN_ASSETS_EST_DOWN_MONTH" vbProcedure="false">"c16533"</definedName>
    <definedName function="false" hidden="true" name="IQ_RETURN_ASSETS_EST_DOWN_MONTH_CIQ" vbProcedure="false">"c16797"</definedName>
    <definedName function="false" hidden="true" name="IQ_RETURN_ASSETS_EST_NOTE" vbProcedure="false">"c17520"</definedName>
    <definedName function="false" hidden="true" name="IQ_RETURN_ASSETS_EST_NOTE_CIQ" vbProcedure="false">"c17473"</definedName>
    <definedName function="false" hidden="true" name="IQ_RETURN_ASSETS_EST_NUM_ANALYSTS_2MONTH" vbProcedure="false">"c16535"</definedName>
    <definedName function="false" hidden="true" name="IQ_RETURN_ASSETS_EST_NUM_ANALYSTS_2MONTH_CIQ" vbProcedure="false">"c16799"</definedName>
    <definedName function="false" hidden="true" name="IQ_RETURN_ASSETS_EST_NUM_ANALYSTS_3MONTH" vbProcedure="false">"c16539"</definedName>
    <definedName function="false" hidden="true" name="IQ_RETURN_ASSETS_EST_NUM_ANALYSTS_3MONTH_CIQ" vbProcedure="false">"c16803"</definedName>
    <definedName function="false" hidden="true" name="IQ_RETURN_ASSETS_EST_NUM_ANALYSTS_MONTH" vbProcedure="false">"c16531"</definedName>
    <definedName function="false" hidden="true" name="IQ_RETURN_ASSETS_EST_NUM_ANALYSTS_MONTH_CIQ" vbProcedure="false">"c16795"</definedName>
    <definedName function="false" hidden="true" name="IQ_RETURN_ASSETS_EST_REUT" vbProcedure="false">"c3990"</definedName>
    <definedName function="false" hidden="true" name="IQ_RETURN_ASSETS_EST_THOM" vbProcedure="false">"c4034"</definedName>
    <definedName function="false" hidden="true" name="IQ_RETURN_ASSETS_EST_TOTAL_REVISED_2MONTH" vbProcedure="false">"c16538"</definedName>
    <definedName function="false" hidden="true" name="IQ_RETURN_ASSETS_EST_TOTAL_REVISED_2MONTH_CIQ" vbProcedure="false">"c16802"</definedName>
    <definedName function="false" hidden="true" name="IQ_RETURN_ASSETS_EST_TOTAL_REVISED_3MONTH" vbProcedure="false">"c16542"</definedName>
    <definedName function="false" hidden="true" name="IQ_RETURN_ASSETS_EST_TOTAL_REVISED_3MONTH_CIQ" vbProcedure="false">"c16806"</definedName>
    <definedName function="false" hidden="true" name="IQ_RETURN_ASSETS_EST_TOTAL_REVISED_MONTH" vbProcedure="false">"c16534"</definedName>
    <definedName function="false" hidden="true" name="IQ_RETURN_ASSETS_EST_TOTAL_REVISED_MONTH_CIQ" vbProcedure="false">"c16798"</definedName>
    <definedName function="false" hidden="true" name="IQ_RETURN_ASSETS_EST_UP_2MONTH" vbProcedure="false">"c16536"</definedName>
    <definedName function="false" hidden="true" name="IQ_RETURN_ASSETS_EST_UP_2MONTH_CIQ" vbProcedure="false">"c16800"</definedName>
    <definedName function="false" hidden="true" name="IQ_RETURN_ASSETS_EST_UP_3MONTH" vbProcedure="false">"c16540"</definedName>
    <definedName function="false" hidden="true" name="IQ_RETURN_ASSETS_EST_UP_3MONTH_CIQ" vbProcedure="false">"c16804"</definedName>
    <definedName function="false" hidden="true" name="IQ_RETURN_ASSETS_EST_UP_MONTH" vbProcedure="false">"c16532"</definedName>
    <definedName function="false" hidden="true" name="IQ_RETURN_ASSETS_EST_UP_MONTH_CIQ" vbProcedure="false">"c16796"</definedName>
    <definedName function="false" hidden="true" name="IQ_RETURN_ASSETS_FDIC" vbProcedure="false">"c6730"</definedName>
    <definedName function="false" hidden="true" name="IQ_RETURN_ASSETS_FS" vbProcedure="false">"c1116"</definedName>
    <definedName function="false" hidden="true" name="IQ_RETURN_ASSETS_GUIDANCE" vbProcedure="false">"c4517"</definedName>
    <definedName function="false" hidden="true" name="IQ_RETURN_ASSETS_GUIDANCE_CIQ" vbProcedure="false">"c5055"</definedName>
    <definedName function="false" hidden="true" name="IQ_RETURN_ASSETS_GUIDANCE_CIQ_COL" vbProcedure="false">"c11702"</definedName>
    <definedName function="false" hidden="true" name="IQ_RETURN_ASSETS_HIGH_EST" vbProcedure="false">"c3530"</definedName>
    <definedName function="false" hidden="true" name="IQ_RETURN_ASSETS_HIGH_EST_CIQ" vbProcedure="false">"c3830"</definedName>
    <definedName function="false" hidden="true" name="IQ_RETURN_ASSETS_HIGH_EST_REUT" vbProcedure="false">"c3992"</definedName>
    <definedName function="false" hidden="true" name="IQ_RETURN_ASSETS_HIGH_EST_THOM" vbProcedure="false">"c4036"</definedName>
    <definedName function="false" hidden="true" name="IQ_RETURN_ASSETS_HIGH_GUIDANCE" vbProcedure="false">"c4183"</definedName>
    <definedName function="false" hidden="true" name="IQ_RETURN_ASSETS_HIGH_GUIDANCE_CIQ" vbProcedure="false">"c4595"</definedName>
    <definedName function="false" hidden="true" name="IQ_RETURN_ASSETS_HIGH_GUIDANCE_CIQ_COL" vbProcedure="false">"c11244"</definedName>
    <definedName function="false" hidden="true" name="IQ_RETURN_ASSETS_LOW_EST" vbProcedure="false">"c3531"</definedName>
    <definedName function="false" hidden="true" name="IQ_RETURN_ASSETS_LOW_EST_CIQ" vbProcedure="false">"c3831"</definedName>
    <definedName function="false" hidden="true" name="IQ_RETURN_ASSETS_LOW_EST_REUT" vbProcedure="false">"c3993"</definedName>
    <definedName function="false" hidden="true" name="IQ_RETURN_ASSETS_LOW_EST_THOM" vbProcedure="false">"c4037"</definedName>
    <definedName function="false" hidden="true" name="IQ_RETURN_ASSETS_LOW_GUIDANCE" vbProcedure="false">"c4223"</definedName>
    <definedName function="false" hidden="true" name="IQ_RETURN_ASSETS_LOW_GUIDANCE_CIQ" vbProcedure="false">"c4635"</definedName>
    <definedName function="false" hidden="true" name="IQ_RETURN_ASSETS_LOW_GUIDANCE_CIQ_COL" vbProcedure="false">"c11284"</definedName>
    <definedName function="false" hidden="true" name="IQ_RETURN_ASSETS_MEDIAN_EST" vbProcedure="false">"c3532"</definedName>
    <definedName function="false" hidden="true" name="IQ_RETURN_ASSETS_MEDIAN_EST_CIQ" vbProcedure="false">"c3829"</definedName>
    <definedName function="false" hidden="true" name="IQ_RETURN_ASSETS_MEDIAN_EST_REUT" vbProcedure="false">"c3991"</definedName>
    <definedName function="false" hidden="true" name="IQ_RETURN_ASSETS_MEDIAN_EST_THOM" vbProcedure="false">"c4035"</definedName>
    <definedName function="false" hidden="true" name="IQ_RETURN_ASSETS_NUM_EST" vbProcedure="false">"c3527"</definedName>
    <definedName function="false" hidden="true" name="IQ_RETURN_ASSETS_NUM_EST_CIQ" vbProcedure="false">"c3832"</definedName>
    <definedName function="false" hidden="true" name="IQ_RETURN_ASSETS_NUM_EST_REUT" vbProcedure="false">"c3994"</definedName>
    <definedName function="false" hidden="true" name="IQ_RETURN_ASSETS_NUM_EST_THOM" vbProcedure="false">"c4038"</definedName>
    <definedName function="false" hidden="true" name="IQ_RETURN_ASSETS_STDDEV_EST" vbProcedure="false">"c3528"</definedName>
    <definedName function="false" hidden="true" name="IQ_RETURN_ASSETS_STDDEV_EST_CIQ" vbProcedure="false">"c3833"</definedName>
    <definedName function="false" hidden="true" name="IQ_RETURN_ASSETS_STDDEV_EST_REUT" vbProcedure="false">"c3995"</definedName>
    <definedName function="false" hidden="true" name="IQ_RETURN_ASSETS_STDDEV_EST_THOM" vbProcedure="false">"c4039"</definedName>
    <definedName function="false" hidden="true" name="IQ_RETURN_CAPITAL" vbProcedure="false">"c1117"</definedName>
    <definedName function="false" hidden="true" name="IQ_RETURN_COMMON_EQUITY" vbProcedure="false">"c13838"</definedName>
    <definedName function="false" hidden="true" name="IQ_RETURN_EMBEDDED_VALUE" vbProcedure="false">"c9974"</definedName>
    <definedName function="false" hidden="true" name="IQ_RETURN_EQUITY" vbProcedure="false">"c1118"</definedName>
    <definedName function="false" hidden="true" name="IQ_RETURN_EQUITY_ACT_OR_EST" vbProcedure="false">"c3586"</definedName>
    <definedName function="false" hidden="true" name="IQ_RETURN_EQUITY_ACT_OR_EST_CIQ" vbProcedure="false">"c12021"</definedName>
    <definedName function="false" hidden="true" name="IQ_RETURN_EQUITY_ACT_OR_EST_REUT" vbProcedure="false">"c5476"</definedName>
    <definedName function="false" hidden="true" name="IQ_RETURN_EQUITY_ACT_OR_EST_THOM" vbProcedure="false">"c5311"</definedName>
    <definedName function="false" hidden="true" name="IQ_RETURN_EQUITY_BANK" vbProcedure="false">"c1119"</definedName>
    <definedName function="false" hidden="true" name="IQ_RETURN_EQUITY_BROK" vbProcedure="false">"c1120"</definedName>
    <definedName function="false" hidden="true" name="IQ_RETURN_EQUITY_DET_EST" vbProcedure="false">"c12067"</definedName>
    <definedName function="false" hidden="true" name="IQ_RETURN_EQUITY_DET_EST_CIQ" vbProcedure="false">"c12131"</definedName>
    <definedName function="false" hidden="true" name="IQ_RETURN_EQUITY_DET_EST_DATE" vbProcedure="false">"c12220"</definedName>
    <definedName function="false" hidden="true" name="IQ_RETURN_EQUITY_DET_EST_DATE_CIQ" vbProcedure="false">"c12277"</definedName>
    <definedName function="false" hidden="true" name="IQ_RETURN_EQUITY_DET_EST_DATE_THOM" vbProcedure="false">"c12248"</definedName>
    <definedName function="false" hidden="true" name="IQ_RETURN_EQUITY_DET_EST_INCL" vbProcedure="false">"c12357"</definedName>
    <definedName function="false" hidden="true" name="IQ_RETURN_EQUITY_DET_EST_INCL_CIQ" vbProcedure="false">"c12405"</definedName>
    <definedName function="false" hidden="true" name="IQ_RETURN_EQUITY_DET_EST_INCL_THOM" vbProcedure="false">"c12380"</definedName>
    <definedName function="false" hidden="true" name="IQ_RETURN_EQUITY_DET_EST_NOTE" vbProcedure="false">"c17544"</definedName>
    <definedName function="false" hidden="true" name="IQ_RETURN_EQUITY_DET_EST_NOTE_CIQ" vbProcedure="false">"c17497"</definedName>
    <definedName function="false" hidden="true" name="IQ_RETURN_EQUITY_DET_EST_ORIGIN" vbProcedure="false">"c12592"</definedName>
    <definedName function="false" hidden="true" name="IQ_RETURN_EQUITY_DET_EST_ORIGIN_CIQ" vbProcedure="false">"c12646"</definedName>
    <definedName function="false" hidden="true" name="IQ_RETURN_EQUITY_DET_EST_ORIGIN_THOM" vbProcedure="false">"c12618"</definedName>
    <definedName function="false" hidden="true" name="IQ_RETURN_EQUITY_DET_EST_THOM" vbProcedure="false">"c12098"</definedName>
    <definedName function="false" hidden="true" name="IQ_RETURN_EQUITY_EST" vbProcedure="false">"c3535"</definedName>
    <definedName function="false" hidden="true" name="IQ_RETURN_EQUITY_EST_CIQ" vbProcedure="false">"c3821"</definedName>
    <definedName function="false" hidden="true" name="IQ_RETURN_EQUITY_EST_DOWN_2MONTH" vbProcedure="false">"c16549"</definedName>
    <definedName function="false" hidden="true" name="IQ_RETURN_EQUITY_EST_DOWN_2MONTH_CIQ" vbProcedure="false">"c16813"</definedName>
    <definedName function="false" hidden="true" name="IQ_RETURN_EQUITY_EST_DOWN_3MONTH" vbProcedure="false">"c16553"</definedName>
    <definedName function="false" hidden="true" name="IQ_RETURN_EQUITY_EST_DOWN_3MONTH_CIQ" vbProcedure="false">"c16817"</definedName>
    <definedName function="false" hidden="true" name="IQ_RETURN_EQUITY_EST_DOWN_MONTH" vbProcedure="false">"c16545"</definedName>
    <definedName function="false" hidden="true" name="IQ_RETURN_EQUITY_EST_DOWN_MONTH_CIQ" vbProcedure="false">"c16809"</definedName>
    <definedName function="false" hidden="true" name="IQ_RETURN_EQUITY_EST_NOTE" vbProcedure="false">"c17521"</definedName>
    <definedName function="false" hidden="true" name="IQ_RETURN_EQUITY_EST_NOTE_CIQ" vbProcedure="false">"c17474"</definedName>
    <definedName function="false" hidden="true" name="IQ_RETURN_EQUITY_EST_NUM_ANALYSTS_2MONTH" vbProcedure="false">"c16547"</definedName>
    <definedName function="false" hidden="true" name="IQ_RETURN_EQUITY_EST_NUM_ANALYSTS_2MONTH_CIQ" vbProcedure="false">"c16811"</definedName>
    <definedName function="false" hidden="true" name="IQ_RETURN_EQUITY_EST_NUM_ANALYSTS_3MONTH" vbProcedure="false">"c16551"</definedName>
    <definedName function="false" hidden="true" name="IQ_RETURN_EQUITY_EST_NUM_ANALYSTS_3MONTH_CIQ" vbProcedure="false">"c16815"</definedName>
    <definedName function="false" hidden="true" name="IQ_RETURN_EQUITY_EST_NUM_ANALYSTS_MONTH" vbProcedure="false">"c16543"</definedName>
    <definedName function="false" hidden="true" name="IQ_RETURN_EQUITY_EST_NUM_ANALYSTS_MONTH_CIQ" vbProcedure="false">"c16807"</definedName>
    <definedName function="false" hidden="true" name="IQ_RETURN_EQUITY_EST_REUT" vbProcedure="false">"c3983"</definedName>
    <definedName function="false" hidden="true" name="IQ_RETURN_EQUITY_EST_THOM" vbProcedure="false">"c5479"</definedName>
    <definedName function="false" hidden="true" name="IQ_RETURN_EQUITY_EST_TOTAL_REVISED_2MONTH" vbProcedure="false">"c16550"</definedName>
    <definedName function="false" hidden="true" name="IQ_RETURN_EQUITY_EST_TOTAL_REVISED_2MONTH_CIQ" vbProcedure="false">"c16814"</definedName>
    <definedName function="false" hidden="true" name="IQ_RETURN_EQUITY_EST_TOTAL_REVISED_3MONTH" vbProcedure="false">"c16554"</definedName>
    <definedName function="false" hidden="true" name="IQ_RETURN_EQUITY_EST_TOTAL_REVISED_3MONTH_CIQ" vbProcedure="false">"c16818"</definedName>
    <definedName function="false" hidden="true" name="IQ_RETURN_EQUITY_EST_TOTAL_REVISED_MONTH" vbProcedure="false">"c16546"</definedName>
    <definedName function="false" hidden="true" name="IQ_RETURN_EQUITY_EST_TOTAL_REVISED_MONTH_CIQ" vbProcedure="false">"c16810"</definedName>
    <definedName function="false" hidden="true" name="IQ_RETURN_EQUITY_EST_UP_2MONTH" vbProcedure="false">"c16548"</definedName>
    <definedName function="false" hidden="true" name="IQ_RETURN_EQUITY_EST_UP_2MONTH_CIQ" vbProcedure="false">"c16812"</definedName>
    <definedName function="false" hidden="true" name="IQ_RETURN_EQUITY_EST_UP_3MONTH" vbProcedure="false">"c16552"</definedName>
    <definedName function="false" hidden="true" name="IQ_RETURN_EQUITY_EST_UP_3MONTH_CIQ" vbProcedure="false">"c16816"</definedName>
    <definedName function="false" hidden="true" name="IQ_RETURN_EQUITY_EST_UP_MONTH" vbProcedure="false">"c16544"</definedName>
    <definedName function="false" hidden="true" name="IQ_RETURN_EQUITY_EST_UP_MONTH_CIQ" vbProcedure="false">"c16808"</definedName>
    <definedName function="false" hidden="true" name="IQ_RETURN_EQUITY_FDIC" vbProcedure="false">"c6732"</definedName>
    <definedName function="false" hidden="true" name="IQ_RETURN_EQUITY_FS" vbProcedure="false">"c1121"</definedName>
    <definedName function="false" hidden="true" name="IQ_RETURN_EQUITY_GUIDANCE" vbProcedure="false">"c4518"</definedName>
    <definedName function="false" hidden="true" name="IQ_RETURN_EQUITY_GUIDANCE_CIQ" vbProcedure="false">"c5056"</definedName>
    <definedName function="false" hidden="true" name="IQ_RETURN_EQUITY_GUIDANCE_CIQ_COL" vbProcedure="false">"c11703"</definedName>
    <definedName function="false" hidden="true" name="IQ_RETURN_EQUITY_HIGH_EST" vbProcedure="false">"c3536"</definedName>
    <definedName function="false" hidden="true" name="IQ_RETURN_EQUITY_HIGH_EST_CIQ" vbProcedure="false">"c3823"</definedName>
    <definedName function="false" hidden="true" name="IQ_RETURN_EQUITY_HIGH_EST_REUT" vbProcedure="false">"c3985"</definedName>
    <definedName function="false" hidden="true" name="IQ_RETURN_EQUITY_HIGH_EST_THOM" vbProcedure="false">"c5283"</definedName>
    <definedName function="false" hidden="true" name="IQ_RETURN_EQUITY_HIGH_GUIDANCE" vbProcedure="false">"c4182"</definedName>
    <definedName function="false" hidden="true" name="IQ_RETURN_EQUITY_HIGH_GUIDANCE_CIQ" vbProcedure="false">"c4594"</definedName>
    <definedName function="false" hidden="true" name="IQ_RETURN_EQUITY_HIGH_GUIDANCE_CIQ_COL" vbProcedure="false">"c11243"</definedName>
    <definedName function="false" hidden="true" name="IQ_RETURN_EQUITY_LOW_EST" vbProcedure="false">"c3537"</definedName>
    <definedName function="false" hidden="true" name="IQ_RETURN_EQUITY_LOW_EST_CIQ" vbProcedure="false">"c3824"</definedName>
    <definedName function="false" hidden="true" name="IQ_RETURN_EQUITY_LOW_EST_REUT" vbProcedure="false">"c3986"</definedName>
    <definedName function="false" hidden="true" name="IQ_RETURN_EQUITY_LOW_EST_THOM" vbProcedure="false">"c5284"</definedName>
    <definedName function="false" hidden="true" name="IQ_RETURN_EQUITY_LOW_GUIDANCE" vbProcedure="false">"c4222"</definedName>
    <definedName function="false" hidden="true" name="IQ_RETURN_EQUITY_LOW_GUIDANCE_CIQ" vbProcedure="false">"c4634"</definedName>
    <definedName function="false" hidden="true" name="IQ_RETURN_EQUITY_LOW_GUIDANCE_CIQ_COL" vbProcedure="false">"c11283"</definedName>
    <definedName function="false" hidden="true" name="IQ_RETURN_EQUITY_MEDIAN_EST" vbProcedure="false">"c3538"</definedName>
    <definedName function="false" hidden="true" name="IQ_RETURN_EQUITY_MEDIAN_EST_CIQ" vbProcedure="false">"c3822"</definedName>
    <definedName function="false" hidden="true" name="IQ_RETURN_EQUITY_MEDIAN_EST_REUT" vbProcedure="false">"c3984"</definedName>
    <definedName function="false" hidden="true" name="IQ_RETURN_EQUITY_MEDIAN_EST_THOM" vbProcedure="false">"c5282"</definedName>
    <definedName function="false" hidden="true" name="IQ_RETURN_EQUITY_NUM_EST" vbProcedure="false">"c3533"</definedName>
    <definedName function="false" hidden="true" name="IQ_RETURN_EQUITY_NUM_EST_CIQ" vbProcedure="false">"c3825"</definedName>
    <definedName function="false" hidden="true" name="IQ_RETURN_EQUITY_NUM_EST_REUT" vbProcedure="false">"c3987"</definedName>
    <definedName function="false" hidden="true" name="IQ_RETURN_EQUITY_NUM_EST_THOM" vbProcedure="false">"c5285"</definedName>
    <definedName function="false" hidden="true" name="IQ_RETURN_EQUITY_STDDEV_EST" vbProcedure="false">"c3534"</definedName>
    <definedName function="false" hidden="true" name="IQ_RETURN_EQUITY_STDDEV_EST_CIQ" vbProcedure="false">"c3826"</definedName>
    <definedName function="false" hidden="true" name="IQ_RETURN_EQUITY_STDDEV_EST_REUT" vbProcedure="false">"c3988"</definedName>
    <definedName function="false" hidden="true" name="IQ_RETURN_EQUITY_STDDEV_EST_THOM" vbProcedure="false">"c5286"</definedName>
    <definedName function="false" hidden="true" name="IQ_RETURN_INVESTMENT" vbProcedure="false">"c1421"</definedName>
    <definedName function="false" hidden="true" name="IQ_REV" vbProcedure="false">"c1122"</definedName>
    <definedName function="false" hidden="true" name="IQ_REVALUATION_GAINS_DERIVATIVE_DOM_FFIEC" vbProcedure="false">"c12828"</definedName>
    <definedName function="false" hidden="true" name="IQ_REVALUATION_GAINS_DERIVATIVE_FOREIGN_FFIEC" vbProcedure="false">"c12829"</definedName>
    <definedName function="false" hidden="true" name="IQ_REVALUATION_GAINS_FDIC" vbProcedure="false">"c6428"</definedName>
    <definedName function="false" hidden="true" name="IQ_REVALUATION_LOSSES_FDIC" vbProcedure="false">"c6429"</definedName>
    <definedName function="false" hidden="true" name="IQ_REVALUATION_NON_TRADING_PROP" vbProcedure="false">"c15999"</definedName>
    <definedName function="false" hidden="true" name="IQ_REVENUE" vbProcedure="false">"c1422"</definedName>
    <definedName function="false" hidden="true" name="IQ_REVENUES_SATELLITE" vbProcedure="false">"c15792"</definedName>
    <definedName function="false" hidden="true" name="IQ_REVENUES_WIRELESS" vbProcedure="false">"c15793"</definedName>
    <definedName function="false" hidden="true" name="IQ_REVENUE_10K" vbProcedure="false">"IQ_REVENUE_10K"</definedName>
    <definedName function="false" hidden="true" name="IQ_REVENUE_10Q" vbProcedure="false">"IQ_REVENUE_10Q"</definedName>
    <definedName function="false" hidden="true" name="IQ_REVENUE_10Q1" vbProcedure="false">"IQ_REVENUE_10Q1"</definedName>
    <definedName function="false" hidden="true" name="IQ_REVENUE_ACT_OR_EST" vbProcedure="false">"c2214"</definedName>
    <definedName function="false" hidden="true" name="IQ_REVENUE_ACT_OR_EST_CIQ" vbProcedure="false">"c5059"</definedName>
    <definedName function="false" hidden="true" name="IQ_REVENUE_ACT_OR_EST_CIQ_COL" vbProcedure="false">"c11706"</definedName>
    <definedName function="false" hidden="true" name="IQ_REVENUE_ACT_OR_EST_REUT" vbProcedure="false">"c5461"</definedName>
    <definedName function="false" hidden="true" name="IQ_REVENUE_ACT_OR_EST_THOM" vbProcedure="false">"c5299"</definedName>
    <definedName function="false" hidden="true" name="IQ_REVENUE_ADVERTISING" vbProcedure="false">"c2880"</definedName>
    <definedName function="false" hidden="true" name="IQ_REVENUE_ANALOG_CABLE" vbProcedure="false">"c2875"</definedName>
    <definedName function="false" hidden="true" name="IQ_REVENUE_BASIC_CABLE" vbProcedure="false">"c2877"</definedName>
    <definedName function="false" hidden="true" name="IQ_REVENUE_BBAND" vbProcedure="false">"c2878"</definedName>
    <definedName function="false" hidden="true" name="IQ_REVENUE_BEFORE_LL_FFIEC" vbProcedure="false">"c13018"</definedName>
    <definedName function="false" hidden="true" name="IQ_REVENUE_COMMERCIAL" vbProcedure="false">"c2881"</definedName>
    <definedName function="false" hidden="true" name="IQ_REVENUE_DIGITAL_CABLE" vbProcedure="false">"c2876"</definedName>
    <definedName function="false" hidden="true" name="IQ_REVENUE_EST" vbProcedure="false">"IQ_REVENUE_EST"</definedName>
    <definedName function="false" hidden="true" name="IQ_REVENUE_EST_1" vbProcedure="false">"IQ_REVENUE_EST_1"</definedName>
    <definedName function="false" hidden="true" name="IQ_REVENUE_EST_BOTTOM_UP" vbProcedure="false">"c5488"</definedName>
    <definedName function="false" hidden="true" name="IQ_REVENUE_EST_BOTTOM_UP_CIQ" vbProcedure="false">"c12025"</definedName>
    <definedName function="false" hidden="true" name="IQ_REVENUE_EST_BOTTOM_UP_REUT" vbProcedure="false">"c5496"</definedName>
    <definedName function="false" hidden="true" name="IQ_REVENUE_EST_CIQ" vbProcedure="false">"c3616"</definedName>
    <definedName function="false" hidden="true" name="IQ_REVENUE_EST_DOWN_2MONTH" vbProcedure="false">"c16285"</definedName>
    <definedName function="false" hidden="true" name="IQ_REVENUE_EST_DOWN_2MONTH_CIQ" vbProcedure="false">"c16609"</definedName>
    <definedName function="false" hidden="true" name="IQ_REVENUE_EST_DOWN_3MONTH" vbProcedure="false">"c16289"</definedName>
    <definedName function="false" hidden="true" name="IQ_REVENUE_EST_DOWN_3MONTH_CIQ" vbProcedure="false">"c16613"</definedName>
    <definedName function="false" hidden="true" name="IQ_REVENUE_EST_DOWN_MONTH" vbProcedure="false">"c16281"</definedName>
    <definedName function="false" hidden="true" name="IQ_REVENUE_EST_DOWN_MONTH_CIQ" vbProcedure="false">"c16605"</definedName>
    <definedName function="false" hidden="true" name="IQ_REVENUE_EST_NOTE" vbProcedure="false">"c17502"</definedName>
    <definedName function="false" hidden="true" name="IQ_REVENUE_EST_NOTE_CIQ" vbProcedure="false">"c17455"</definedName>
    <definedName function="false" hidden="true" name="IQ_REVENUE_EST_NUM_ANALYSTS_2MONTH" vbProcedure="false">"c16283"</definedName>
    <definedName function="false" hidden="true" name="IQ_REVENUE_EST_NUM_ANALYSTS_2MONTH_CIQ" vbProcedure="false">"c16607"</definedName>
    <definedName function="false" hidden="true" name="IQ_REVENUE_EST_NUM_ANALYSTS_3MONTH" vbProcedure="false">"c16287"</definedName>
    <definedName function="false" hidden="true" name="IQ_REVENUE_EST_NUM_ANALYSTS_3MONTH_CIQ" vbProcedure="false">"c16611"</definedName>
    <definedName function="false" hidden="true" name="IQ_REVENUE_EST_NUM_ANALYSTS_MONTH" vbProcedure="false">"c16279"</definedName>
    <definedName function="false" hidden="true" name="IQ_REVENUE_EST_NUM_ANALYSTS_MONTH_CIQ" vbProcedure="false">"c16603"</definedName>
    <definedName function="false" hidden="true" name="IQ_REVENUE_EST_REUT" vbProcedure="false">"c3634"</definedName>
    <definedName function="false" hidden="true" name="IQ_REVENUE_EST_THOM" vbProcedure="false">"c3652"</definedName>
    <definedName function="false" hidden="true" name="IQ_REVENUE_EST_TOTAL_REVISED_2MONTH" vbProcedure="false">"c16286"</definedName>
    <definedName function="false" hidden="true" name="IQ_REVENUE_EST_TOTAL_REVISED_2MONTH_CIQ" vbProcedure="false">"c16610"</definedName>
    <definedName function="false" hidden="true" name="IQ_REVENUE_EST_TOTAL_REVISED_3MONTH" vbProcedure="false">"c16290"</definedName>
    <definedName function="false" hidden="true" name="IQ_REVENUE_EST_TOTAL_REVISED_3MONTH_CIQ" vbProcedure="false">"c16614"</definedName>
    <definedName function="false" hidden="true" name="IQ_REVENUE_EST_TOTAL_REVISED_MONTH" vbProcedure="false">"c16282"</definedName>
    <definedName function="false" hidden="true" name="IQ_REVENUE_EST_TOTAL_REVISED_MONTH_CIQ" vbProcedure="false">"c16606"</definedName>
    <definedName function="false" hidden="true" name="IQ_REVENUE_EST_UP_2MONTH" vbProcedure="false">"c16284"</definedName>
    <definedName function="false" hidden="true" name="IQ_REVENUE_EST_UP_2MONTH_CIQ" vbProcedure="false">"c16608"</definedName>
    <definedName function="false" hidden="true" name="IQ_REVENUE_EST_UP_3MONTH" vbProcedure="false">"c16288"</definedName>
    <definedName function="false" hidden="true" name="IQ_REVENUE_EST_UP_3MONTH_CIQ" vbProcedure="false">"c16612"</definedName>
    <definedName function="false" hidden="true" name="IQ_REVENUE_EST_UP_MONTH" vbProcedure="false">"c16280"</definedName>
    <definedName function="false" hidden="true" name="IQ_REVENUE_EST_UP_MONTH_CIQ" vbProcedure="false">"c16604"</definedName>
    <definedName function="false" hidden="true" name="IQ_REVENUE_GROWTH_1" vbProcedure="false">"IQ_REVENUE_GROWTH_1"</definedName>
    <definedName function="false" hidden="true" name="IQ_REVENUE_GROWTH_2" vbProcedure="false">"IQ_REVENUE_GROWTH_2"</definedName>
    <definedName function="false" hidden="true" name="IQ_REVENUE_GUIDANCE" vbProcedure="false">"c4519"</definedName>
    <definedName function="false" hidden="true" name="IQ_REVENUE_GUIDANCE_CIQ" vbProcedure="false">"c5057"</definedName>
    <definedName function="false" hidden="true" name="IQ_REVENUE_GUIDANCE_CIQ_COL" vbProcedure="false">"c11704"</definedName>
    <definedName function="false" hidden="true" name="IQ_REVENUE_HIGH_EST" vbProcedure="false">"c1127"</definedName>
    <definedName function="false" hidden="true" name="IQ_REVENUE_HIGH_EST_CIQ" vbProcedure="false">"c3618"</definedName>
    <definedName function="false" hidden="true" name="IQ_REVENUE_HIGH_EST_REUT" vbProcedure="false">"c3636"</definedName>
    <definedName function="false" hidden="true" name="IQ_REVENUE_HIGH_EST_THOM" vbProcedure="false">"c3654"</definedName>
    <definedName function="false" hidden="true" name="IQ_REVENUE_HIGH_GUIDANCE" vbProcedure="false">"c4169"</definedName>
    <definedName function="false" hidden="true" name="IQ_REVENUE_HIGH_GUIDANCE_CIQ" vbProcedure="false">"c4581"</definedName>
    <definedName function="false" hidden="true" name="IQ_REVENUE_HIGH_GUIDANCE_CIQ_COL" vbProcedure="false">"c11230"</definedName>
    <definedName function="false" hidden="true" name="IQ_REVENUE_LOW_EST" vbProcedure="false">"c1128"</definedName>
    <definedName function="false" hidden="true" name="IQ_REVENUE_LOW_EST_CIQ" vbProcedure="false">"c3619"</definedName>
    <definedName function="false" hidden="true" name="IQ_REVENUE_LOW_EST_REUT" vbProcedure="false">"c3637"</definedName>
    <definedName function="false" hidden="true" name="IQ_REVENUE_LOW_EST_THOM" vbProcedure="false">"c3655"</definedName>
    <definedName function="false" hidden="true" name="IQ_REVENUE_LOW_GUIDANCE" vbProcedure="false">"c4209"</definedName>
    <definedName function="false" hidden="true" name="IQ_REVENUE_LOW_GUIDANCE_CIQ" vbProcedure="false">"c4621"</definedName>
    <definedName function="false" hidden="true" name="IQ_REVENUE_LOW_GUIDANCE_CIQ_COL" vbProcedure="false">"c11270"</definedName>
    <definedName function="false" hidden="true" name="IQ_REVENUE_MEDIAN_EST" vbProcedure="false">"c1662"</definedName>
    <definedName function="false" hidden="true" name="IQ_REVENUE_MEDIAN_EST_CIQ" vbProcedure="false">"c3617"</definedName>
    <definedName function="false" hidden="true" name="IQ_REVENUE_MEDIAN_EST_REUT" vbProcedure="false">"c3635"</definedName>
    <definedName function="false" hidden="true" name="IQ_REVENUE_MEDIAN_EST_THOM" vbProcedure="false">"c3653"</definedName>
    <definedName function="false" hidden="true" name="IQ_REVENUE_NUM_EST" vbProcedure="false">"c1129"</definedName>
    <definedName function="false" hidden="true" name="IQ_REVENUE_NUM_EST_CIQ" vbProcedure="false">"c3620"</definedName>
    <definedName function="false" hidden="true" name="IQ_REVENUE_NUM_EST_REUT" vbProcedure="false">"c3638"</definedName>
    <definedName function="false" hidden="true" name="IQ_REVENUE_NUM_EST_THOM" vbProcedure="false">"c3656"</definedName>
    <definedName function="false" hidden="true" name="IQ_REVENUE_OTHER" vbProcedure="false">"c2882"</definedName>
    <definedName function="false" hidden="true" name="IQ_REVENUE_PHONE" vbProcedure="false">"c2879"</definedName>
    <definedName function="false" hidden="true" name="IQ_REVENUE_TOTAL" vbProcedure="false">"c2883"</definedName>
    <definedName function="false" hidden="true" name="IQ_REVERSE_REPO" vbProcedure="false">"c19131"</definedName>
    <definedName function="false" hidden="true" name="IQ_Revision_Date2" vbProcedure="false">39482.6284953704</definedName>
    <definedName function="false" hidden="true" name="IQ_REVISION_DATE_" vbProcedure="false">39909.3098726852</definedName>
    <definedName function="false" hidden="true" name="IQ_Revision_Date_guess" vbProcedure="false">38978.3778356481</definedName>
    <definedName function="false" hidden="true" name="IQ_REVISION_DATE__1" vbProcedure="false">38947.4488773148</definedName>
    <definedName function="false" hidden="true" name="IQ_REVOLVING_HOME_EQUITY_LINES_UNUSED_FFIEC" vbProcedure="false">"c13241"</definedName>
    <definedName function="false" hidden="true" name="IQ_REVOLVING_LOANS_GROSS_LOANS_FFIEC" vbProcedure="false">"c13398"</definedName>
    <definedName function="false" hidden="true" name="IQ_REVOLVING_LOANS_RISK_BASED_FFIEC" vbProcedure="false">"c13419"</definedName>
    <definedName function="false" hidden="true" name="IQ_REVOLVING_LOANS_SEC_1_4_DOM_CHARGE_OFFS_FFIEC" vbProcedure="false">"c13168"</definedName>
    <definedName function="false" hidden="true" name="IQ_REVOLVING_LOANS_SEC_1_4_DOM_RECOV_FFIEC" vbProcedure="false">"c13190"</definedName>
    <definedName function="false" hidden="true" name="IQ_REVOLVING_OPEN_END_1_4_TRADING_DOM_FFIEC" vbProcedure="false">"c12927"</definedName>
    <definedName function="false" hidden="true" name="IQ_REVOLVING_SECURED_1_4_DUE_30_89_FFIEC" vbProcedure="false">"c13260"</definedName>
    <definedName function="false" hidden="true" name="IQ_REVOLVING_SECURED_1_4_DUE_90_FFIEC" vbProcedure="false">"c13288"</definedName>
    <definedName function="false" hidden="true" name="IQ_REVOLVING_SECURED_1_4_NON_ACCRUAL_FFIEC" vbProcedure="false">"c13314"</definedName>
    <definedName function="false" hidden="true" name="IQ_REVOLVING_SECURED_1_–4_NON_ACCRUAL_FFIEC" vbProcedure="false">"c15565"</definedName>
    <definedName function="false" hidden="true" name="IQ_REVOLV_OPEN_SECURED_1_4_LL_REC_DOM_FFIEC" vbProcedure="false">"c12902"</definedName>
    <definedName function="false" hidden="true" name="IQ_REV_AP" vbProcedure="false">"c8873"</definedName>
    <definedName function="false" hidden="true" name="IQ_REV_AP_ABS" vbProcedure="false">"c8892"</definedName>
    <definedName function="false" hidden="true" name="IQ_REV_BEFORE_LL" vbProcedure="false">"c1123"</definedName>
    <definedName function="false" hidden="true" name="IQ_REV_BEFORE_LOAN_LOSS_FOREIGN_FFIEC" vbProcedure="false">"c15381"</definedName>
    <definedName function="false" hidden="true" name="IQ_REV_DET_EST" vbProcedure="false">"c12065"</definedName>
    <definedName function="false" hidden="true" name="IQ_REV_DET_EST_CIQ" vbProcedure="false">"c12129"</definedName>
    <definedName function="false" hidden="true" name="IQ_REV_DET_EST_CURRENCY" vbProcedure="false">"c12472"</definedName>
    <definedName function="false" hidden="true" name="IQ_REV_DET_EST_CURRENCY_CIQ" vbProcedure="false">"c12520"</definedName>
    <definedName function="false" hidden="true" name="IQ_REV_DET_EST_CURRENCY_THOM" vbProcedure="false">"c12495"</definedName>
    <definedName function="false" hidden="true" name="IQ_REV_DET_EST_DATE" vbProcedure="false">"c12218"</definedName>
    <definedName function="false" hidden="true" name="IQ_REV_DET_EST_DATE_CIQ" vbProcedure="false">"c12275"</definedName>
    <definedName function="false" hidden="true" name="IQ_REV_DET_EST_DATE_THOM" vbProcedure="false">"c12246"</definedName>
    <definedName function="false" hidden="true" name="IQ_REV_DET_EST_INCL" vbProcedure="false">"c12355"</definedName>
    <definedName function="false" hidden="true" name="IQ_REV_DET_EST_INCL_CIQ" vbProcedure="false">"c12403"</definedName>
    <definedName function="false" hidden="true" name="IQ_REV_DET_EST_INCL_THOM" vbProcedure="false">"c12378"</definedName>
    <definedName function="false" hidden="true" name="IQ_REV_DET_EST_NOTE" vbProcedure="false">"c17525"</definedName>
    <definedName function="false" hidden="true" name="IQ_REV_DET_EST_NOTE_CIQ" vbProcedure="false">"c17478"</definedName>
    <definedName function="false" hidden="true" name="IQ_REV_DET_EST_ORIGIN" vbProcedure="false">"c12590"</definedName>
    <definedName function="false" hidden="true" name="IQ_REV_DET_EST_ORIGIN_CIQ" vbProcedure="false">"c12644"</definedName>
    <definedName function="false" hidden="true" name="IQ_REV_DET_EST_ORIGIN_THOM" vbProcedure="false">"c12616"</definedName>
    <definedName function="false" hidden="true" name="IQ_REV_DET_EST_THOM" vbProcedure="false">"c12096"</definedName>
    <definedName function="false" hidden="true" name="IQ_REV_NAME_AP" vbProcedure="false">"c8911"</definedName>
    <definedName function="false" hidden="true" name="IQ_REV_NAME_AP_ABS" vbProcedure="false">"c8930"</definedName>
    <definedName function="false" hidden="true" name="IQ_REV_STDDEV_EST" vbProcedure="false">"c1124"</definedName>
    <definedName function="false" hidden="true" name="IQ_REV_STDDEV_EST_CIQ" vbProcedure="false">"c3621"</definedName>
    <definedName function="false" hidden="true" name="IQ_REV_STDDEV_EST_REUT" vbProcedure="false">"c3639"</definedName>
    <definedName function="false" hidden="true" name="IQ_REV_STDDEV_EST_THOM" vbProcedure="false">"c3657"</definedName>
    <definedName function="false" hidden="true" name="IQ_REV_UTI" vbProcedure="false">"c1125"</definedName>
    <definedName function="false" hidden="true" name="IQ_RE_1_4_RISK_BASED_FFIEC" vbProcedure="false">"c13418"</definedName>
    <definedName function="false" hidden="true" name="IQ_RE_ACQ_SATISFACTION_DEBTS_FFIEC" vbProcedure="false">"c12832"</definedName>
    <definedName function="false" hidden="true" name="IQ_RE_ASSET_DEVELOPMENT_PROP" vbProcedure="false">"c19136"</definedName>
    <definedName function="false" hidden="true" name="IQ_RE_ASSET_INVESTMENT_PROP" vbProcedure="false">"c19135"</definedName>
    <definedName function="false" hidden="true" name="IQ_RE_ASSET_OTHER_PROP" vbProcedure="false">"c19137"</definedName>
    <definedName function="false" hidden="true" name="IQ_RE_ASSET_TOTAL_PROP" vbProcedure="false">"c19138"</definedName>
    <definedName function="false" hidden="true" name="IQ_RE_DEPRECIATION" vbProcedure="false">"c16045"</definedName>
    <definedName function="false" hidden="true" name="IQ_RE_DEPR_AMORT" vbProcedure="false">"c8750"</definedName>
    <definedName function="false" hidden="true" name="IQ_RE_FARMLAND_GROSS_LOANS_FFIEC" vbProcedure="false">"c13408"</definedName>
    <definedName function="false" hidden="true" name="IQ_RE_FARMLAND_RISK_BASED_FFIEC" vbProcedure="false">"c13429"</definedName>
    <definedName function="false" hidden="true" name="IQ_RE_FCCR" vbProcedure="false">"c8858"</definedName>
    <definedName function="false" hidden="true" name="IQ_RE_FCCR_CONT_OPS" vbProcedure="false">"c8859"</definedName>
    <definedName function="false" hidden="true" name="IQ_RE_FCCR_INCL_DISC_OPS" vbProcedure="false">"c8860"</definedName>
    <definedName function="false" hidden="true" name="IQ_RE_FCCR_INCL_PREF_DIV" vbProcedure="false">"c8861"</definedName>
    <definedName function="false" hidden="true" name="IQ_RE_FCCR_INCL_PREF_DIV_CONT_OPS" vbProcedure="false">"c8862"</definedName>
    <definedName function="false" hidden="true" name="IQ_RE_FCCR_INCL_PREF_DIV_INCL_DISC_OPS" vbProcedure="false">"c8863"</definedName>
    <definedName function="false" hidden="true" name="IQ_RE_FIXED_CHARGES" vbProcedure="false">"c8856"</definedName>
    <definedName function="false" hidden="true" name="IQ_RE_FIXED_CHARGES_INCL_PREF_DIV" vbProcedure="false">"c8857"</definedName>
    <definedName function="false" hidden="true" name="IQ_RE_FORECLOSURE_FDIC" vbProcedure="false">"c6332"</definedName>
    <definedName function="false" hidden="true" name="IQ_RE_FOREIGN_FFIEC" vbProcedure="false">"c13479"</definedName>
    <definedName function="false" hidden="true" name="IQ_RE_GAIN_LOSS_SALE_ASSETS" vbProcedure="false">"c8751"</definedName>
    <definedName function="false" hidden="true" name="IQ_RE_INVEST_FDIC" vbProcedure="false">"c6331"</definedName>
    <definedName function="false" hidden="true" name="IQ_RE_LOANS_1_4_GROSS_LOANS_FFIEC" vbProcedure="false">"c13397"</definedName>
    <definedName function="false" hidden="true" name="IQ_RE_LOANS_DOMESTIC_CHARGE_OFFS_FDIC" vbProcedure="false">"c6589"</definedName>
    <definedName function="false" hidden="true" name="IQ_RE_LOANS_DOMESTIC_FDIC" vbProcedure="false">"c6309"</definedName>
    <definedName function="false" hidden="true" name="IQ_RE_LOANS_DOMESTIC_NET_CHARGE_OFFS_FDIC" vbProcedure="false">"c6627"</definedName>
    <definedName function="false" hidden="true" name="IQ_RE_LOANS_DOMESTIC_RECOVERIES_FDIC" vbProcedure="false">"c6608"</definedName>
    <definedName function="false" hidden="true" name="IQ_RE_LOANS_DOM_QUARTERLY_AVG_FFIEC" vbProcedure="false">"c15476"</definedName>
    <definedName function="false" hidden="true" name="IQ_RE_LOANS_FDIC" vbProcedure="false">"c6308"</definedName>
    <definedName function="false" hidden="true" name="IQ_RE_LOANS_FOREIGN_CHARGE_OFFS_FDIC" vbProcedure="false">"c6595"</definedName>
    <definedName function="false" hidden="true" name="IQ_RE_LOANS_FOREIGN_NET_CHARGE_OFFS_FDIC" vbProcedure="false">"c6633"</definedName>
    <definedName function="false" hidden="true" name="IQ_RE_LOANS_FOREIGN_RECOVERIES_FDIC" vbProcedure="false">"c6614"</definedName>
    <definedName function="false" hidden="true" name="IQ_RE_LOANS_GROSS_LOANS_FFIEC" vbProcedure="false">"c13396"</definedName>
    <definedName function="false" hidden="true" name="IQ_RE_MAINT_CAPEX" vbProcedure="false">"c8755"</definedName>
    <definedName function="false" hidden="true" name="IQ_RE_MINORITY_INTEREST" vbProcedure="false">"c8752"</definedName>
    <definedName function="false" hidden="true" name="IQ_RE_NET_INCOME" vbProcedure="false">"c8749"</definedName>
    <definedName function="false" hidden="true" name="IQ_RE_NOI" vbProcedure="false">"c8864"</definedName>
    <definedName function="false" hidden="true" name="IQ_RE_NOI_GROWTH_SAME_PROP" vbProcedure="false">"c8866"</definedName>
    <definedName function="false" hidden="true" name="IQ_RE_NOI_SAME_PROP" vbProcedure="false">"c8865"</definedName>
    <definedName function="false" hidden="true" name="IQ_RE_OTHER_ITEMS" vbProcedure="false">"c8753"</definedName>
    <definedName function="false" hidden="true" name="IQ_RE_RENTAL_EXPENSE" vbProcedure="false">"c16036"</definedName>
    <definedName function="false" hidden="true" name="IQ_RE_RISK_BASED_FFIEC" vbProcedure="false">"c13417"</definedName>
    <definedName function="false" hidden="true" name="IQ_RGU" vbProcedure="false">"c2863"</definedName>
    <definedName function="false" hidden="true" name="IQ_RISK_ADJ_BANK_ASSETS" vbProcedure="false">"c2670"</definedName>
    <definedName function="false" hidden="true" name="IQ_RISK_WEIGHTED_ASSETS_0_PCT_FFIEC" vbProcedure="false">"c18874"</definedName>
    <definedName function="false" hidden="true" name="IQ_RISK_WEIGHTED_ASSETS_100_PCT_FFIEC" vbProcedure="false">"c18877"</definedName>
    <definedName function="false" hidden="true" name="IQ_RISK_WEIGHTED_ASSETS_20_PCT_FFIEC" vbProcedure="false">"c18875"</definedName>
    <definedName function="false" hidden="true" name="IQ_RISK_WEIGHTED_ASSETS_50_PCT_FFIEC" vbProcedure="false">"c18876"</definedName>
    <definedName function="false" hidden="true" name="IQ_RISK_WEIGHTED_ASSETS_FDIC" vbProcedure="false">"c6370"</definedName>
    <definedName function="false" hidden="true" name="IQ_ROAM_MIN_USE_OTHER_CARRIERS" vbProcedure="false">"c15765"</definedName>
    <definedName function="false" hidden="true" name="IQ_ROYALTIES_DUE_AFTER_FIVE" vbProcedure="false">"c15969"</definedName>
    <definedName function="false" hidden="true" name="IQ_ROYALTIES_DUE_CY" vbProcedure="false">"c15964"</definedName>
    <definedName function="false" hidden="true" name="IQ_ROYALTIES_DUE_CY1" vbProcedure="false">"c15965"</definedName>
    <definedName function="false" hidden="true" name="IQ_ROYALTIES_DUE_CY2" vbProcedure="false">"c15966"</definedName>
    <definedName function="false" hidden="true" name="IQ_ROYALTIES_DUE_CY3" vbProcedure="false">"c15967"</definedName>
    <definedName function="false" hidden="true" name="IQ_ROYALTIES_DUE_CY4" vbProcedure="false">"c15968"</definedName>
    <definedName function="false" hidden="true" name="IQ_ROYALTY_REVENUE_COAL" vbProcedure="false">"c15932"</definedName>
    <definedName function="false" hidden="true" name="IQ_RSI" vbProcedure="false">"c12704"</definedName>
    <definedName function="false" hidden="true" name="IQ_RSI_ADJ" vbProcedure="false">"c12705"</definedName>
    <definedName function="false" hidden="true" name="IQ_RSSD_ID_FFIEC" vbProcedure="false">"c20506"</definedName>
    <definedName function="false" hidden="true" name="IQ_SALARIED_WORKFORCE" vbProcedure="false">"c7010"</definedName>
    <definedName function="false" hidden="true" name="IQ_SALARIED_WORKFORCE_APR" vbProcedure="false">"c7670"</definedName>
    <definedName function="false" hidden="true" name="IQ_SALARIED_WORKFORCE_APR_FC" vbProcedure="false">"c8550"</definedName>
    <definedName function="false" hidden="true" name="IQ_SALARIED_WORKFORCE_FC" vbProcedure="false">"c7890"</definedName>
    <definedName function="false" hidden="true" name="IQ_SALARIED_WORKFORCE_POP" vbProcedure="false">"c7230"</definedName>
    <definedName function="false" hidden="true" name="IQ_SALARIED_WORKFORCE_POP_FC" vbProcedure="false">"c8110"</definedName>
    <definedName function="false" hidden="true" name="IQ_SALARIED_WORKFORCE_YOY" vbProcedure="false">"c7450"</definedName>
    <definedName function="false" hidden="true" name="IQ_SALARIED_WORKFORCE_YOY_FC" vbProcedure="false">"c8330"</definedName>
    <definedName function="false" hidden="true" name="IQ_SALARIES_EMPLOYEE_BENEFITS_FFIEC" vbProcedure="false">"c13023"</definedName>
    <definedName function="false" hidden="true" name="IQ_SALARIES_OTHER_BENEFITS" vbProcedure="false">"c16176"</definedName>
    <definedName function="false" hidden="true" name="IQ_SALARY" vbProcedure="false">"c1130"</definedName>
    <definedName function="false" hidden="true" name="IQ_SALARY_FDIC" vbProcedure="false">"c6576"</definedName>
    <definedName function="false" hidden="true" name="IQ_SALES_COAL" vbProcedure="false">"c15930"</definedName>
    <definedName function="false" hidden="true" name="IQ_SALES_MARKETING" vbProcedure="false">"c2240"</definedName>
    <definedName function="false" hidden="true" name="IQ_SALES_TO_TOTAL_REVENUE_COAL" vbProcedure="false">"c15943"</definedName>
    <definedName function="false" hidden="true" name="IQ_SALE_COMMON_GROSS_FFIEC" vbProcedure="false">"c12963"</definedName>
    <definedName function="false" hidden="true" name="IQ_SALE_CONVERSION_ACQUISITION_NET_COMMON_FFIEC" vbProcedure="false">"c15351"</definedName>
    <definedName function="false" hidden="true" name="IQ_SALE_CONVERSION_RETIREMENT_STOCK_FDIC" vbProcedure="false">"c6661"</definedName>
    <definedName function="false" hidden="true" name="IQ_SALE_INTAN_CF" vbProcedure="false">"c1131"</definedName>
    <definedName function="false" hidden="true" name="IQ_SALE_INTAN_CF_BNK" vbProcedure="false">"c1132"</definedName>
    <definedName function="false" hidden="true" name="IQ_SALE_INTAN_CF_BR" vbProcedure="false">"c1133"</definedName>
    <definedName function="false" hidden="true" name="IQ_SALE_INTAN_CF_FIN" vbProcedure="false">"c1134"</definedName>
    <definedName function="false" hidden="true" name="IQ_SALE_INTAN_CF_INS" vbProcedure="false">"c1135"</definedName>
    <definedName function="false" hidden="true" name="IQ_SALE_INTAN_CF_RE" vbProcedure="false">"c6284"</definedName>
    <definedName function="false" hidden="true" name="IQ_SALE_INTAN_CF_REIT" vbProcedure="false">"c1627"</definedName>
    <definedName function="false" hidden="true" name="IQ_SALE_INTAN_CF_UTI" vbProcedure="false">"c1136"</definedName>
    <definedName function="false" hidden="true" name="IQ_SALE_PPE_CF" vbProcedure="false">"c1137"</definedName>
    <definedName function="false" hidden="true" name="IQ_SALE_PPE_CF_BNK" vbProcedure="false">"c1138"</definedName>
    <definedName function="false" hidden="true" name="IQ_SALE_PPE_CF_BR" vbProcedure="false">"c1139"</definedName>
    <definedName function="false" hidden="true" name="IQ_SALE_PPE_CF_FIN" vbProcedure="false">"c1140"</definedName>
    <definedName function="false" hidden="true" name="IQ_SALE_PPE_CF_INS" vbProcedure="false">"c1141"</definedName>
    <definedName function="false" hidden="true" name="IQ_SALE_PPE_CF_UTI" vbProcedure="false">"c1142"</definedName>
    <definedName function="false" hidden="true" name="IQ_SALE_PREF_FFIEC" vbProcedure="false">"c12961"</definedName>
    <definedName function="false" hidden="true" name="IQ_SALE_PROP" vbProcedure="false">"c16029"</definedName>
    <definedName function="false" hidden="true" name="IQ_SALE_REAL_ESTATE_CF" vbProcedure="false">"c1143"</definedName>
    <definedName function="false" hidden="true" name="IQ_SALE_REAL_ESTATE_CF_BNK" vbProcedure="false">"c1144"</definedName>
    <definedName function="false" hidden="true" name="IQ_SALE_REAL_ESTATE_CF_BR" vbProcedure="false">"c1145"</definedName>
    <definedName function="false" hidden="true" name="IQ_SALE_REAL_ESTATE_CF_FIN" vbProcedure="false">"c1146"</definedName>
    <definedName function="false" hidden="true" name="IQ_SALE_REAL_ESTATE_CF_INS" vbProcedure="false">"c1147"</definedName>
    <definedName function="false" hidden="true" name="IQ_SALE_REAL_ESTATE_CF_UTI" vbProcedure="false">"c1148"</definedName>
    <definedName function="false" hidden="true" name="IQ_SALE_RE_ASSETS" vbProcedure="false">"c1629"</definedName>
    <definedName function="false" hidden="true" name="IQ_SALE_TREASURY_FFIEC" vbProcedure="false">"c12965"</definedName>
    <definedName function="false" hidden="true" name="IQ_SAME_PROP_AGG_GLA" vbProcedure="false">"c16055"</definedName>
    <definedName function="false" hidden="true" name="IQ_SAME_PROP_AGG_UNITS" vbProcedure="false">"c16053"</definedName>
    <definedName function="false" hidden="true" name="IQ_SAME_PROP_EXPENSE" vbProcedure="false">"c16050"</definedName>
    <definedName function="false" hidden="true" name="IQ_SAME_PROP_EXPENSE_GROWTH" vbProcedure="false">"c16051"</definedName>
    <definedName function="false" hidden="true" name="IQ_SAME_PROP_NUMBER_PROP" vbProcedure="false">"c16052"</definedName>
    <definedName function="false" hidden="true" name="IQ_SAME_PROP_PORTFOLIO_AREA" vbProcedure="false">"c16054"</definedName>
    <definedName function="false" hidden="true" name="IQ_SAME_PROP_REVENUE" vbProcedure="false">"c16048"</definedName>
    <definedName function="false" hidden="true" name="IQ_SAME_PROP_REV_GROWTH" vbProcedure="false">"c16049"</definedName>
    <definedName function="false" hidden="true" name="IQ_SAME_STORE" vbProcedure="false">"c1149"</definedName>
    <definedName function="false" hidden="true" name="IQ_SAME_STORE_FRANCHISE" vbProcedure="false">"c2900"</definedName>
    <definedName function="false" hidden="true" name="IQ_SAME_STORE_OWNED" vbProcedure="false">"c2908"</definedName>
    <definedName function="false" hidden="true" name="IQ_SAME_STORE_TOTAL" vbProcedure="false">"c2892"</definedName>
    <definedName function="false" hidden="true" name="IQ_SAVINGS_ACCT_DEPOSITS_TOTAL_DEPOSITS" vbProcedure="false">"c15721"</definedName>
    <definedName function="false" hidden="true" name="IQ_SAVINGS_DEPOSITS_NON_TRANS_ACCTS_FFIEC" vbProcedure="false">"c15329"</definedName>
    <definedName function="false" hidden="true" name="IQ_SAVINGS_DEPOSITS_QUARTERLY_AVG_FFIEC" vbProcedure="false">"c15485"</definedName>
    <definedName function="false" hidden="true" name="IQ_SAVINGS_RATE_DISP_INC_PCT" vbProcedure="false">"c7011"</definedName>
    <definedName function="false" hidden="true" name="IQ_SAVINGS_RATE_DISP_INC_PCT_FC" vbProcedure="false">"c7891"</definedName>
    <definedName function="false" hidden="true" name="IQ_SAVINGS_RATE_DISP_INC_PCT_POP" vbProcedure="false">"c7231"</definedName>
    <definedName function="false" hidden="true" name="IQ_SAVINGS_RATE_DISP_INC_PCT_POP_FC" vbProcedure="false">"c8111"</definedName>
    <definedName function="false" hidden="true" name="IQ_SAVINGS_RATE_DISP_INC_PCT_YOY" vbProcedure="false">"c7451"</definedName>
    <definedName function="false" hidden="true" name="IQ_SAVINGS_RATE_DISP_INC_PCT_YOY_FC" vbProcedure="false">"c8331"</definedName>
    <definedName function="false" hidden="true" name="IQ_SAVINGS_RATE_GDP_PCT" vbProcedure="false">"c7012"</definedName>
    <definedName function="false" hidden="true" name="IQ_SAVINGS_RATE_GDP_PCT_FC" vbProcedure="false">"c7892"</definedName>
    <definedName function="false" hidden="true" name="IQ_SAVINGS_RATE_GDP_PCT_POP" vbProcedure="false">"c7232"</definedName>
    <definedName function="false" hidden="true" name="IQ_SAVINGS_RATE_GDP_PCT_POP_FC" vbProcedure="false">"c8112"</definedName>
    <definedName function="false" hidden="true" name="IQ_SAVINGS_RATE_GDP_PCT_YOY" vbProcedure="false">"c7452"</definedName>
    <definedName function="false" hidden="true" name="IQ_SAVINGS_RATE_GDP_PCT_YOY_FC" vbProcedure="false">"c8332"</definedName>
    <definedName function="false" hidden="true" name="IQ_SAVINGS_RATE_PERSONAL_INC_PCT" vbProcedure="false">"c7013"</definedName>
    <definedName function="false" hidden="true" name="IQ_SAVINGS_RATE_PERSONAL_INC_PCT_FC" vbProcedure="false">"c7893"</definedName>
    <definedName function="false" hidden="true" name="IQ_SAVINGS_RATE_PERSONAL_INC_PCT_POP" vbProcedure="false">"c7233"</definedName>
    <definedName function="false" hidden="true" name="IQ_SAVINGS_RATE_PERSONAL_INC_PCT_POP_FC" vbProcedure="false">"c8113"</definedName>
    <definedName function="false" hidden="true" name="IQ_SAVINGS_RATE_PERSONAL_INC_PCT_YOY" vbProcedure="false">"c7453"</definedName>
    <definedName function="false" hidden="true" name="IQ_SAVINGS_RATE_PERSONAL_INC_PCT_YOY_FC" vbProcedure="false">"c8333"</definedName>
    <definedName function="false" hidden="true" name="IQ_SAVING_DEP" vbProcedure="false">"c1150"</definedName>
    <definedName function="false" hidden="true" name="IQ_SBC_EXPENSE_FFIEC" vbProcedure="false">"c13077"</definedName>
    <definedName function="false" hidden="true" name="IQ_SCALABLE_INFRASTRUCTURE_CABLE_INVEST" vbProcedure="false">"c15802"</definedName>
    <definedName function="false" hidden="true" name="IQ_SECURED_1_4_FAMILY_RESIDENTIAL_CHARGE_OFFS_FDIC" vbProcedure="false">"c6590"</definedName>
    <definedName function="false" hidden="true" name="IQ_SECURED_1_4_FAMILY_RESIDENTIAL_NET_CHARGE_OFFS_FDIC" vbProcedure="false">"c6628"</definedName>
    <definedName function="false" hidden="true" name="IQ_SECURED_1_4_FAMILY_RESIDENTIAL_RECOVERIES_FDIC" vbProcedure="false">"c6609"</definedName>
    <definedName function="false" hidden="true" name="IQ_SECURED_DEBT" vbProcedure="false">"c2546"</definedName>
    <definedName function="false" hidden="true" name="IQ_SECURED_DEBT_PCT" vbProcedure="false">"c2547"</definedName>
    <definedName function="false" hidden="true" name="IQ_SECURED_FARMLAND_CHARGE_OFFS_FDIC" vbProcedure="false">"c6593"</definedName>
    <definedName function="false" hidden="true" name="IQ_SECURED_FARMLAND_DOM_DUE_30_89_FFIEC" vbProcedure="false">"c13259"</definedName>
    <definedName function="false" hidden="true" name="IQ_SECURED_FARMLAND_DOM_DUE_90_FFIEC" vbProcedure="false">"c13287"</definedName>
    <definedName function="false" hidden="true" name="IQ_SECURED_FARMLAND_DOM_NON_ACCRUAL_FFIEC" vbProcedure="false">"c13313"</definedName>
    <definedName function="false" hidden="true" name="IQ_SECURED_FARMLAND_LL_REC_DOM_FFIEC" vbProcedure="false">"c12901"</definedName>
    <definedName function="false" hidden="true" name="IQ_SECURED_FARMLAND_NET_CHARGE_OFFS_FDIC" vbProcedure="false">"c6631"</definedName>
    <definedName function="false" hidden="true" name="IQ_SECURED_FARMLAND_RECOVERIES_FDIC" vbProcedure="false">"c6612"</definedName>
    <definedName function="false" hidden="true" name="IQ_SECURED_MULTIFAMILY_RESIDENTIAL_CHARGE_OFFS_FDIC" vbProcedure="false">"c6591"</definedName>
    <definedName function="false" hidden="true" name="IQ_SECURED_MULTIFAMILY_RESIDENTIAL_NET_CHARGE_OFFS_FDIC" vbProcedure="false">"c6629"</definedName>
    <definedName function="false" hidden="true" name="IQ_SECURED_MULTIFAMILY_RESIDENTIAL_RECOVERIES_FDIC" vbProcedure="false">"c6610"</definedName>
    <definedName function="false" hidden="true" name="IQ_SECURED_MULTI_RES_LL_REC_DOM_FFIEC" vbProcedure="false">"c12905"</definedName>
    <definedName function="false" hidden="true" name="IQ_SECURED_NONFARM_NONRESIDENTIAL_CHARGE_OFFS_FDIC" vbProcedure="false">"c6592"</definedName>
    <definedName function="false" hidden="true" name="IQ_SECURED_NONFARM_NONRESIDENTIAL_NET_CHARGE_OFFS_FDIC" vbProcedure="false">"c6630"</definedName>
    <definedName function="false" hidden="true" name="IQ_SECURED_NONFARM_NONRESIDENTIAL_RECOVERIES_FDIC" vbProcedure="false">"c6611"</definedName>
    <definedName function="false" hidden="true" name="IQ_SECURITIES_AFS_AMORT_COST_FFIEC" vbProcedure="false">"c20488"</definedName>
    <definedName function="false" hidden="true" name="IQ_SECURITIES_AFS_FAIR_VAL_FFIEC" vbProcedure="false">"c20453"</definedName>
    <definedName function="false" hidden="true" name="IQ_SECURITIES_GAINS_FDIC" vbProcedure="false">"c6584"</definedName>
    <definedName function="false" hidden="true" name="IQ_SECURITIES_HELD_MATURITY_FFIEC" vbProcedure="false">"c12777"</definedName>
    <definedName function="false" hidden="true" name="IQ_SECURITIES_HTM_AMORT_COST_FFIEC" vbProcedure="false">"c20436"</definedName>
    <definedName function="false" hidden="true" name="IQ_SECURITIES_HTM_FAIR_VAL_FFIEC" vbProcedure="false">"c20471"</definedName>
    <definedName function="false" hidden="true" name="IQ_SECURITIES_ISSUED_STATES_FDIC" vbProcedure="false">"c6300"</definedName>
    <definedName function="false" hidden="true" name="IQ_SECURITIES_ISSUED_US_FFIEC" vbProcedure="false">"c12781"</definedName>
    <definedName function="false" hidden="true" name="IQ_SECURITIES_ISSUED_US_HTM_AMORT_COST_FFIEC" vbProcedure="false">"c20440"</definedName>
    <definedName function="false" hidden="true" name="IQ_SECURITIES_ISSUED_US_HTM_FAIR_VAL_FFIEC" vbProcedure="false">"c20475"</definedName>
    <definedName function="false" hidden="true" name="IQ_SECURITIES_LENT_FDIC" vbProcedure="false">"c6532"</definedName>
    <definedName function="false" hidden="true" name="IQ_SECURITIES_LENT_FFIEC" vbProcedure="false">"c13255"</definedName>
    <definedName function="false" hidden="true" name="IQ_SECURITIES_QUARTERLY_AVG_FFIEC" vbProcedure="false">"c13079"</definedName>
    <definedName function="false" hidden="true" name="IQ_SECURITIES_STATE_POLI_SUBD_QUARTERLY_AVG_FFIEC" vbProcedure="false">"c15470"</definedName>
    <definedName function="false" hidden="true" name="IQ_SECURITIES_UNDERWRITING_FDIC" vbProcedure="false">"c6529"</definedName>
    <definedName function="false" hidden="true" name="IQ_SECURITIES_UNDERWRITING_UNUSED_FFIEC" vbProcedure="false">"c13247"</definedName>
    <definedName function="false" hidden="true" name="IQ_SECURITIZATION_INCOME_FFIEC" vbProcedure="false">"c13012"</definedName>
    <definedName function="false" hidden="true" name="IQ_SECURITIZATION_INC_OPERATING_INC_FFIEC" vbProcedure="false">"c13390"</definedName>
    <definedName function="false" hidden="true" name="IQ_SECURITY_ACTIVE_STATUS" vbProcedure="false">"c15160"</definedName>
    <definedName function="false" hidden="true" name="IQ_SECURITY_BORROW" vbProcedure="false">"c1152"</definedName>
    <definedName function="false" hidden="true" name="IQ_SECURITY_LEVEL" vbProcedure="false">"c2159"</definedName>
    <definedName function="false" hidden="true" name="IQ_SECURITY_NAME" vbProcedure="false">"c15159"</definedName>
    <definedName function="false" hidden="true" name="IQ_SECURITY_NOTES" vbProcedure="false">"c2202"</definedName>
    <definedName function="false" hidden="true" name="IQ_SECURITY_OWN" vbProcedure="false">"c1153"</definedName>
    <definedName function="false" hidden="true" name="IQ_SECURITY_RESELL" vbProcedure="false">"c1154"</definedName>
    <definedName function="false" hidden="true" name="IQ_SECURITY_TYPE" vbProcedure="false">"c2158"</definedName>
    <definedName function="false" hidden="true" name="IQ_SECUR_RECEIV" vbProcedure="false">"c1151"</definedName>
    <definedName function="false" hidden="true" name="IQ_SEC_1_4_CONSTRUCTION_DOM_CHARGE_OFFS_FFIEC" vbProcedure="false">"c13165"</definedName>
    <definedName function="false" hidden="true" name="IQ_SEC_1_4_CONSTRUCTION_DOM_RECOV_FFIEC" vbProcedure="false">"c13187"</definedName>
    <definedName function="false" hidden="true" name="IQ_SEC_BORROWED_OFF_BS_FFIEC" vbProcedure="false">"c13127"</definedName>
    <definedName function="false" hidden="true" name="IQ_SEC_FARMLAND_DOM_CHARGE_OFFS_FFIEC" vbProcedure="false">"c13167"</definedName>
    <definedName function="false" hidden="true" name="IQ_SEC_FARMLAND_DOM_RECOV_FFIEC" vbProcedure="false">"c13189"</definedName>
    <definedName function="false" hidden="true" name="IQ_SEC_FUNDS_PURCHASED_ASSETS_TOT_FFIEC" vbProcedure="false">"c13447"</definedName>
    <definedName function="false" hidden="true" name="IQ_SEC_ISSUED_US_AFS_AMORT_COST_FFIEC" vbProcedure="false">"c20492"</definedName>
    <definedName function="false" hidden="true" name="IQ_SEC_ISSUED_US_AFS_FAIR_VAL_FFIEC" vbProcedure="false">"c20457"</definedName>
    <definedName function="false" hidden="true" name="IQ_SEC_ISSUED_US_AVAIL_SALE_FFIEC" vbProcedure="false">"c12795"</definedName>
    <definedName function="false" hidden="true" name="IQ_SEC_ISSUED_US_TRADING_DOM_FFIEC" vbProcedure="false">"c12920"</definedName>
    <definedName function="false" hidden="true" name="IQ_SEC_ISSUED_US_TRADING_FFIEC" vbProcedure="false">"c12815"</definedName>
    <definedName function="false" hidden="true" name="IQ_SEC_MULTIFAM_DOM_CHARGE_OFFS_FFIEC" vbProcedure="false">"c13171"</definedName>
    <definedName function="false" hidden="true" name="IQ_SEC_MULTIFAM_DOM_DUE_30_89_FFIEC" vbProcedure="false">"c13263"</definedName>
    <definedName function="false" hidden="true" name="IQ_SEC_MULTIFAM_DOM_DUE_90_FFIEC" vbProcedure="false">"c13291"</definedName>
    <definedName function="false" hidden="true" name="IQ_SEC_MULTIFAM_DOM_NON_ACCRUAL_FFIEC" vbProcedure="false">"c13317"</definedName>
    <definedName function="false" hidden="true" name="IQ_SEC_MULTIFAM_DOM_RECOV_FFIEC" vbProcedure="false">"c13193"</definedName>
    <definedName function="false" hidden="true" name="IQ_SEC_NONFARM_NONRES_CHARGE_OFFS_FFIEC" vbProcedure="false">"c13629"</definedName>
    <definedName function="false" hidden="true" name="IQ_SEC_NONFARM_NONRES_DOM_OFFICES_DUE_30_89_FFIEC" vbProcedure="false">"c13264"</definedName>
    <definedName function="false" hidden="true" name="IQ_SEC_NONFARM_NONRES_DOM_OFFICES_DUE_90_FFIEC" vbProcedure="false">"c13292"</definedName>
    <definedName function="false" hidden="true" name="IQ_SEC_NONFARM_NONRES_DOM_OFFICES_NON_ACCRUAL_FFIEC" vbProcedure="false">"c13318"</definedName>
    <definedName function="false" hidden="true" name="IQ_SEC_NONFARM_NONRES_RECOV_FFIEC" vbProcedure="false">"c13633"</definedName>
    <definedName function="false" hidden="true" name="IQ_SEC_OTHER_CONSTRUCTION_DOM_CHARGE_OFFS_FFIEC" vbProcedure="false">"c13166"</definedName>
    <definedName function="false" hidden="true" name="IQ_SEC_OTHER_CONSTRUCTION_DOM_RECOV_FFIEC" vbProcedure="false">"c13188"</definedName>
    <definedName function="false" hidden="true" name="IQ_SEC_OTHER_NONFARM_NONRES_CHARGE_OFFS_FFIEC" vbProcedure="false">"c13173"</definedName>
    <definedName function="false" hidden="true" name="IQ_SEC_OTHER_NONFARM_NONRES_DUE_30_89_FFIEC" vbProcedure="false">"c13266"</definedName>
    <definedName function="false" hidden="true" name="IQ_SEC_OTHER_NONFARM_NONRES_DUE_90_FFIEC" vbProcedure="false">"c13637"</definedName>
    <definedName function="false" hidden="true" name="IQ_SEC_OTHER_NONFARM_NONRES_NON_ACCRUAL_FFIEC" vbProcedure="false">"c15462"</definedName>
    <definedName function="false" hidden="true" name="IQ_SEC_OTHER_NONFARM_NONRES_RECOV_FFIEC" vbProcedure="false">"c13195"</definedName>
    <definedName function="false" hidden="true" name="IQ_SEC_OWNER_NONFARM_NONRES_CHARGE_OFFS_FFIEC" vbProcedure="false">"c13172"</definedName>
    <definedName function="false" hidden="true" name="IQ_SEC_OWNER_NONFARM_NONRES_DUE_30_89_FFIEC" vbProcedure="false">"c13265"</definedName>
    <definedName function="false" hidden="true" name="IQ_SEC_OWNER_NONFARM_NONRES_DUE_90_FFIEC" vbProcedure="false">"c13636"</definedName>
    <definedName function="false" hidden="true" name="IQ_SEC_OWNER_NONFARM_NONRES_NON_ACCRUAL_FFIEC" vbProcedure="false">"c15461"</definedName>
    <definedName function="false" hidden="true" name="IQ_SEC_OWNER_NONFARM_NONRES_RECOV_FFIEC" vbProcedure="false">"c13194"</definedName>
    <definedName function="false" hidden="true" name="IQ_SEC_PURCHASED_RESELL" vbProcedure="false">"c5513"</definedName>
    <definedName function="false" hidden="true" name="IQ_SEC_PURCHASED_RESELL_FFIEC" vbProcedure="false">"c12807"</definedName>
    <definedName function="false" hidden="true" name="IQ_SEC_RE_FOREIGN_DUE_30_89_FFIEC" vbProcedure="false">"c13267"</definedName>
    <definedName function="false" hidden="true" name="IQ_SEC_RE_FOREIGN_DUE_90_FFIEC" vbProcedure="false">"c13293"</definedName>
    <definedName function="false" hidden="true" name="IQ_SEC_RE_FOREIGN_NON_ACCRUAL_FFIEC" vbProcedure="false">"c13319"</definedName>
    <definedName function="false" hidden="true" name="IQ_SEC_SOLD_REPURCHASE_FFIEC" vbProcedure="false">"c12857"</definedName>
    <definedName function="false" hidden="true" name="IQ_SEDOL" vbProcedure="false">"c12042"</definedName>
    <definedName function="false" hidden="true" name="IQ_SELECTED_FOREIGN_ASSETS_FFIEC" vbProcedure="false">"c13485"</definedName>
    <definedName function="false" hidden="true" name="IQ_SEMI_BACKLOG" vbProcedure="false">"c10005"</definedName>
    <definedName function="false" hidden="true" name="IQ_SEMI_BACKLOG_AVG_PRICE" vbProcedure="false">"c10006"</definedName>
    <definedName function="false" hidden="true" name="IQ_SEMI_BACKLOG_VALUE" vbProcedure="false">"c10007"</definedName>
    <definedName function="false" hidden="true" name="IQ_SEMI_BOOK_TO_BILL_RATIO" vbProcedure="false">"c10008"</definedName>
    <definedName function="false" hidden="true" name="IQ_SEMI_ORDERS" vbProcedure="false">"c10001"</definedName>
    <definedName function="false" hidden="true" name="IQ_SEMI_ORDER_AVG_PRICE" vbProcedure="false">"c10002"</definedName>
    <definedName function="false" hidden="true" name="IQ_SEMI_ORDER_VALUE" vbProcedure="false">"c10003"</definedName>
    <definedName function="false" hidden="true" name="IQ_SEMI_ORDER_VALUE_CHANGE" vbProcedure="false">"c10004"</definedName>
    <definedName function="false" hidden="true" name="IQ_SEMI_WARRANTY_RES_ACQ" vbProcedure="false">"c10011"</definedName>
    <definedName function="false" hidden="true" name="IQ_SEMI_WARRANTY_RES_BEG" vbProcedure="false">"c10009"</definedName>
    <definedName function="false" hidden="true" name="IQ_SEMI_WARRANTY_RES_END" vbProcedure="false">"c10014"</definedName>
    <definedName function="false" hidden="true" name="IQ_SEMI_WARRANTY_RES_ISS" vbProcedure="false">"c10010"</definedName>
    <definedName function="false" hidden="true" name="IQ_SEMI_WARRANTY_RES_OTHER" vbProcedure="false">"c10013"</definedName>
    <definedName function="false" hidden="true" name="IQ_SEMI_WARRANTY_RES_PAY" vbProcedure="false">"c10012"</definedName>
    <definedName function="false" hidden="true" name="IQ_SEPARATE_ACCOUNT_LIAB_LH_FFIEC" vbProcedure="false">"c13108"</definedName>
    <definedName function="false" hidden="true" name="IQ_SEPARATE_ACCT_ASSETS" vbProcedure="false">"c1155"</definedName>
    <definedName function="false" hidden="true" name="IQ_SEPARATE_ACCT_LIAB" vbProcedure="false">"c1156"</definedName>
    <definedName function="false" hidden="true" name="IQ_SEP_ACCOUNT_ASSETS_LH_FFIEC" vbProcedure="false">"c13105"</definedName>
    <definedName function="false" hidden="true" name="IQ_SERVICE_CHARGES_DEPOSIT_ACCOUNTS_DOM_FFIEC" vbProcedure="false">"c13003"</definedName>
    <definedName function="false" hidden="true" name="IQ_SERVICE_CHARGES_FDIC" vbProcedure="false">"c6572"</definedName>
    <definedName function="false" hidden="true" name="IQ_SERVICE_CHARGES_OPERATING_INC_FFIEC" vbProcedure="false">"c13384"</definedName>
    <definedName function="false" hidden="true" name="IQ_SERVICE_FEE" vbProcedure="false">"c8951"</definedName>
    <definedName function="false" hidden="true" name="IQ_SERVICING_FEES_FFIEC" vbProcedure="false">"c13011"</definedName>
    <definedName function="false" hidden="true" name="IQ_SERVICING_FEES_OPERATING_INC_FFIEC" vbProcedure="false">"c13389"</definedName>
    <definedName function="false" hidden="true" name="IQ_SERV_CHARGE_DEPOSITS" vbProcedure="false">"c1157"</definedName>
    <definedName function="false" hidden="true" name="IQ_SETTLEMENTS_TAX_AUTHORITIES" vbProcedure="false">"c15737"</definedName>
    <definedName function="false" hidden="true" name="IQ_SGA" vbProcedure="false">"c1158"</definedName>
    <definedName function="false" hidden="true" name="IQ_SGA_BNK" vbProcedure="false">"c1159"</definedName>
    <definedName function="false" hidden="true" name="IQ_SGA_INS" vbProcedure="false">"c1160"</definedName>
    <definedName function="false" hidden="true" name="IQ_SGA_MARGIN" vbProcedure="false">"c1898"</definedName>
    <definedName function="false" hidden="true" name="IQ_SGA_RE" vbProcedure="false">"c6265"</definedName>
    <definedName function="false" hidden="true" name="IQ_SGA_REIT" vbProcedure="false">"c1161"</definedName>
    <definedName function="false" hidden="true" name="IQ_SGA_SUPPL" vbProcedure="false">"c1162"</definedName>
    <definedName function="false" hidden="true" name="IQ_SGA_UTI" vbProcedure="false">"c1163"</definedName>
    <definedName function="false" hidden="true" name="IQ_SHAREOUTSTANDING" vbProcedure="false">"c1347"</definedName>
    <definedName function="false" hidden="true" name="IQ_SHARESOUTSTANDING" vbProcedure="false">"c1164"</definedName>
    <definedName function="false" hidden="true" name="IQ_SHARES_PER_DR" vbProcedure="false">"c204"</definedName>
    <definedName function="false" hidden="true" name="IQ_SHARES_PURCHASED_AVERAGE_PRICE" vbProcedure="false">"c5821"</definedName>
    <definedName function="false" hidden="true" name="IQ_SHARES_PURCHASED_QUARTER" vbProcedure="false">"c5820"</definedName>
    <definedName function="false" hidden="true" name="IQ_SHARE_PARTNERSHIP_ASSETS" vbProcedure="false">"c16071"</definedName>
    <definedName function="false" hidden="true" name="IQ_SHARE_PARTNERSHIP_CONSOL_JV_DEBT" vbProcedure="false">"c19139"</definedName>
    <definedName function="false" hidden="true" name="IQ_SHARE_PARTNERSHIP_CURRENT_ASSETS" vbProcedure="false">"c16069"</definedName>
    <definedName function="false" hidden="true" name="IQ_SHARE_PARTNERSHIP_CURRENT_LIAB" vbProcedure="false">"c16073"</definedName>
    <definedName function="false" hidden="true" name="IQ_SHARE_PARTNERSHIP_CURRENT_TAX" vbProcedure="false">"c16091"</definedName>
    <definedName function="false" hidden="true" name="IQ_SHARE_PARTNERSHIP_DEBT" vbProcedure="false">"c16078"</definedName>
    <definedName function="false" hidden="true" name="IQ_SHARE_PARTNERSHIP_DEFERRED_TAX" vbProcedure="false">"c16092"</definedName>
    <definedName function="false" hidden="true" name="IQ_SHARE_PARTNERSHIP_DEPRECIATION" vbProcedure="false">"c16089"</definedName>
    <definedName function="false" hidden="true" name="IQ_SHARE_PARTNERSHIP_FLOAT_DEBT" vbProcedure="false">"c16077"</definedName>
    <definedName function="false" hidden="true" name="IQ_SHARE_PARTNERSHIP_FR_DEBT" vbProcedure="false">"c16076"</definedName>
    <definedName function="false" hidden="true" name="IQ_SHARE_PARTNERSHIP_INT_EXPENSE" vbProcedure="false">"c16088"</definedName>
    <definedName function="false" hidden="true" name="IQ_SHARE_PARTNERSHIP_INT_INCOME" vbProcedure="false">"c16090"</definedName>
    <definedName function="false" hidden="true" name="IQ_SHARE_PARTNERSHIP_LIAB" vbProcedure="false">"c16075"</definedName>
    <definedName function="false" hidden="true" name="IQ_SHARE_PARTNERSHIP_LT_ASSETS" vbProcedure="false">"c16070"</definedName>
    <definedName function="false" hidden="true" name="IQ_SHARE_PARTNERSHIP_NOI" vbProcedure="false">"c16084"</definedName>
    <definedName function="false" hidden="true" name="IQ_SHARE_PARTNERSHIP_NON_CURRENT_LIAB" vbProcedure="false">"c16074"</definedName>
    <definedName function="false" hidden="true" name="IQ_SHARE_PARTNERSHIP_OPEX" vbProcedure="false">"c16086"</definedName>
    <definedName function="false" hidden="true" name="IQ_SHARE_PARTNERSHIP_OTHER_EXPENSE" vbProcedure="false">"c16087"</definedName>
    <definedName function="false" hidden="true" name="IQ_SHARE_PARTNERSHIP_OTHER_INCOME" vbProcedure="false">"c16085"</definedName>
    <definedName function="false" hidden="true" name="IQ_SHARE_PARTNERSHIP_REVENUE" vbProcedure="false">"c16083"</definedName>
    <definedName function="false" hidden="true" name="IQ_SHARE_RE_ASSET" vbProcedure="false">"c16082"</definedName>
    <definedName function="false" hidden="true" name="IQ_SHARE_RE_ASSET_DEVELOP_PROP" vbProcedure="false">"c16080"</definedName>
    <definedName function="false" hidden="true" name="IQ_SHARE_RE_ASSET_INV_PROP" vbProcedure="false">"c16079"</definedName>
    <definedName function="false" hidden="true" name="IQ_SHARE_RE_ASSET_OTHER" vbProcedure="false">"c16081"</definedName>
    <definedName function="false" hidden="true" name="IQ_SHORT_INTEREST" vbProcedure="false">"c1165"</definedName>
    <definedName function="false" hidden="true" name="IQ_SHORT_INTEREST_OVER_FLOAT" vbProcedure="false">"c1577"</definedName>
    <definedName function="false" hidden="true" name="IQ_SHORT_INTEREST_OVER_INST_OWNERSHIP" vbProcedure="false">"c17422"</definedName>
    <definedName function="false" hidden="true" name="IQ_SHORT_INTEREST_PERCENT" vbProcedure="false">"c1576"</definedName>
    <definedName function="false" hidden="true" name="IQ_SHORT_INTEREST_VOLUME" vbProcedure="false">"c228"</definedName>
    <definedName function="false" hidden="true" name="IQ_SHORT_POSITIONS_FFIEC" vbProcedure="false">"c12859"</definedName>
    <definedName function="false" hidden="true" name="IQ_SHORT_SCORE_DX" vbProcedure="false">"c17439"</definedName>
    <definedName function="false" hidden="true" name="IQ_SHORT_TERM_INVEST" vbProcedure="false">"c1425"</definedName>
    <definedName function="false" hidden="true" name="IQ_SMALL_INT_BEAR_CD" vbProcedure="false">"c11748"</definedName>
    <definedName function="false" hidden="true" name="IQ_SOCIAL_SEC_RECEIPTS" vbProcedure="false">"c7015"</definedName>
    <definedName function="false" hidden="true" name="IQ_SOCIAL_SEC_RECEIPTS_APR" vbProcedure="false">"c7675"</definedName>
    <definedName function="false" hidden="true" name="IQ_SOCIAL_SEC_RECEIPTS_APR_FC" vbProcedure="false">"c8555"</definedName>
    <definedName function="false" hidden="true" name="IQ_SOCIAL_SEC_RECEIPTS_FC" vbProcedure="false">"c7895"</definedName>
    <definedName function="false" hidden="true" name="IQ_SOCIAL_SEC_RECEIPTS_POP" vbProcedure="false">"c7235"</definedName>
    <definedName function="false" hidden="true" name="IQ_SOCIAL_SEC_RECEIPTS_POP_FC" vbProcedure="false">"c8115"</definedName>
    <definedName function="false" hidden="true" name="IQ_SOCIAL_SEC_RECEIPTS_SAAR" vbProcedure="false">"c7016"</definedName>
    <definedName function="false" hidden="true" name="IQ_SOCIAL_SEC_RECEIPTS_SAAR_APR" vbProcedure="false">"c7676"</definedName>
    <definedName function="false" hidden="true" name="IQ_SOCIAL_SEC_RECEIPTS_SAAR_APR_FC" vbProcedure="false">"c8556"</definedName>
    <definedName function="false" hidden="true" name="IQ_SOCIAL_SEC_RECEIPTS_SAAR_FC" vbProcedure="false">"c7896"</definedName>
    <definedName function="false" hidden="true" name="IQ_SOCIAL_SEC_RECEIPTS_SAAR_POP" vbProcedure="false">"c7236"</definedName>
    <definedName function="false" hidden="true" name="IQ_SOCIAL_SEC_RECEIPTS_SAAR_POP_FC" vbProcedure="false">"c8116"</definedName>
    <definedName function="false" hidden="true" name="IQ_SOCIAL_SEC_RECEIPTS_SAAR_YOY" vbProcedure="false">"c7456"</definedName>
    <definedName function="false" hidden="true" name="IQ_SOCIAL_SEC_RECEIPTS_SAAR_YOY_FC" vbProcedure="false">"c8336"</definedName>
    <definedName function="false" hidden="true" name="IQ_SOCIAL_SEC_RECEIPTS_YOY" vbProcedure="false">"c7455"</definedName>
    <definedName function="false" hidden="true" name="IQ_SOCIAL_SEC_RECEIPTS_YOY_FC" vbProcedure="false">"c8335"</definedName>
    <definedName function="false" hidden="true" name="IQ_SOC_SEC_RECEIPTS_SAAR_USD_APR_FC" vbProcedure="false">"c12005"</definedName>
    <definedName function="false" hidden="true" name="IQ_SOC_SEC_RECEIPTS_SAAR_USD_FC" vbProcedure="false">"c12002"</definedName>
    <definedName function="false" hidden="true" name="IQ_SOC_SEC_RECEIPTS_SAAR_USD_POP_FC" vbProcedure="false">"c12003"</definedName>
    <definedName function="false" hidden="true" name="IQ_SOC_SEC_RECEIPTS_SAAR_USD_YOY_FC" vbProcedure="false">"c12004"</definedName>
    <definedName function="false" hidden="true" name="IQ_SOC_SEC_RECEIPTS_USD_APR_FC" vbProcedure="false">"c12001"</definedName>
    <definedName function="false" hidden="true" name="IQ_SOC_SEC_RECEIPTS_USD_FC" vbProcedure="false">"c11998"</definedName>
    <definedName function="false" hidden="true" name="IQ_SOC_SEC_RECEIPTS_USD_POP_FC" vbProcedure="false">"c11999"</definedName>
    <definedName function="false" hidden="true" name="IQ_SOC_SEC_RECEIPTS_USD_YOY_FC" vbProcedure="false">"c12000"</definedName>
    <definedName function="false" hidden="true" name="IQ_SOFTWARE" vbProcedure="false">"c1167"</definedName>
    <definedName function="false" hidden="true" name="IQ_SOLD_COAL" vbProcedure="false">"c15936"</definedName>
    <definedName function="false" hidden="true" name="IQ_SOURCE" vbProcedure="false">"c1168"</definedName>
    <definedName function="false" hidden="true" name="IQ_SP" vbProcedure="false">"c2171"</definedName>
    <definedName function="false" hidden="true" name="IQ_SPECIALTIES" vbProcedure="false">"c18932"</definedName>
    <definedName function="false" hidden="true" name="IQ_SPECIAL_DIV_CF" vbProcedure="false">"c1169"</definedName>
    <definedName function="false" hidden="true" name="IQ_SPECIAL_DIV_CF_BNK" vbProcedure="false">"c1170"</definedName>
    <definedName function="false" hidden="true" name="IQ_SPECIAL_DIV_CF_BR" vbProcedure="false">"c1171"</definedName>
    <definedName function="false" hidden="true" name="IQ_SPECIAL_DIV_CF_FIN" vbProcedure="false">"c1172"</definedName>
    <definedName function="false" hidden="true" name="IQ_SPECIAL_DIV_CF_INS" vbProcedure="false">"c1173"</definedName>
    <definedName function="false" hidden="true" name="IQ_SPECIAL_DIV_CF_RE" vbProcedure="false">"c6266"</definedName>
    <definedName function="false" hidden="true" name="IQ_SPECIAL_DIV_CF_REIT" vbProcedure="false">"c1174"</definedName>
    <definedName function="false" hidden="true" name="IQ_SPECIAL_DIV_CF_UTI" vbProcedure="false">"c1175"</definedName>
    <definedName function="false" hidden="true" name="IQ_SPECIAL_DIV_SHARE" vbProcedure="false">"c3007"</definedName>
    <definedName function="false" hidden="true" name="IQ_SPECIFIC_ALLOWANCE" vbProcedure="false">"c15247"</definedName>
    <definedName function="false" hidden="true" name="IQ_SPONSORS" vbProcedure="false">"c18920"</definedName>
    <definedName function="false" hidden="true" name="IQ_SPONSORS_ID" vbProcedure="false">"c18921"</definedName>
    <definedName function="false" hidden="true" name="IQ_SP_BANK" vbProcedure="false">"c2637"</definedName>
    <definedName function="false" hidden="true" name="IQ_SP_BANK_ACTION" vbProcedure="false">"c2636"</definedName>
    <definedName function="false" hidden="true" name="IQ_SP_BANK_DATE" vbProcedure="false">"c2635"</definedName>
    <definedName function="false" hidden="true" name="IQ_SP_DATE" vbProcedure="false">"c2172"</definedName>
    <definedName function="false" hidden="true" name="IQ_SP_FIN_ENHANCE_FX" vbProcedure="false">"c2631"</definedName>
    <definedName function="false" hidden="true" name="IQ_SP_FIN_ENHANCE_FX_ACTION" vbProcedure="false">"c2630"</definedName>
    <definedName function="false" hidden="true" name="IQ_SP_FIN_ENHANCE_FX_DATE" vbProcedure="false">"c2629"</definedName>
    <definedName function="false" hidden="true" name="IQ_SP_FIN_ENHANCE_LC" vbProcedure="false">"c2634"</definedName>
    <definedName function="false" hidden="true" name="IQ_SP_FIN_ENHANCE_LC_ACTION" vbProcedure="false">"c2633"</definedName>
    <definedName function="false" hidden="true" name="IQ_SP_FIN_ENHANCE_LC_DATE" vbProcedure="false">"c2632"</definedName>
    <definedName function="false" hidden="true" name="IQ_SP_FIN_STRENGTH_LC_ACTION_LT" vbProcedure="false">"c2625"</definedName>
    <definedName function="false" hidden="true" name="IQ_SP_FIN_STRENGTH_LC_ACTION_ST" vbProcedure="false">"c2626"</definedName>
    <definedName function="false" hidden="true" name="IQ_SP_FIN_STRENGTH_LC_DATE_LT" vbProcedure="false">"c2623"</definedName>
    <definedName function="false" hidden="true" name="IQ_SP_FIN_STRENGTH_LC_DATE_ST" vbProcedure="false">"c2624"</definedName>
    <definedName function="false" hidden="true" name="IQ_SP_FIN_STRENGTH_LC_LT" vbProcedure="false">"c2627"</definedName>
    <definedName function="false" hidden="true" name="IQ_SP_FIN_STRENGTH_LC_ST" vbProcedure="false">"c2628"</definedName>
    <definedName function="false" hidden="true" name="IQ_SP_FX_ACTION_LT" vbProcedure="false">"c2613"</definedName>
    <definedName function="false" hidden="true" name="IQ_SP_FX_ACTION_ST" vbProcedure="false">"c2614"</definedName>
    <definedName function="false" hidden="true" name="IQ_SP_FX_DATE_LT" vbProcedure="false">"c2611"</definedName>
    <definedName function="false" hidden="true" name="IQ_SP_FX_DATE_ST" vbProcedure="false">"c2612"</definedName>
    <definedName function="false" hidden="true" name="IQ_SP_FX_LT" vbProcedure="false">"c2615"</definedName>
    <definedName function="false" hidden="true" name="IQ_SP_FX_ST" vbProcedure="false">"c2616"</definedName>
    <definedName function="false" hidden="true" name="IQ_SP_ISSUE_ACTION" vbProcedure="false">"c2644"</definedName>
    <definedName function="false" hidden="true" name="IQ_SP_ISSUE_DATE" vbProcedure="false">"c2643"</definedName>
    <definedName function="false" hidden="true" name="IQ_SP_ISSUE_LC_ACTION" vbProcedure="false">"c2644"</definedName>
    <definedName function="false" hidden="true" name="IQ_SP_ISSUE_LC_DATE" vbProcedure="false">"c2643"</definedName>
    <definedName function="false" hidden="true" name="IQ_SP_ISSUE_LC_LT" vbProcedure="false">"c2645"</definedName>
    <definedName function="false" hidden="true" name="IQ_SP_ISSUE_LT" vbProcedure="false">"c2645"</definedName>
    <definedName function="false" hidden="true" name="IQ_SP_ISSUE_NSR_ACTION_LT" vbProcedure="false">"c13616"</definedName>
    <definedName function="false" hidden="true" name="IQ_SP_ISSUE_NSR_ACTION_ST" vbProcedure="false">"c13622"</definedName>
    <definedName function="false" hidden="true" name="IQ_SP_ISSUE_NSR_DATE_LT" vbProcedure="false">"c13615"</definedName>
    <definedName function="false" hidden="true" name="IQ_SP_ISSUE_NSR_DATE_ST" vbProcedure="false">"c13621"</definedName>
    <definedName function="false" hidden="true" name="IQ_SP_ISSUE_NSR_LT" vbProcedure="false">"c13614"</definedName>
    <definedName function="false" hidden="true" name="IQ_SP_ISSUE_NSR_ST" vbProcedure="false">"c13620"</definedName>
    <definedName function="false" hidden="true" name="IQ_SP_ISSUE_OUTLOOK_WATCH" vbProcedure="false">"c2650"</definedName>
    <definedName function="false" hidden="true" name="IQ_SP_ISSUE_OUTLOOK_WATCH_DATE" vbProcedure="false">"c2649"</definedName>
    <definedName function="false" hidden="true" name="IQ_SP_ISSUE_RECOVER" vbProcedure="false">"c2648"</definedName>
    <definedName function="false" hidden="true" name="IQ_SP_ISSUE_RECOVER_ACTION" vbProcedure="false">"c2647"</definedName>
    <definedName function="false" hidden="true" name="IQ_SP_ISSUE_RECOVER_DATE" vbProcedure="false">"c2646"</definedName>
    <definedName function="false" hidden="true" name="IQ_SP_LC_ACTION_LT" vbProcedure="false">"c2619"</definedName>
    <definedName function="false" hidden="true" name="IQ_SP_LC_ACTION_ST" vbProcedure="false">"c2620"</definedName>
    <definedName function="false" hidden="true" name="IQ_SP_LC_DATE_LT" vbProcedure="false">"c2617"</definedName>
    <definedName function="false" hidden="true" name="IQ_SP_LC_DATE_ST" vbProcedure="false">"c2618"</definedName>
    <definedName function="false" hidden="true" name="IQ_SP_LC_LT" vbProcedure="false">"c2621"</definedName>
    <definedName function="false" hidden="true" name="IQ_SP_LC_ST" vbProcedure="false">"c2622"</definedName>
    <definedName function="false" hidden="true" name="IQ_SP_NSR_ACTION_LT" vbProcedure="false">"c13613"</definedName>
    <definedName function="false" hidden="true" name="IQ_SP_NSR_ACTION_ST" vbProcedure="false">"c13619"</definedName>
    <definedName function="false" hidden="true" name="IQ_SP_NSR_DATE_LT" vbProcedure="false">"c13612"</definedName>
    <definedName function="false" hidden="true" name="IQ_SP_NSR_DATE_ST" vbProcedure="false">"c13618"</definedName>
    <definedName function="false" hidden="true" name="IQ_SP_NSR_LT" vbProcedure="false">"c13611"</definedName>
    <definedName function="false" hidden="true" name="IQ_SP_NSR_ST" vbProcedure="false">"c13617"</definedName>
    <definedName function="false" hidden="true" name="IQ_SP_OUTLOOK_WATCH" vbProcedure="false">"c2639"</definedName>
    <definedName function="false" hidden="true" name="IQ_SP_OUTLOOK_WATCH_DATE" vbProcedure="false">"c2638"</definedName>
    <definedName function="false" hidden="true" name="IQ_SP_QUALITY_RANKING_DESCRIPTION" vbProcedure="false">"c17410"</definedName>
    <definedName function="false" hidden="true" name="IQ_SP_QUALITY_RANKING_VALUE" vbProcedure="false">"c17409"</definedName>
    <definedName function="false" hidden="true" name="IQ_SP_REASON" vbProcedure="false">"c2174"</definedName>
    <definedName function="false" hidden="true" name="IQ_SP_STARS_DESCRIPTION" vbProcedure="false">"c17408"</definedName>
    <definedName function="false" hidden="true" name="IQ_SP_STARS_VALUE" vbProcedure="false">"c17407"</definedName>
    <definedName function="false" hidden="true" name="IQ_SP_STATUS" vbProcedure="false">"c2173"</definedName>
    <definedName function="false" hidden="true" name="IQ_SQ_FT_LEASED_GROSS_CONSOL" vbProcedure="false">"c8820"</definedName>
    <definedName function="false" hidden="true" name="IQ_SQ_FT_LEASED_GROSS_MANAGED" vbProcedure="false">"c8822"</definedName>
    <definedName function="false" hidden="true" name="IQ_SQ_FT_LEASED_GROSS_OTHER" vbProcedure="false">"c8823"</definedName>
    <definedName function="false" hidden="true" name="IQ_SQ_FT_LEASED_GROSS_TOTAL" vbProcedure="false">"c8824"</definedName>
    <definedName function="false" hidden="true" name="IQ_SQ_FT_LEASED_GROSS_UNCONSOL" vbProcedure="false">"c8821"</definedName>
    <definedName function="false" hidden="true" name="IQ_SQ_FT_LEASED_NET_CONSOL" vbProcedure="false">"c8825"</definedName>
    <definedName function="false" hidden="true" name="IQ_SQ_FT_LEASED_NET_MANAGED" vbProcedure="false">"c8827"</definedName>
    <definedName function="false" hidden="true" name="IQ_SQ_FT_LEASED_NET_OTHER" vbProcedure="false">"c8828"</definedName>
    <definedName function="false" hidden="true" name="IQ_SQ_FT_LEASED_NET_TOTAL" vbProcedure="false">"c8829"</definedName>
    <definedName function="false" hidden="true" name="IQ_SQ_FT_LEASED_NET_UNCONSOL" vbProcedure="false">"c8826"</definedName>
    <definedName function="false" hidden="true" name="IQ_SQ_METER_LEASED_GROSS_CONSOL" vbProcedure="false">"c8830"</definedName>
    <definedName function="false" hidden="true" name="IQ_SQ_METER_LEASED_GROSS_MANAGED" vbProcedure="false">"c8832"</definedName>
    <definedName function="false" hidden="true" name="IQ_SQ_METER_LEASED_GROSS_OTHER" vbProcedure="false">"c8833"</definedName>
    <definedName function="false" hidden="true" name="IQ_SQ_METER_LEASED_GROSS_TOTAL" vbProcedure="false">"c8834"</definedName>
    <definedName function="false" hidden="true" name="IQ_SQ_METER_LEASED_GROSS_UNCONSOL" vbProcedure="false">"c8831"</definedName>
    <definedName function="false" hidden="true" name="IQ_SQ_METER_LEASED_NET_CONSOL" vbProcedure="false">"c8835"</definedName>
    <definedName function="false" hidden="true" name="IQ_SQ_METER_LEASED_NET_MANAGED" vbProcedure="false">"c8837"</definedName>
    <definedName function="false" hidden="true" name="IQ_SQ_METER_LEASED_NET_OTHER" vbProcedure="false">"c8838"</definedName>
    <definedName function="false" hidden="true" name="IQ_SQ_METER_LEASED_NET_TOTAL" vbProcedure="false">"c8839"</definedName>
    <definedName function="false" hidden="true" name="IQ_SQ_METER_LEASED_NET_UNCONSOL" vbProcedure="false">"c8836"</definedName>
    <definedName function="false" hidden="true" name="IQ_SR_BONDS_NOTES" vbProcedure="false">"c2501"</definedName>
    <definedName function="false" hidden="true" name="IQ_SR_BONDS_NOTES_PCT" vbProcedure="false">"c2502"</definedName>
    <definedName function="false" hidden="true" name="IQ_SR_DEBT" vbProcedure="false">"c2526"</definedName>
    <definedName function="false" hidden="true" name="IQ_SR_DEBT_EBITDA" vbProcedure="false">"c2552"</definedName>
    <definedName function="false" hidden="true" name="IQ_SR_DEBT_EBITDA_CAPEX" vbProcedure="false">"c2553"</definedName>
    <definedName function="false" hidden="true" name="IQ_SR_DEBT_PCT" vbProcedure="false">"c2527"</definedName>
    <definedName function="false" hidden="true" name="IQ_SR_SUB_DEBT" vbProcedure="false">"c2530"</definedName>
    <definedName function="false" hidden="true" name="IQ_SR_SUB_DEBT_EBITDA" vbProcedure="false">"c2556"</definedName>
    <definedName function="false" hidden="true" name="IQ_SR_SUB_DEBT_EBITDA_CAPEX" vbProcedure="false">"c2557"</definedName>
    <definedName function="false" hidden="true" name="IQ_SR_SUB_DEBT_PCT" vbProcedure="false">"c2531"</definedName>
    <definedName function="false" hidden="true" name="IQ_STANDBY_LOC_FHLB_BANK_BEHALF_OFF_BS_FFIEC" vbProcedure="false">"c15412"</definedName>
    <definedName function="false" hidden="true" name="IQ_STAND_REC_DET_EST" vbProcedure="false">"c12069"</definedName>
    <definedName function="false" hidden="true" name="IQ_STAND_REC_DET_EST_CIQ" vbProcedure="false">"c12133"</definedName>
    <definedName function="false" hidden="true" name="IQ_STAND_REC_DET_EST_DATE" vbProcedure="false">"c12222"</definedName>
    <definedName function="false" hidden="true" name="IQ_STAND_REC_DET_EST_DATE_CIQ" vbProcedure="false">"c12279"</definedName>
    <definedName function="false" hidden="true" name="IQ_STAND_REC_DET_EST_DATE_THOM" vbProcedure="false">"c12250"</definedName>
    <definedName function="false" hidden="true" name="IQ_STAND_REC_DET_EST_ORIGIN" vbProcedure="false">"c12594"</definedName>
    <definedName function="false" hidden="true" name="IQ_STAND_REC_DET_EST_ORIGIN_CIQ" vbProcedure="false">"c12648"</definedName>
    <definedName function="false" hidden="true" name="IQ_STAND_REC_DET_EST_ORIGIN_THOM" vbProcedure="false">"c12620"</definedName>
    <definedName function="false" hidden="true" name="IQ_STAND_REC_DET_EST_THOM" vbProcedure="false">"c12100"</definedName>
    <definedName function="false" hidden="true" name="IQ_STAND_REC_NUM_DET_EST" vbProcedure="false">"c12068"</definedName>
    <definedName function="false" hidden="true" name="IQ_STAND_REC_NUM_DET_EST_CIQ" vbProcedure="false">"c12132"</definedName>
    <definedName function="false" hidden="true" name="IQ_STAND_REC_NUM_DET_EST_DATE" vbProcedure="false">"c12221"</definedName>
    <definedName function="false" hidden="true" name="IQ_STAND_REC_NUM_DET_EST_DATE_CIQ" vbProcedure="false">"c12278"</definedName>
    <definedName function="false" hidden="true" name="IQ_STAND_REC_NUM_DET_EST_DATE_THOM" vbProcedure="false">"c12249"</definedName>
    <definedName function="false" hidden="true" name="IQ_STAND_REC_NUM_DET_EST_ORIGIN" vbProcedure="false">"c12593"</definedName>
    <definedName function="false" hidden="true" name="IQ_STAND_REC_NUM_DET_EST_ORIGIN_CIQ" vbProcedure="false">"c12647"</definedName>
    <definedName function="false" hidden="true" name="IQ_STAND_REC_NUM_DET_EST_ORIGIN_THOM" vbProcedure="false">"c12619"</definedName>
    <definedName function="false" hidden="true" name="IQ_STAND_REC_NUM_DET_EST_THOM" vbProcedure="false">"c12099"</definedName>
    <definedName function="false" hidden="true" name="IQ_STATE" vbProcedure="false">"c1200"</definedName>
    <definedName function="false" hidden="true" name="IQ_STATES_NONTRANSACTION_ACCOUNTS_FDIC" vbProcedure="false">"c6547"</definedName>
    <definedName function="false" hidden="true" name="IQ_STATES_POLI_SUBD_US_NON_TRANS_ACCTS_FFIEC" vbProcedure="false">"c15324"</definedName>
    <definedName function="false" hidden="true" name="IQ_STATES_POLI_SUBD_US_TRANS_ACCTS_FFIEC" vbProcedure="false">"c15316"</definedName>
    <definedName function="false" hidden="true" name="IQ_STATES_TOTAL_DEPOSITS_FDIC" vbProcedure="false">"c6473"</definedName>
    <definedName function="false" hidden="true" name="IQ_STATES_TRANSACTION_ACCOUNTS_FDIC" vbProcedure="false">"c6539"</definedName>
    <definedName function="false" hidden="true" name="IQ_STATE_LOCAL_SPENDING_SAAR" vbProcedure="false">"c7017"</definedName>
    <definedName function="false" hidden="true" name="IQ_STATE_LOCAL_SPENDING_SAAR_APR" vbProcedure="false">"c7677"</definedName>
    <definedName function="false" hidden="true" name="IQ_STATE_LOCAL_SPENDING_SAAR_APR_FC" vbProcedure="false">"c8557"</definedName>
    <definedName function="false" hidden="true" name="IQ_STATE_LOCAL_SPENDING_SAAR_FC" vbProcedure="false">"c7897"</definedName>
    <definedName function="false" hidden="true" name="IQ_STATE_LOCAL_SPENDING_SAAR_POP" vbProcedure="false">"c7237"</definedName>
    <definedName function="false" hidden="true" name="IQ_STATE_LOCAL_SPENDING_SAAR_POP_FC" vbProcedure="false">"c8117"</definedName>
    <definedName function="false" hidden="true" name="IQ_STATE_LOCAL_SPENDING_SAAR_YOY" vbProcedure="false">"c7457"</definedName>
    <definedName function="false" hidden="true" name="IQ_STATE_LOCAL_SPENDING_SAAR_YOY_FC" vbProcedure="false">"c8337"</definedName>
    <definedName function="false" hidden="true" name="IQ_STATUTORY_SURPLUS" vbProcedure="false">"c1201"</definedName>
    <definedName function="false" hidden="true" name="IQ_STATUTORY_SURPLUS_GAAP_EQUITY" vbProcedure="false">"c15883"</definedName>
    <definedName function="false" hidden="true" name="IQ_STOCK_BASED" vbProcedure="false">"c1202"</definedName>
    <definedName function="false" hidden="true" name="IQ_STOCK_BASED_AT" vbProcedure="false">"c2999"</definedName>
    <definedName function="false" hidden="true" name="IQ_STOCK_BASED_CF" vbProcedure="false">"c1203"</definedName>
    <definedName function="false" hidden="true" name="IQ_STOCK_BASED_COGS" vbProcedure="false">"c2990"</definedName>
    <definedName function="false" hidden="true" name="IQ_STOCK_BASED_COMP" vbProcedure="false">"c3512"</definedName>
    <definedName function="false" hidden="true" name="IQ_STOCK_BASED_COMP_PRETAX" vbProcedure="false">"c3510"</definedName>
    <definedName function="false" hidden="true" name="IQ_STOCK_BASED_COMP_TAX" vbProcedure="false">"c3511"</definedName>
    <definedName function="false" hidden="true" name="IQ_STOCK_BASED_EST" vbProcedure="false">"c4520"</definedName>
    <definedName function="false" hidden="true" name="IQ_STOCK_BASED_EST_CIQ" vbProcedure="false">"c5073"</definedName>
    <definedName function="false" hidden="true" name="IQ_STOCK_BASED_EXPLORE_DRILL" vbProcedure="false">"c13851"</definedName>
    <definedName function="false" hidden="true" name="IQ_STOCK_BASED_GA" vbProcedure="false">"c2993"</definedName>
    <definedName function="false" hidden="true" name="IQ_STOCK_BASED_HIGH_EST" vbProcedure="false">"c4521"</definedName>
    <definedName function="false" hidden="true" name="IQ_STOCK_BASED_HIGH_EST_CIQ" vbProcedure="false">"c5074"</definedName>
    <definedName function="false" hidden="true" name="IQ_STOCK_BASED_LOW_EST" vbProcedure="false">"c4522"</definedName>
    <definedName function="false" hidden="true" name="IQ_STOCK_BASED_LOW_EST_CIQ" vbProcedure="false">"c5075"</definedName>
    <definedName function="false" hidden="true" name="IQ_STOCK_BASED_MEDIAN_EST" vbProcedure="false">"c4523"</definedName>
    <definedName function="false" hidden="true" name="IQ_STOCK_BASED_MEDIAN_EST_CIQ" vbProcedure="false">"c5076"</definedName>
    <definedName function="false" hidden="true" name="IQ_STOCK_BASED_NUM_EST" vbProcedure="false">"c4524"</definedName>
    <definedName function="false" hidden="true" name="IQ_STOCK_BASED_NUM_EST_CIQ" vbProcedure="false">"c5077"</definedName>
    <definedName function="false" hidden="true" name="IQ_STOCK_BASED_OTHER" vbProcedure="false">"c2995"</definedName>
    <definedName function="false" hidden="true" name="IQ_STOCK_BASED_RD" vbProcedure="false">"c2991"</definedName>
    <definedName function="false" hidden="true" name="IQ_STOCK_BASED_SGA" vbProcedure="false">"c2994"</definedName>
    <definedName function="false" hidden="true" name="IQ_STOCK_BASED_SM" vbProcedure="false">"c2992"</definedName>
    <definedName function="false" hidden="true" name="IQ_STOCK_BASED_STDDEV_EST" vbProcedure="false">"c4525"</definedName>
    <definedName function="false" hidden="true" name="IQ_STOCK_BASED_STDDEV_EST_CIQ" vbProcedure="false">"c5078"</definedName>
    <definedName function="false" hidden="true" name="IQ_STOCK_BASED_TOTAL" vbProcedure="false">"c3040"</definedName>
    <definedName function="false" hidden="true" name="IQ_STOCK_OPTIONS_COMP" vbProcedure="false">"c3509"</definedName>
    <definedName function="false" hidden="true" name="IQ_STOCK_OPTIONS_COMP_PRETAX" vbProcedure="false">"c3507"</definedName>
    <definedName function="false" hidden="true" name="IQ_STOCK_OPTIONS_COMP_TAX" vbProcedure="false">"c3508"</definedName>
    <definedName function="false" hidden="true" name="IQ_STRAIGHT_LINE_RENT_ADJ" vbProcedure="false">"c16178"</definedName>
    <definedName function="false" hidden="true" name="IQ_STRATEGY_NOTE" vbProcedure="false">"c6791"</definedName>
    <definedName function="false" hidden="true" name="IQ_STRIKE_PRICE_ISSUED" vbProcedure="false">"c1645"</definedName>
    <definedName function="false" hidden="true" name="IQ_STRIKE_PRICE_OS" vbProcedure="false">"c1646"</definedName>
    <definedName function="false" hidden="true" name="IQ_STRIPS_RECEIVABLE_MORTGAGE_LOANS_FFIEC" vbProcedure="false">"c12844"</definedName>
    <definedName function="false" hidden="true" name="IQ_STRIPS_RECEIVABLE_OTHER_FFIEC" vbProcedure="false">"c12845"</definedName>
    <definedName function="false" hidden="true" name="IQ_STRUCTURED_NOTES_INVEST_SECURITIES_FFIEC" vbProcedure="false">"c13468"</definedName>
    <definedName function="false" hidden="true" name="IQ_STRUCTURING_NOTES_TIER_1_FFIEC" vbProcedure="false">"c13344"</definedName>
    <definedName function="false" hidden="true" name="IQ_STRUCT_FIN_CLASS" vbProcedure="false">"c8950"</definedName>
    <definedName function="false" hidden="true" name="IQ_STRUCT_FIN_SERIES" vbProcedure="false">"c8956"</definedName>
    <definedName function="false" hidden="true" name="IQ_STW" vbProcedure="false">"c2166"</definedName>
    <definedName function="false" hidden="true" name="IQ_STYLE_GROWTH_VALUE" vbProcedure="false">"c19203"</definedName>
    <definedName function="false" hidden="true" name="IQ_STYLE_HIGH_YIELD" vbProcedure="false">"c19204"</definedName>
    <definedName function="false" hidden="true" name="IQ_STYLE_MARKET_CAP" vbProcedure="false">"c19202"</definedName>
    <definedName function="false" hidden="true" name="IQ_STYLE_REPORTED" vbProcedure="false">"c19205"</definedName>
    <definedName function="false" hidden="true" name="IQ_ST_DEBT" vbProcedure="false">"c1176"</definedName>
    <definedName function="false" hidden="true" name="IQ_ST_DEBT_BNK" vbProcedure="false">"c1177"</definedName>
    <definedName function="false" hidden="true" name="IQ_ST_DEBT_BR" vbProcedure="false">"c1178"</definedName>
    <definedName function="false" hidden="true" name="IQ_ST_DEBT_FIN" vbProcedure="false">"c1179"</definedName>
    <definedName function="false" hidden="true" name="IQ_ST_DEBT_INS" vbProcedure="false">"c1180"</definedName>
    <definedName function="false" hidden="true" name="IQ_ST_DEBT_ISSUED" vbProcedure="false">"c1181"</definedName>
    <definedName function="false" hidden="true" name="IQ_ST_DEBT_ISSUED_BNK" vbProcedure="false">"c1182"</definedName>
    <definedName function="false" hidden="true" name="IQ_ST_DEBT_ISSUED_BR" vbProcedure="false">"c1183"</definedName>
    <definedName function="false" hidden="true" name="IQ_ST_DEBT_ISSUED_FIN" vbProcedure="false">"c1184"</definedName>
    <definedName function="false" hidden="true" name="IQ_ST_DEBT_ISSUED_INS" vbProcedure="false">"c1185"</definedName>
    <definedName function="false" hidden="true" name="IQ_ST_DEBT_ISSUED_RE" vbProcedure="false">"c6267"</definedName>
    <definedName function="false" hidden="true" name="IQ_ST_DEBT_ISSUED_REIT" vbProcedure="false">"c1186"</definedName>
    <definedName function="false" hidden="true" name="IQ_ST_DEBT_ISSUED_UTI" vbProcedure="false">"c1187"</definedName>
    <definedName function="false" hidden="true" name="IQ_ST_DEBT_PCT" vbProcedure="false">"c2539"</definedName>
    <definedName function="false" hidden="true" name="IQ_ST_DEBT_RE" vbProcedure="false">"c6268"</definedName>
    <definedName function="false" hidden="true" name="IQ_ST_DEBT_REIT" vbProcedure="false">"c1188"</definedName>
    <definedName function="false" hidden="true" name="IQ_ST_DEBT_REPAID" vbProcedure="false">"c1189"</definedName>
    <definedName function="false" hidden="true" name="IQ_ST_DEBT_REPAID_BNK" vbProcedure="false">"c1190"</definedName>
    <definedName function="false" hidden="true" name="IQ_ST_DEBT_REPAID_BR" vbProcedure="false">"c1191"</definedName>
    <definedName function="false" hidden="true" name="IQ_ST_DEBT_REPAID_FIN" vbProcedure="false">"c1192"</definedName>
    <definedName function="false" hidden="true" name="IQ_ST_DEBT_REPAID_INS" vbProcedure="false">"c1193"</definedName>
    <definedName function="false" hidden="true" name="IQ_ST_DEBT_REPAID_RE" vbProcedure="false">"c6269"</definedName>
    <definedName function="false" hidden="true" name="IQ_ST_DEBT_REPAID_REIT" vbProcedure="false">"c1194"</definedName>
    <definedName function="false" hidden="true" name="IQ_ST_DEBT_REPAID_UTI" vbProcedure="false">"c1195"</definedName>
    <definedName function="false" hidden="true" name="IQ_ST_DEBT_UTI" vbProcedure="false">"c1196"</definedName>
    <definedName function="false" hidden="true" name="IQ_ST_FHLB_DEBT" vbProcedure="false">"c5658"</definedName>
    <definedName function="false" hidden="true" name="IQ_ST_INVEST" vbProcedure="false">"c1197"</definedName>
    <definedName function="false" hidden="true" name="IQ_ST_INVEST_ASSETS_TOT_FFIEC" vbProcedure="false">"c13438"</definedName>
    <definedName function="false" hidden="true" name="IQ_ST_INVEST_ST_NONCORE_FUNDING_FFIEC" vbProcedure="false">"c13338"</definedName>
    <definedName function="false" hidden="true" name="IQ_ST_INVEST_UTI" vbProcedure="false">"c1198"</definedName>
    <definedName function="false" hidden="true" name="IQ_ST_NOTE_RECEIV" vbProcedure="false">"c1199"</definedName>
    <definedName function="false" hidden="true" name="IQ_SUBS_ANALOG_CABLE" vbProcedure="false">"c2855"</definedName>
    <definedName function="false" hidden="true" name="IQ_SUBS_BASIC_CABLE" vbProcedure="false">"c16205"</definedName>
    <definedName function="false" hidden="true" name="IQ_SUBS_BBAND" vbProcedure="false">"c2858"</definedName>
    <definedName function="false" hidden="true" name="IQ_SUBS_BUNDLED" vbProcedure="false">"c2861"</definedName>
    <definedName function="false" hidden="true" name="IQ_SUBS_DIG_CABLE" vbProcedure="false">"c2856"</definedName>
    <definedName function="false" hidden="true" name="IQ_SUBS_NON_VIDEO" vbProcedure="false">"c2860"</definedName>
    <definedName function="false" hidden="true" name="IQ_SUBS_PHONE" vbProcedure="false">"c2859"</definedName>
    <definedName function="false" hidden="true" name="IQ_SUBS_POSTPAID_WIRELESS" vbProcedure="false">"c2118"</definedName>
    <definedName function="false" hidden="true" name="IQ_SUBS_PREPAID_WIRELESS" vbProcedure="false">"c2117"</definedName>
    <definedName function="false" hidden="true" name="IQ_SUBS_RESELL_WHOLESALE_WIRELESS" vbProcedure="false">"c15749"</definedName>
    <definedName function="false" hidden="true" name="IQ_SUBS_TOTAL" vbProcedure="false">"c2862"</definedName>
    <definedName function="false" hidden="true" name="IQ_SUBS_TOTAL_WIRELESS" vbProcedure="false">"c2119"</definedName>
    <definedName function="false" hidden="true" name="IQ_SUBS_VIDEO" vbProcedure="false">"c2857"</definedName>
    <definedName function="false" hidden="true" name="IQ_SUB_BONDS_NOTES" vbProcedure="false">"c2503"</definedName>
    <definedName function="false" hidden="true" name="IQ_SUB_BONDS_NOTES_PCT" vbProcedure="false">"c2504"</definedName>
    <definedName function="false" hidden="true" name="IQ_SUB_DEBT" vbProcedure="false">"c2532"</definedName>
    <definedName function="false" hidden="true" name="IQ_SUB_DEBT_EBITDA" vbProcedure="false">"c2558"</definedName>
    <definedName function="false" hidden="true" name="IQ_SUB_DEBT_EBITDA_CAPEX" vbProcedure="false">"c2559"</definedName>
    <definedName function="false" hidden="true" name="IQ_SUB_DEBT_FDIC" vbProcedure="false">"c6346"</definedName>
    <definedName function="false" hidden="true" name="IQ_SUB_DEBT_PCT" vbProcedure="false">"c2533"</definedName>
    <definedName function="false" hidden="true" name="IQ_SUB_LEASE_AFTER_FIVE" vbProcedure="false">"c1207"</definedName>
    <definedName function="false" hidden="true" name="IQ_SUB_LEASE_INC_CY" vbProcedure="false">"c1208"</definedName>
    <definedName function="false" hidden="true" name="IQ_SUB_LEASE_INC_CY1" vbProcedure="false">"c1209"</definedName>
    <definedName function="false" hidden="true" name="IQ_SUB_LEASE_INC_CY2" vbProcedure="false">"c1210"</definedName>
    <definedName function="false" hidden="true" name="IQ_SUB_LEASE_INC_CY3" vbProcedure="false">"c1211"</definedName>
    <definedName function="false" hidden="true" name="IQ_SUB_LEASE_INC_CY4" vbProcedure="false">"c1212"</definedName>
    <definedName function="false" hidden="true" name="IQ_SUB_LEASE_NEXT_FIVE" vbProcedure="false">"c1213"</definedName>
    <definedName function="false" hidden="true" name="IQ_SUB_NOTES_DEBENTURES_FAIR_VALUE_TOT_FFIEC" vbProcedure="false">"c15410"</definedName>
    <definedName function="false" hidden="true" name="IQ_SUB_NOTES_DEBENTURES_FFIEC" vbProcedure="false">"c12867"</definedName>
    <definedName function="false" hidden="true" name="IQ_SUB_NOTES_DEBENTURES_LEVEL_1_FFIEC" vbProcedure="false">"c15432"</definedName>
    <definedName function="false" hidden="true" name="IQ_SUB_NOTES_DEBENTURES_LEVEL_2_FFIEC" vbProcedure="false">"c15445"</definedName>
    <definedName function="false" hidden="true" name="IQ_SUB_NOTES_DEBENTURES_LEVEL_3_FFIEC" vbProcedure="false">"c15458"</definedName>
    <definedName function="false" hidden="true" name="IQ_SUB_NOTES_PAYABLE_UNCONSOLIDATED_TRUSTS_FFIEC" vbProcedure="false">"c12868"</definedName>
    <definedName function="false" hidden="true" name="IQ_SUPPLIES_FFIEC" vbProcedure="false">"c13050"</definedName>
    <definedName function="false" hidden="true" name="IQ_SUPPORT_INFRASTRUCTURE_CABLE_INVEST" vbProcedure="false">"c15805"</definedName>
    <definedName function="false" hidden="true" name="IQ_SURFACE_RESERVES_COAL" vbProcedure="false">"c15920"</definedName>
    <definedName function="false" hidden="true" name="IQ_SURFACE_RESERVES_TO_TOTAL_RESERVES_COAL" vbProcedure="false">"c15959"</definedName>
    <definedName function="false" hidden="true" name="IQ_SURPLUS_FDIC" vbProcedure="false">"c6351"</definedName>
    <definedName function="false" hidden="true" name="IQ_SURPLUS_FFIEC" vbProcedure="false">"c12877"</definedName>
    <definedName function="false" hidden="true" name="IQ_SVA" vbProcedure="false">"c1214"</definedName>
    <definedName function="false" hidden="true" name="IQ_SYMBOL_RT" vbProcedure="false">"SYMBOL"</definedName>
    <definedName function="false" hidden="true" name="IQ_SYNTHETIC_STRUCTURED_PRODUCTS_AVAIL_SALE_FFIEC" vbProcedure="false">"c15264"</definedName>
    <definedName function="false" hidden="true" name="IQ_SYNTHETIC_STRUCTURED_PRODUCTS_FFIEC" vbProcedure="false">"c15261"</definedName>
    <definedName function="false" hidden="true" name="IQ_SYNTH_STRUCTURED_PRODUCTS_AFS_AMORT_COST_FFIEC" vbProcedure="false">"c20501"</definedName>
    <definedName function="false" hidden="true" name="IQ_SYNTH_STRUCTURED_PRODUCTS_AFS_FAIR_VAL_FFIEC" vbProcedure="false">"c20466"</definedName>
    <definedName function="false" hidden="true" name="IQ_SYNTH_STRUCTURED_PRODUCTS_HTM_AMORT_COST_FFIEC" vbProcedure="false">"c20449"</definedName>
    <definedName function="false" hidden="true" name="IQ_SYNTH_STRUCTURED_PRODUCTS_HTM_FAIR_VAL_FFIEC" vbProcedure="false">"c20484"</definedName>
    <definedName function="false" hidden="true" name="IQ_TANGIBLE_ASSETS_FFIEC" vbProcedure="false">"c13916"</definedName>
    <definedName function="false" hidden="true" name="IQ_TANGIBLE_COMMON_EQUITY_FFIEC" vbProcedure="false">"c13914"</definedName>
    <definedName function="false" hidden="true" name="IQ_TANGIBLE_EQUITY_ASSETS_FFIEC" vbProcedure="false">"c13346"</definedName>
    <definedName function="false" hidden="true" name="IQ_TANGIBLE_EQUITY_FFIEC" vbProcedure="false">"c13915"</definedName>
    <definedName function="false" hidden="true" name="IQ_TANGIBLE_TIER_1_LEVERAGE_FFIEC" vbProcedure="false">"c13345"</definedName>
    <definedName function="false" hidden="true" name="IQ_TARGET_PRICE_DET_EST" vbProcedure="false">"c12070"</definedName>
    <definedName function="false" hidden="true" name="IQ_TARGET_PRICE_DET_EST_CIQ" vbProcedure="false">"c12134"</definedName>
    <definedName function="false" hidden="true" name="IQ_TARGET_PRICE_DET_EST_CURRENCY" vbProcedure="false">"c12475"</definedName>
    <definedName function="false" hidden="true" name="IQ_TARGET_PRICE_DET_EST_CURRENCY_CIQ" vbProcedure="false">"c12523"</definedName>
    <definedName function="false" hidden="true" name="IQ_TARGET_PRICE_DET_EST_CURRENCY_THOM" vbProcedure="false">"c12498"</definedName>
    <definedName function="false" hidden="true" name="IQ_TARGET_PRICE_DET_EST_DATE" vbProcedure="false">"c12223"</definedName>
    <definedName function="false" hidden="true" name="IQ_TARGET_PRICE_DET_EST_DATE_CIQ" vbProcedure="false">"c12280"</definedName>
    <definedName function="false" hidden="true" name="IQ_TARGET_PRICE_DET_EST_DATE_THOM" vbProcedure="false">"c12251"</definedName>
    <definedName function="false" hidden="true" name="IQ_TARGET_PRICE_DET_EST_INCL" vbProcedure="false">"c12358"</definedName>
    <definedName function="false" hidden="true" name="IQ_TARGET_PRICE_DET_EST_INCL_CIQ" vbProcedure="false">"c12406"</definedName>
    <definedName function="false" hidden="true" name="IQ_TARGET_PRICE_DET_EST_INCL_THOM" vbProcedure="false">"c12381"</definedName>
    <definedName function="false" hidden="true" name="IQ_TARGET_PRICE_DET_EST_ORIGIN" vbProcedure="false">"c12729"</definedName>
    <definedName function="false" hidden="true" name="IQ_TARGET_PRICE_DET_EST_ORIGIN_CIQ" vbProcedure="false">"c12730"</definedName>
    <definedName function="false" hidden="true" name="IQ_TARGET_PRICE_DET_EST_ORIGIN_THOM" vbProcedure="false">"c12621"</definedName>
    <definedName function="false" hidden="true" name="IQ_TARGET_PRICE_DET_EST_THOM" vbProcedure="false">"c12101"</definedName>
    <definedName function="false" hidden="true" name="IQ_TARGET_PRICE_LASTCLOSE" vbProcedure="false">"c1855"</definedName>
    <definedName function="false" hidden="true" name="IQ_TARGET_PRICE_NUM" vbProcedure="false">"c1653"</definedName>
    <definedName function="false" hidden="true" name="IQ_TARGET_PRICE_NUM_CIQ" vbProcedure="false">"c4661"</definedName>
    <definedName function="false" hidden="true" name="IQ_TARGET_PRICE_NUM_REUT" vbProcedure="false">"c5319"</definedName>
    <definedName function="false" hidden="true" name="IQ_TARGET_PRICE_NUM_THOM" vbProcedure="false">"c5098"</definedName>
    <definedName function="false" hidden="true" name="IQ_TARGET_PRICE_STDDEV" vbProcedure="false">"c1654"</definedName>
    <definedName function="false" hidden="true" name="IQ_TARGET_PRICE_STDDEV_CIQ" vbProcedure="false">"c4662"</definedName>
    <definedName function="false" hidden="true" name="IQ_TARGET_PRICE_STDDEV_REUT" vbProcedure="false">"c5320"</definedName>
    <definedName function="false" hidden="true" name="IQ_TARGET_PRICE_STDDEV_THOM" vbProcedure="false">"c5099"</definedName>
    <definedName function="false" hidden="true" name="IQ_TAXES_ADJ_NOI_FFIEC" vbProcedure="false">"c13395"</definedName>
    <definedName function="false" hidden="true" name="IQ_TAXES_NOI_FFIEC" vbProcedure="false">"c13394"</definedName>
    <definedName function="false" hidden="true" name="IQ_TAXES_TE_AVG_ASSETS_FFIEC" vbProcedure="false">"c13366"</definedName>
    <definedName function="false" hidden="true" name="IQ_TAX_BENEFIT_CF_1YR" vbProcedure="false">"c3483"</definedName>
    <definedName function="false" hidden="true" name="IQ_TAX_BENEFIT_CF_2YR" vbProcedure="false">"c3484"</definedName>
    <definedName function="false" hidden="true" name="IQ_TAX_BENEFIT_CF_3YR" vbProcedure="false">"c3485"</definedName>
    <definedName function="false" hidden="true" name="IQ_TAX_BENEFIT_CF_4YR" vbProcedure="false">"c3486"</definedName>
    <definedName function="false" hidden="true" name="IQ_TAX_BENEFIT_CF_5YR" vbProcedure="false">"c3487"</definedName>
    <definedName function="false" hidden="true" name="IQ_TAX_BENEFIT_CF_AFTER_FIVE" vbProcedure="false">"c3488"</definedName>
    <definedName function="false" hidden="true" name="IQ_TAX_BENEFIT_CF_MAX_YEAR" vbProcedure="false">"c3491"</definedName>
    <definedName function="false" hidden="true" name="IQ_TAX_BENEFIT_CF_NO_EXP" vbProcedure="false">"c3489"</definedName>
    <definedName function="false" hidden="true" name="IQ_TAX_BENEFIT_CF_TOTAL" vbProcedure="false">"c3490"</definedName>
    <definedName function="false" hidden="true" name="IQ_TAX_BENEFIT_OPTIONS" vbProcedure="false">"c1215"</definedName>
    <definedName function="false" hidden="true" name="IQ_TAX_EQUIVALENT_ADJUSTMENTS_FFIEC" vbProcedure="false">"c13854"</definedName>
    <definedName function="false" hidden="true" name="IQ_TAX_EQUIV_NET_INT_INC" vbProcedure="false">"c1216"</definedName>
    <definedName function="false" hidden="true" name="IQ_TAX_OTHER_EXP_AP" vbProcedure="false">"c8878"</definedName>
    <definedName function="false" hidden="true" name="IQ_TAX_OTHER_EXP_AP_ABS" vbProcedure="false">"c8897"</definedName>
    <definedName function="false" hidden="true" name="IQ_TAX_OTHER_EXP_NAME_AP" vbProcedure="false">"c8916"</definedName>
    <definedName function="false" hidden="true" name="IQ_TAX_OTHER_EXP_NAME_AP_ABS" vbProcedure="false">"c8935"</definedName>
    <definedName function="false" hidden="true" name="IQ_TBV" vbProcedure="false">"c1906"</definedName>
    <definedName function="false" hidden="true" name="IQ_TBV_10YR_ANN_CAGR" vbProcedure="false">"c6169"</definedName>
    <definedName function="false" hidden="true" name="IQ_TBV_10YR_ANN_GROWTH" vbProcedure="false">"c1936"</definedName>
    <definedName function="false" hidden="true" name="IQ_TBV_1YR_ANN_GROWTH" vbProcedure="false">"c1931"</definedName>
    <definedName function="false" hidden="true" name="IQ_TBV_2YR_ANN_CAGR" vbProcedure="false">"c6165"</definedName>
    <definedName function="false" hidden="true" name="IQ_TBV_2YR_ANN_GROWTH" vbProcedure="false">"c1932"</definedName>
    <definedName function="false" hidden="true" name="IQ_TBV_3YR_ANN_CAGR" vbProcedure="false">"c6166"</definedName>
    <definedName function="false" hidden="true" name="IQ_TBV_3YR_ANN_GROWTH" vbProcedure="false">"c1933"</definedName>
    <definedName function="false" hidden="true" name="IQ_TBV_5YR_ANN_CAGR" vbProcedure="false">"c6167"</definedName>
    <definedName function="false" hidden="true" name="IQ_TBV_5YR_ANN_GROWTH" vbProcedure="false">"c1934"</definedName>
    <definedName function="false" hidden="true" name="IQ_TBV_7YR_ANN_CAGR" vbProcedure="false">"c6168"</definedName>
    <definedName function="false" hidden="true" name="IQ_TBV_7YR_ANN_GROWTH" vbProcedure="false">"c1935"</definedName>
    <definedName function="false" hidden="true" name="IQ_TBV_EXCL_FFIEC" vbProcedure="false">"c13516"</definedName>
    <definedName function="false" hidden="true" name="IQ_TBV_SHARE" vbProcedure="false">"c1217"</definedName>
    <definedName function="false" hidden="true" name="IQ_TBV_SHARE_REPORTED" vbProcedure="false">"c19140"</definedName>
    <definedName function="false" hidden="true" name="IQ_TELECOM_FFIEC" vbProcedure="false">"c13057"</definedName>
    <definedName function="false" hidden="true" name="IQ_TEMPLATE" vbProcedure="false">"c1521"</definedName>
    <definedName function="false" hidden="true" name="IQ_TENANT" vbProcedure="false">"c1218"</definedName>
    <definedName function="false" hidden="true" name="IQ_TENANT_LEASE_COMMISSION" vbProcedure="false">"c16177"</definedName>
    <definedName function="false" hidden="true" name="IQ_TERM_LOANS" vbProcedure="false">"c2499"</definedName>
    <definedName function="false" hidden="true" name="IQ_TERM_LOANS_PCT" vbProcedure="false">"c2500"</definedName>
    <definedName function="false" hidden="true" name="IQ_TEV" vbProcedure="false">"c1219"</definedName>
    <definedName function="false" hidden="true" name="IQ_TEV_DET_EST_CURRENCY_THOM" vbProcedure="false">"c12499"</definedName>
    <definedName function="false" hidden="true" name="IQ_TEV_DET_EST_DATE_THOM" vbProcedure="false">"c12252"</definedName>
    <definedName function="false" hidden="true" name="IQ_TEV_DET_EST_INCL_THOM" vbProcedure="false">"c12382"</definedName>
    <definedName function="false" hidden="true" name="IQ_TEV_DET_EST_ORIGIN_THOM" vbProcedure="false">"c12709"</definedName>
    <definedName function="false" hidden="true" name="IQ_TEV_DET_EST_THOM" vbProcedure="false">"c12102"</definedName>
    <definedName function="false" hidden="true" name="IQ_TEV_EBIT" vbProcedure="false">"c1220"</definedName>
    <definedName function="false" hidden="true" name="IQ_TEV_EBITDA" vbProcedure="false">"c1222"</definedName>
    <definedName function="false" hidden="true" name="IQ_TEV_EBITDA_AVG" vbProcedure="false">"c1223"</definedName>
    <definedName function="false" hidden="true" name="IQ_TEV_EBITDA_CAPEX" vbProcedure="false">"c17553"</definedName>
    <definedName function="false" hidden="true" name="IQ_TEV_EBITDA_FWD" vbProcedure="false">"c1224"</definedName>
    <definedName function="false" hidden="true" name="IQ_TEV_EBITDA_FWD_CIQ" vbProcedure="false">"c4043"</definedName>
    <definedName function="false" hidden="true" name="IQ_TEV_EBITDA_FWD_REUT" vbProcedure="false">"c4050"</definedName>
    <definedName function="false" hidden="true" name="IQ_TEV_EBITDA_FWD_THOM" vbProcedure="false">"c4057"</definedName>
    <definedName function="false" hidden="true" name="IQ_TEV_EBIT_AVG" vbProcedure="false">"c1221"</definedName>
    <definedName function="false" hidden="true" name="IQ_TEV_EBIT_FWD" vbProcedure="false">"c2238"</definedName>
    <definedName function="false" hidden="true" name="IQ_TEV_EBIT_FWD_CIQ" vbProcedure="false">"c4047"</definedName>
    <definedName function="false" hidden="true" name="IQ_TEV_EBIT_FWD_REUT" vbProcedure="false">"c4054"</definedName>
    <definedName function="false" hidden="true" name="IQ_TEV_EBIT_FWD_THOM" vbProcedure="false">"c4061"</definedName>
    <definedName function="false" hidden="true" name="IQ_TEV_EMPLOYEE_AVG" vbProcedure="false">"c1225"</definedName>
    <definedName function="false" hidden="true" name="IQ_TEV_EST" vbProcedure="false">"c4526"</definedName>
    <definedName function="false" hidden="true" name="IQ_TEV_EST_CIQ" vbProcedure="false">"c5079"</definedName>
    <definedName function="false" hidden="true" name="IQ_TEV_EST_DOWN_2MONTH" vbProcedure="false">"c16489"</definedName>
    <definedName function="false" hidden="true" name="IQ_TEV_EST_DOWN_3MONTH" vbProcedure="false">"c16493"</definedName>
    <definedName function="false" hidden="true" name="IQ_TEV_EST_DOWN_MONTH" vbProcedure="false">"c16485"</definedName>
    <definedName function="false" hidden="true" name="IQ_TEV_EST_NUM_ANALYSTS_2MONTH" vbProcedure="false">"c16487"</definedName>
    <definedName function="false" hidden="true" name="IQ_TEV_EST_NUM_ANALYSTS_3MONTH" vbProcedure="false">"c16491"</definedName>
    <definedName function="false" hidden="true" name="IQ_TEV_EST_NUM_ANALYSTS_MONTH" vbProcedure="false">"c16483"</definedName>
    <definedName function="false" hidden="true" name="IQ_TEV_EST_THOM" vbProcedure="false">"c5529"</definedName>
    <definedName function="false" hidden="true" name="IQ_TEV_EST_TOTAL_REVISED_2MONTH" vbProcedure="false">"c16490"</definedName>
    <definedName function="false" hidden="true" name="IQ_TEV_EST_TOTAL_REVISED_3MONTH" vbProcedure="false">"c16494"</definedName>
    <definedName function="false" hidden="true" name="IQ_TEV_EST_TOTAL_REVISED_MONTH" vbProcedure="false">"c16486"</definedName>
    <definedName function="false" hidden="true" name="IQ_TEV_EST_UP_2MONTH" vbProcedure="false">"c16488"</definedName>
    <definedName function="false" hidden="true" name="IQ_TEV_EST_UP_3MONTH" vbProcedure="false">"c16492"</definedName>
    <definedName function="false" hidden="true" name="IQ_TEV_EST_UP_MONTH" vbProcedure="false">"c16484"</definedName>
    <definedName function="false" hidden="true" name="IQ_TEV_HIGH_EST" vbProcedure="false">"c4527"</definedName>
    <definedName function="false" hidden="true" name="IQ_TEV_HIGH_EST_CIQ" vbProcedure="false">"c5080"</definedName>
    <definedName function="false" hidden="true" name="IQ_TEV_HIGH_EST_THOM" vbProcedure="false">"c5530"</definedName>
    <definedName function="false" hidden="true" name="IQ_TEV_LOW_EST" vbProcedure="false">"c4528"</definedName>
    <definedName function="false" hidden="true" name="IQ_TEV_LOW_EST_CIQ" vbProcedure="false">"c5081"</definedName>
    <definedName function="false" hidden="true" name="IQ_TEV_LOW_EST_THOM" vbProcedure="false">"c5531"</definedName>
    <definedName function="false" hidden="true" name="IQ_TEV_MEDIAN_EST" vbProcedure="false">"c4529"</definedName>
    <definedName function="false" hidden="true" name="IQ_TEV_MEDIAN_EST_CIQ" vbProcedure="false">"c5082"</definedName>
    <definedName function="false" hidden="true" name="IQ_TEV_MEDIAN_EST_THOM" vbProcedure="false">"c5532"</definedName>
    <definedName function="false" hidden="true" name="IQ_TEV_NUM_EST" vbProcedure="false">"c4530"</definedName>
    <definedName function="false" hidden="true" name="IQ_TEV_NUM_EST_CIQ" vbProcedure="false">"c5083"</definedName>
    <definedName function="false" hidden="true" name="IQ_TEV_NUM_EST_THOM" vbProcedure="false">"c5533"</definedName>
    <definedName function="false" hidden="true" name="IQ_TEV_STDDEV_EST" vbProcedure="false">"c4531"</definedName>
    <definedName function="false" hidden="true" name="IQ_TEV_STDDEV_EST_CIQ" vbProcedure="false">"c5084"</definedName>
    <definedName function="false" hidden="true" name="IQ_TEV_STDDEV_EST_THOM" vbProcedure="false">"c5534"</definedName>
    <definedName function="false" hidden="true" name="IQ_TEV_TOTAL_REV" vbProcedure="false">"c1226"</definedName>
    <definedName function="false" hidden="true" name="IQ_TEV_TOTAL_REV_AVG" vbProcedure="false">"c1227"</definedName>
    <definedName function="false" hidden="true" name="IQ_TEV_TOTAL_REV_FWD" vbProcedure="false">"c1228"</definedName>
    <definedName function="false" hidden="true" name="IQ_TEV_TOTAL_REV_FWD_CIQ" vbProcedure="false">"c4044"</definedName>
    <definedName function="false" hidden="true" name="IQ_TEV_TOTAL_REV_FWD_REUT" vbProcedure="false">"c4051"</definedName>
    <definedName function="false" hidden="true" name="IQ_TEV_TOTAL_REV_FWD_THOM" vbProcedure="false">"c4058"</definedName>
    <definedName function="false" hidden="true" name="IQ_TEV_UFCF" vbProcedure="false">"c2208"</definedName>
    <definedName function="false" hidden="true" name="IQ_THREE_MONTHS_FIXED_AND_FLOATING_FDIC" vbProcedure="false">"c6419"</definedName>
    <definedName function="false" hidden="true" name="IQ_THREE_MONTHS_MORTGAGE_PASS_THROUGHS_FDIC" vbProcedure="false">"c6411"</definedName>
    <definedName function="false" hidden="true" name="IQ_THREE_YEARS_LESS_FDIC" vbProcedure="false">"c6417"</definedName>
    <definedName function="false" hidden="true" name="IQ_THREE_YEAR_FIXED_AND_FLOATING_RATE_FDIC" vbProcedure="false">"c6421"</definedName>
    <definedName function="false" hidden="true" name="IQ_THREE_YEAR_MORTGAGE_PASS_THROUGHS_FDIC" vbProcedure="false">"c6413"</definedName>
    <definedName function="false" hidden="true" name="IQ_TIER_1_CAPITAL_BEFORE_CHARGES_T1_FFIEC" vbProcedure="false">"c13139"</definedName>
    <definedName function="false" hidden="true" name="IQ_TIER_1_CAPITAL_FFIEC" vbProcedure="false">"c13143"</definedName>
    <definedName function="false" hidden="true" name="IQ_TIER_1_LEVERAGE_RATIO_FFIEC" vbProcedure="false">"c13160"</definedName>
    <definedName function="false" hidden="true" name="IQ_TIER_1_RISK_BASED_CAPITAL_RATIO_FDIC" vbProcedure="false">"c6746"</definedName>
    <definedName function="false" hidden="true" name="IQ_TIER_1_RISK_BASED_CAPITAL_RATIO_FFIEC" vbProcedure="false">"c13161"</definedName>
    <definedName function="false" hidden="true" name="IQ_TIER_2_CAPITAL_FFIEC" vbProcedure="false">"c13149"</definedName>
    <definedName function="false" hidden="true" name="IQ_TIER_3_CAPITAL_ALLOCATED_MARKET_RISK_FFIEC" vbProcedure="false">"c13151"</definedName>
    <definedName function="false" hidden="true" name="IQ_TIER_ONE_CAPITAL" vbProcedure="false">"c2667"</definedName>
    <definedName function="false" hidden="true" name="IQ_TIER_ONE_FDIC" vbProcedure="false">"c6369"</definedName>
    <definedName function="false" hidden="true" name="IQ_TIER_ONE_RATIO" vbProcedure="false">"c1229"</definedName>
    <definedName function="false" hidden="true" name="IQ_TIER_TWO_CAPITAL" vbProcedure="false">"c2669"</definedName>
    <definedName function="false" hidden="true" name="IQ_TIER_TWO_CAPITAL_RATIO" vbProcedure="false">"c15241"</definedName>
    <definedName function="false" hidden="true" name="IQ_TIME_DEP" vbProcedure="false">"c1230"</definedName>
    <definedName function="false" hidden="true" name="IQ_TIME_DEPOSITS_LESS_100K_OTHER_INSTITUTIONS_FFIEC" vbProcedure="false">"c12953"</definedName>
    <definedName function="false" hidden="true" name="IQ_TIME_DEPOSITS_LESS_100K_TOT_DEPOSITS_FFIEC" vbProcedure="false">"c13907"</definedName>
    <definedName function="false" hidden="true" name="IQ_TIME_DEPOSITS_LESS_THAN_100K_FDIC" vbProcedure="false">"c6465"</definedName>
    <definedName function="false" hidden="true" name="IQ_TIME_DEPOSITS_MORE_100K_OTHER_INSTITUTIONS_FFIEC" vbProcedure="false">"c12954"</definedName>
    <definedName function="false" hidden="true" name="IQ_TIME_DEPOSITS_MORE_100K_TOT_DEPOSITS_FFIEC" vbProcedure="false">"c13906"</definedName>
    <definedName function="false" hidden="true" name="IQ_TIME_DEPOSITS_MORE_THAN_100K_FDIC" vbProcedure="false">"c6470"</definedName>
    <definedName function="false" hidden="true" name="IQ_TIME_DEPOSITS_TOTAL_DEPOSITS" vbProcedure="false">"c15723"</definedName>
    <definedName function="false" hidden="true" name="IQ_TIME_DEPOSIT_LESS_100000_QUARTERLY_AVG_FFIEC" vbProcedure="false">"c15487"</definedName>
    <definedName function="false" hidden="true" name="IQ_TIME_DEPOSIT_MORE_100000_QUARTERLY_AVG_FFIEC" vbProcedure="false">"c15486"</definedName>
    <definedName function="false" hidden="true" name="IQ_TODAY" vbProcedure="false">0</definedName>
    <definedName function="false" hidden="true" name="IQ_TOTAL_AR_BR" vbProcedure="false">"c1231"</definedName>
    <definedName function="false" hidden="true" name="IQ_TOTAL_AR_RE" vbProcedure="false">"c6270"</definedName>
    <definedName function="false" hidden="true" name="IQ_TOTAL_AR_REIT" vbProcedure="false">"c1232"</definedName>
    <definedName function="false" hidden="true" name="IQ_TOTAL_AR_UTI" vbProcedure="false">"c1233"</definedName>
    <definedName function="false" hidden="true" name="IQ_TOTAL_ASSETS" vbProcedure="false">"c1234"</definedName>
    <definedName function="false" hidden="true" name="IQ_TOTAL_ASSETS_10YR_ANN_CAGR" vbProcedure="false">"c6140"</definedName>
    <definedName function="false" hidden="true" name="IQ_TOTAL_ASSETS_10YR_ANN_GROWTH" vbProcedure="false">"c1235"</definedName>
    <definedName function="false" hidden="true" name="IQ_TOTAL_ASSETS_1YR_ANN_GROWTH" vbProcedure="false">"c1236"</definedName>
    <definedName function="false" hidden="true" name="IQ_TOTAL_ASSETS_2YR_ANN_CAGR" vbProcedure="false">"c6141"</definedName>
    <definedName function="false" hidden="true" name="IQ_TOTAL_ASSETS_2YR_ANN_GROWTH" vbProcedure="false">"c1237"</definedName>
    <definedName function="false" hidden="true" name="IQ_TOTAL_ASSETS_3YR_ANN_CAGR" vbProcedure="false">"c6142"</definedName>
    <definedName function="false" hidden="true" name="IQ_TOTAL_ASSETS_3YR_ANN_GROWTH" vbProcedure="false">"c1238"</definedName>
    <definedName function="false" hidden="true" name="IQ_TOTAL_ASSETS_5YR_ANN_CAGR" vbProcedure="false">"c6143"</definedName>
    <definedName function="false" hidden="true" name="IQ_TOTAL_ASSETS_5YR_ANN_GROWTH" vbProcedure="false">"c1239"</definedName>
    <definedName function="false" hidden="true" name="IQ_TOTAL_ASSETS_7YR_ANN_CAGR" vbProcedure="false">"c6144"</definedName>
    <definedName function="false" hidden="true" name="IQ_TOTAL_ASSETS_7YR_ANN_GROWTH" vbProcedure="false">"c1240"</definedName>
    <definedName function="false" hidden="true" name="IQ_TOTAL_ASSETS_BNK_SUBTOTAL_AP" vbProcedure="false">"c13644"</definedName>
    <definedName function="false" hidden="true" name="IQ_TOTAL_ASSETS_FAIR_VALUE_TOT_FFIEC" vbProcedure="false">"c15405"</definedName>
    <definedName function="false" hidden="true" name="IQ_TOTAL_ASSETS_FDIC" vbProcedure="false">"c6339"</definedName>
    <definedName function="false" hidden="true" name="IQ_TOTAL_ASSETS_FFIEC" vbProcedure="false">"c12849"</definedName>
    <definedName function="false" hidden="true" name="IQ_TOTAL_ASSETS_LEVEL_1_FFIEC" vbProcedure="false">"c15427"</definedName>
    <definedName function="false" hidden="true" name="IQ_TOTAL_ASSETS_LEVEL_2_FFIEC" vbProcedure="false">"c15440"</definedName>
    <definedName function="false" hidden="true" name="IQ_TOTAL_ASSETS_LEVEL_3_FFIEC" vbProcedure="false">"c15453"</definedName>
    <definedName function="false" hidden="true" name="IQ_TOTAL_ASSETS_LH_FFIEC" vbProcedure="false">"c13106"</definedName>
    <definedName function="false" hidden="true" name="IQ_TOTAL_ASSETS_PC_FFIEC" vbProcedure="false">"c13099"</definedName>
    <definedName function="false" hidden="true" name="IQ_TOTAL_ASSETS_SUBTOTAL_AP" vbProcedure="false">"c8985"</definedName>
    <definedName function="false" hidden="true" name="IQ_TOTAL_ATTRIB_ORE_RESOURCES_ALUM" vbProcedure="false">"c9241"</definedName>
    <definedName function="false" hidden="true" name="IQ_TOTAL_ATTRIB_ORE_RESOURCES_COP" vbProcedure="false">"c9185"</definedName>
    <definedName function="false" hidden="true" name="IQ_TOTAL_ATTRIB_ORE_RESOURCES_DIAM" vbProcedure="false">"c9665"</definedName>
    <definedName function="false" hidden="true" name="IQ_TOTAL_ATTRIB_ORE_RESOURCES_GOLD" vbProcedure="false">"c9026"</definedName>
    <definedName function="false" hidden="true" name="IQ_TOTAL_ATTRIB_ORE_RESOURCES_IRON" vbProcedure="false">"c9400"</definedName>
    <definedName function="false" hidden="true" name="IQ_TOTAL_ATTRIB_ORE_RESOURCES_LEAD" vbProcedure="false">"c9453"</definedName>
    <definedName function="false" hidden="true" name="IQ_TOTAL_ATTRIB_ORE_RESOURCES_MANG" vbProcedure="false">"c9506"</definedName>
    <definedName function="false" hidden="true" name="IQ_TOTAL_ATTRIB_ORE_RESOURCES_MOLYB" vbProcedure="false">"c9718"</definedName>
    <definedName function="false" hidden="true" name="IQ_TOTAL_ATTRIB_ORE_RESOURCES_NICK" vbProcedure="false">"c9294"</definedName>
    <definedName function="false" hidden="true" name="IQ_TOTAL_ATTRIB_ORE_RESOURCES_PLAT" vbProcedure="false">"c9132"</definedName>
    <definedName function="false" hidden="true" name="IQ_TOTAL_ATTRIB_ORE_RESOURCES_SILVER" vbProcedure="false">"c9079"</definedName>
    <definedName function="false" hidden="true" name="IQ_TOTAL_ATTRIB_ORE_RESOURCES_TITAN" vbProcedure="false">"c9559"</definedName>
    <definedName function="false" hidden="true" name="IQ_TOTAL_ATTRIB_ORE_RESOURCES_URAN" vbProcedure="false">"c9612"</definedName>
    <definedName function="false" hidden="true" name="IQ_TOTAL_ATTRIB_ORE_RESOURCES_ZINC" vbProcedure="false">"c9347"</definedName>
    <definedName function="false" hidden="true" name="IQ_TOTAL_AVG_CE_TOTAL_AVG_ASSETS" vbProcedure="false">"c1241"</definedName>
    <definedName function="false" hidden="true" name="IQ_TOTAL_AVG_EQUITY_TOTAL_AVG_ASSETS" vbProcedure="false">"c1242"</definedName>
    <definedName function="false" hidden="true" name="IQ_TOTAL_BANK_CAPITAL" vbProcedure="false">"c2668"</definedName>
    <definedName function="false" hidden="true" name="IQ_TOTAL_BEDS" vbProcedure="false">"c8785"</definedName>
    <definedName function="false" hidden="true" name="IQ_TOTAL_BROKERED_DEPOSIT_FFIEC" vbProcedure="false">"c15304"</definedName>
    <definedName function="false" hidden="true" name="IQ_TOTAL_CA" vbProcedure="false">"c1243"</definedName>
    <definedName function="false" hidden="true" name="IQ_TOTAL_CAP" vbProcedure="false">"c1507"</definedName>
    <definedName function="false" hidden="true" name="IQ_TOTAL_CAPITAL_RATIO" vbProcedure="false">"c1244"</definedName>
    <definedName function="false" hidden="true" name="IQ_TOTAL_CASH_DIVID" vbProcedure="false">"c1455"</definedName>
    <definedName function="false" hidden="true" name="IQ_TOTAL_CASH_DUE_DEPOSITORY_INSTIT_DOM_FFIEC" vbProcedure="false">"c15291"</definedName>
    <definedName function="false" hidden="true" name="IQ_TOTAL_CASH_DUE_DEPOSITORY_INSTIT_FFIEC" vbProcedure="false">"c15285"</definedName>
    <definedName function="false" hidden="true" name="IQ_TOTAL_CASH_FINAN" vbProcedure="false">"c1352"</definedName>
    <definedName function="false" hidden="true" name="IQ_TOTAL_CASH_INVEST" vbProcedure="false">"c1353"</definedName>
    <definedName function="false" hidden="true" name="IQ_TOTAL_CASH_OPER" vbProcedure="false">"c1354"</definedName>
    <definedName function="false" hidden="true" name="IQ_TOTAL_CA_SUBTOTAL_AP" vbProcedure="false">"c8986"</definedName>
    <definedName function="false" hidden="true" name="IQ_TOTAL_CHARGE_OFFS_FDIC" vbProcedure="false">"c6603"</definedName>
    <definedName function="false" hidden="true" name="IQ_TOTAL_CHURN" vbProcedure="false">"c2122"</definedName>
    <definedName function="false" hidden="true" name="IQ_TOTAL_CL" vbProcedure="false">"c1245"</definedName>
    <definedName function="false" hidden="true" name="IQ_TOTAL_CL_SUBTOTAL_AP" vbProcedure="false">"c8987"</definedName>
    <definedName function="false" hidden="true" name="IQ_TOTAL_COAL_PRODUCTION_COAL" vbProcedure="false">"c9824"</definedName>
    <definedName function="false" hidden="true" name="IQ_TOTAL_COMMON" vbProcedure="false">"c1411"</definedName>
    <definedName function="false" hidden="true" name="IQ_TOTAL_COMMON_EQUITY" vbProcedure="false">"c1246"</definedName>
    <definedName function="false" hidden="true" name="IQ_TOTAL_COMMON_EQUITY_FFIEC" vbProcedure="false">"c13913"</definedName>
    <definedName function="false" hidden="true" name="IQ_TOTAL_COMMON_EQUITY_TOTAL_ASSETS_FFIEC" vbProcedure="false">"c13864"</definedName>
    <definedName function="false" hidden="true" name="IQ_TOTAL_COMMON_SHARES_OUT_FFIEC" vbProcedure="false">"c12955"</definedName>
    <definedName function="false" hidden="true" name="IQ_TOTAL_CONSTRUCTION_LL_REC_DOM_FFIEC" vbProcedure="false">"c13515"</definedName>
    <definedName function="false" hidden="true" name="IQ_TOTAL_CURRENT_ASSETS" vbProcedure="false">"c1430"</definedName>
    <definedName function="false" hidden="true" name="IQ_TOTAL_CURRENT_LIAB" vbProcedure="false">"c1431"</definedName>
    <definedName function="false" hidden="true" name="IQ_TOTAL_DEBT" vbProcedure="false">"c1247"</definedName>
    <definedName function="false" hidden="true" name="IQ_TOTAL_DEBT_CAPITAL" vbProcedure="false">"c1248"</definedName>
    <definedName function="false" hidden="true" name="IQ_TOTAL_DEBT_CURRENT" vbProcedure="false">"c6190"</definedName>
    <definedName function="false" hidden="true" name="IQ_TOTAL_DEBT_EBITDA" vbProcedure="false">"c1249"</definedName>
    <definedName function="false" hidden="true" name="IQ_TOTAL_DEBT_EBITDA_CAPEX" vbProcedure="false">"c2948"</definedName>
    <definedName function="false" hidden="true" name="IQ_TOTAL_DEBT_EQUITY" vbProcedure="false">"c1250"</definedName>
    <definedName function="false" hidden="true" name="IQ_TOTAL_DEBT_EST" vbProcedure="false">"c4532"</definedName>
    <definedName function="false" hidden="true" name="IQ_TOTAL_DEBT_EST_CIQ" vbProcedure="false">"c5085"</definedName>
    <definedName function="false" hidden="true" name="IQ_TOTAL_DEBT_EXCL_FIN" vbProcedure="false">"c2937"</definedName>
    <definedName function="false" hidden="true" name="IQ_TOTAL_DEBT_GUIDANCE" vbProcedure="false">"c4533"</definedName>
    <definedName function="false" hidden="true" name="IQ_TOTAL_DEBT_GUIDANCE_CIQ" vbProcedure="false">"c5086"</definedName>
    <definedName function="false" hidden="true" name="IQ_TOTAL_DEBT_GUIDANCE_CIQ_COL" vbProcedure="false">"c11733"</definedName>
    <definedName function="false" hidden="true" name="IQ_TOTAL_DEBT_HIGH_EST" vbProcedure="false">"c4534"</definedName>
    <definedName function="false" hidden="true" name="IQ_TOTAL_DEBT_HIGH_EST_CIQ" vbProcedure="false">"c5087"</definedName>
    <definedName function="false" hidden="true" name="IQ_TOTAL_DEBT_HIGH_GUIDANCE" vbProcedure="false">"c4196"</definedName>
    <definedName function="false" hidden="true" name="IQ_TOTAL_DEBT_HIGH_GUIDANCE_CIQ" vbProcedure="false">"c4608"</definedName>
    <definedName function="false" hidden="true" name="IQ_TOTAL_DEBT_HIGH_GUIDANCE_CIQ_COL" vbProcedure="false">"c11257"</definedName>
    <definedName function="false" hidden="true" name="IQ_TOTAL_DEBT_ISSUED" vbProcedure="false">"c1251"</definedName>
    <definedName function="false" hidden="true" name="IQ_TOTAL_DEBT_ISSUED_BNK" vbProcedure="false">"c1252"</definedName>
    <definedName function="false" hidden="true" name="IQ_TOTAL_DEBT_ISSUED_BR" vbProcedure="false">"c1253"</definedName>
    <definedName function="false" hidden="true" name="IQ_TOTAL_DEBT_ISSUED_FIN" vbProcedure="false">"c1254"</definedName>
    <definedName function="false" hidden="true" name="IQ_TOTAL_DEBT_ISSUED_RE" vbProcedure="false">"c6271"</definedName>
    <definedName function="false" hidden="true" name="IQ_TOTAL_DEBT_ISSUED_REIT" vbProcedure="false">"c1255"</definedName>
    <definedName function="false" hidden="true" name="IQ_TOTAL_DEBT_ISSUED_UTI" vbProcedure="false">"c1256"</definedName>
    <definedName function="false" hidden="true" name="IQ_TOTAL_DEBT_ISSUES_INS" vbProcedure="false">"c1257"</definedName>
    <definedName function="false" hidden="true" name="IQ_TOTAL_DEBT_LOW_EST" vbProcedure="false">"c4535"</definedName>
    <definedName function="false" hidden="true" name="IQ_TOTAL_DEBT_LOW_EST_CIQ" vbProcedure="false">"c5088"</definedName>
    <definedName function="false" hidden="true" name="IQ_TOTAL_DEBT_LOW_GUIDANCE" vbProcedure="false">"c4236"</definedName>
    <definedName function="false" hidden="true" name="IQ_TOTAL_DEBT_LOW_GUIDANCE_CIQ" vbProcedure="false">"c4648"</definedName>
    <definedName function="false" hidden="true" name="IQ_TOTAL_DEBT_LOW_GUIDANCE_CIQ_COL" vbProcedure="false">"c11297"</definedName>
    <definedName function="false" hidden="true" name="IQ_TOTAL_DEBT_MEDIAN_EST" vbProcedure="false">"c4536"</definedName>
    <definedName function="false" hidden="true" name="IQ_TOTAL_DEBT_MEDIAN_EST_CIQ" vbProcedure="false">"c5089"</definedName>
    <definedName function="false" hidden="true" name="IQ_TOTAL_DEBT_NON_CURRENT" vbProcedure="false">"c6191"</definedName>
    <definedName function="false" hidden="true" name="IQ_TOTAL_DEBT_NUM_EST" vbProcedure="false">"c4537"</definedName>
    <definedName function="false" hidden="true" name="IQ_TOTAL_DEBT_NUM_EST_CIQ" vbProcedure="false">"c5090"</definedName>
    <definedName function="false" hidden="true" name="IQ_TOTAL_DEBT_OVER_EBITDA" vbProcedure="false">"c1433"</definedName>
    <definedName function="false" hidden="true" name="IQ_TOTAL_DEBT_OVER_TOTAL_BV" vbProcedure="false">"c1434"</definedName>
    <definedName function="false" hidden="true" name="IQ_TOTAL_DEBT_OVER_TOTAL_CAP" vbProcedure="false">"c1432"</definedName>
    <definedName function="false" hidden="true" name="IQ_TOTAL_DEBT_REPAID" vbProcedure="false">"c1258"</definedName>
    <definedName function="false" hidden="true" name="IQ_TOTAL_DEBT_REPAID_BNK" vbProcedure="false">"c1259"</definedName>
    <definedName function="false" hidden="true" name="IQ_TOTAL_DEBT_REPAID_BR" vbProcedure="false">"c1260"</definedName>
    <definedName function="false" hidden="true" name="IQ_TOTAL_DEBT_REPAID_FIN" vbProcedure="false">"c1261"</definedName>
    <definedName function="false" hidden="true" name="IQ_TOTAL_DEBT_REPAID_INS" vbProcedure="false">"c1262"</definedName>
    <definedName function="false" hidden="true" name="IQ_TOTAL_DEBT_REPAID_RE" vbProcedure="false">"c6272"</definedName>
    <definedName function="false" hidden="true" name="IQ_TOTAL_DEBT_REPAID_REIT" vbProcedure="false">"c1263"</definedName>
    <definedName function="false" hidden="true" name="IQ_TOTAL_DEBT_REPAID_UTI" vbProcedure="false">"c1264"</definedName>
    <definedName function="false" hidden="true" name="IQ_TOTAL_DEBT_SECURITIES_FDIC" vbProcedure="false">"c6410"</definedName>
    <definedName function="false" hidden="true" name="IQ_TOTAL_DEBT_STDDEV_EST" vbProcedure="false">"c4538"</definedName>
    <definedName function="false" hidden="true" name="IQ_TOTAL_DEBT_STDDEV_EST_CIQ" vbProcedure="false">"c5091"</definedName>
    <definedName function="false" hidden="true" name="IQ_TOTAL_DEPOSITS" vbProcedure="false">"c1265"</definedName>
    <definedName function="false" hidden="true" name="IQ_TOTAL_DEPOSITS_DOM_FFIEC" vbProcedure="false">"c15313"</definedName>
    <definedName function="false" hidden="true" name="IQ_TOTAL_DEPOSITS_FDIC" vbProcedure="false">"c6342"</definedName>
    <definedName function="false" hidden="true" name="IQ_TOTAL_DEPOSITS_FFIEC" vbProcedure="false">"c13623"</definedName>
    <definedName function="false" hidden="true" name="IQ_TOTAL_DEPOSITS_SUPPLE" vbProcedure="false">"c15253"</definedName>
    <definedName function="false" hidden="true" name="IQ_TOTAL_DIV_PAID_CF" vbProcedure="false">"c1266"</definedName>
    <definedName function="false" hidden="true" name="IQ_TOTAL_EMPLOYEE" vbProcedure="false">"c2141"</definedName>
    <definedName function="false" hidden="true" name="IQ_TOTAL_EMPLOYEES" vbProcedure="false">"c1522"</definedName>
    <definedName function="false" hidden="true" name="IQ_TOTAL_EMPLOYEES_FDIC" vbProcedure="false">"c6355"</definedName>
    <definedName function="false" hidden="true" name="IQ_TOTAL_EQUITY" vbProcedure="false">"c1267"</definedName>
    <definedName function="false" hidden="true" name="IQ_TOTAL_EQUITY_10YR_ANN_CAGR" vbProcedure="false">"c6145"</definedName>
    <definedName function="false" hidden="true" name="IQ_TOTAL_EQUITY_10YR_ANN_GROWTH" vbProcedure="false">"c1268"</definedName>
    <definedName function="false" hidden="true" name="IQ_TOTAL_EQUITY_1YR_ANN_GROWTH" vbProcedure="false">"c1269"</definedName>
    <definedName function="false" hidden="true" name="IQ_TOTAL_EQUITY_2YR_ANN_CAGR" vbProcedure="false">"c6146"</definedName>
    <definedName function="false" hidden="true" name="IQ_TOTAL_EQUITY_2YR_ANN_GROWTH" vbProcedure="false">"c1270"</definedName>
    <definedName function="false" hidden="true" name="IQ_TOTAL_EQUITY_3YR_ANN_CAGR" vbProcedure="false">"c6147"</definedName>
    <definedName function="false" hidden="true" name="IQ_TOTAL_EQUITY_3YR_ANN_GROWTH" vbProcedure="false">"c1271"</definedName>
    <definedName function="false" hidden="true" name="IQ_TOTAL_EQUITY_5YR_ANN_CAGR" vbProcedure="false">"c6148"</definedName>
    <definedName function="false" hidden="true" name="IQ_TOTAL_EQUITY_5YR_ANN_GROWTH" vbProcedure="false">"c1272"</definedName>
    <definedName function="false" hidden="true" name="IQ_TOTAL_EQUITY_7YR_ANN_CAGR" vbProcedure="false">"c6149"</definedName>
    <definedName function="false" hidden="true" name="IQ_TOTAL_EQUITY_7YR_ANN_GROWTH" vbProcedure="false">"c1273"</definedName>
    <definedName function="false" hidden="true" name="IQ_TOTAL_EQUITY_ALLOWANCE_TOTAL_LOANS" vbProcedure="false">"c1274"</definedName>
    <definedName function="false" hidden="true" name="IQ_TOTAL_EQUITY_CAPITAL_T1_FFIEC" vbProcedure="false">"c13130"</definedName>
    <definedName function="false" hidden="true" name="IQ_TOTAL_EQUITY_FFIEC" vbProcedure="false">"c12881"</definedName>
    <definedName function="false" hidden="true" name="IQ_TOTAL_EQUITY_INCL_MINORITY_INTEREST_FFIEC" vbProcedure="false">"c15278"</definedName>
    <definedName function="false" hidden="true" name="IQ_TOTAL_EQUITY_LH_FFIEC" vbProcedure="false">"c13109"</definedName>
    <definedName function="false" hidden="true" name="IQ_TOTAL_EQUITY_PC_FFIEC" vbProcedure="false">"c13102"</definedName>
    <definedName function="false" hidden="true" name="IQ_TOTAL_EQUITY_SUBTOTAL_AP" vbProcedure="false">"c8989"</definedName>
    <definedName function="false" hidden="true" name="IQ_TOTAL_EQUITY_TOTAL_ASSETS_FFIEC" vbProcedure="false">"c13863"</definedName>
    <definedName function="false" hidden="true" name="IQ_TOTAL_FOREIGN_DEPOSITS_FFIEC" vbProcedure="false">"c15348"</definedName>
    <definedName function="false" hidden="true" name="IQ_TOTAL_FOREIGN_LOANS_QUARTERLY_AVG_FFIEC" vbProcedure="false">"c15482"</definedName>
    <definedName function="false" hidden="true" name="IQ_TOTAL_IBF_ASSETS_CONSOL_BANK_FFIEC" vbProcedure="false">"c15299"</definedName>
    <definedName function="false" hidden="true" name="IQ_TOTAL_IBF_LIABILITIES_FFIEC" vbProcedure="false">"c15302"</definedName>
    <definedName function="false" hidden="true" name="IQ_TOTAL_IBF_LL_REC_FFIEC" vbProcedure="false">"c15297"</definedName>
    <definedName function="false" hidden="true" name="IQ_TOTAL_INTEREST_EXP" vbProcedure="false">"c1382"</definedName>
    <definedName function="false" hidden="true" name="IQ_TOTAL_INTEREST_EXP_FOREIGN_FFIEC" vbProcedure="false">"c15374"</definedName>
    <definedName function="false" hidden="true" name="IQ_TOTAL_INTEREST_INC_FOREIGN_FFIEC" vbProcedure="false">"c15373"</definedName>
    <definedName function="false" hidden="true" name="IQ_TOTAL_INT_EXPENSE_FFIEC" vbProcedure="false">"c13000"</definedName>
    <definedName function="false" hidden="true" name="IQ_TOTAL_INT_INCOME_FFIEC" vbProcedure="false">"c12989"</definedName>
    <definedName function="false" hidden="true" name="IQ_TOTAL_INVENTORY" vbProcedure="false">"c1385"</definedName>
    <definedName function="false" hidden="true" name="IQ_TOTAL_INVEST" vbProcedure="false">"c1275"</definedName>
    <definedName function="false" hidden="true" name="IQ_TOTAL_IRA_KEOGH_PLAN_ACCOUNTS_FFIEC" vbProcedure="false">"c15303"</definedName>
    <definedName function="false" hidden="true" name="IQ_TOTAL_LIAB" vbProcedure="false">"c1276"</definedName>
    <definedName function="false" hidden="true" name="IQ_TOTAL_LIABILITIES_EQUITY_FFIEC" vbProcedure="false">"c12882"</definedName>
    <definedName function="false" hidden="true" name="IQ_TOTAL_LIABILITIES_FAIR_VALUE_TOT_FFIEC" vbProcedure="false">"c15411"</definedName>
    <definedName function="false" hidden="true" name="IQ_TOTAL_LIABILITIES_FDIC" vbProcedure="false">"c6348"</definedName>
    <definedName function="false" hidden="true" name="IQ_TOTAL_LIABILITIES_FFIEC" vbProcedure="false">"c12873"</definedName>
    <definedName function="false" hidden="true" name="IQ_TOTAL_LIABILITIES_LEVEL_1_FFIEC" vbProcedure="false">"c15433"</definedName>
    <definedName function="false" hidden="true" name="IQ_TOTAL_LIABILITIES_LEVEL_2_FFIEC" vbProcedure="false">"c15446"</definedName>
    <definedName function="false" hidden="true" name="IQ_TOTAL_LIABILITIES_LEVEL_3_FFIEC" vbProcedure="false">"c15459"</definedName>
    <definedName function="false" hidden="true" name="IQ_TOTAL_LIAB_BNK" vbProcedure="false">"c1277"</definedName>
    <definedName function="false" hidden="true" name="IQ_TOTAL_LIAB_BR" vbProcedure="false">"c1278"</definedName>
    <definedName function="false" hidden="true" name="IQ_TOTAL_LIAB_EQUITY" vbProcedure="false">"c1279"</definedName>
    <definedName function="false" hidden="true" name="IQ_TOTAL_LIAB_EQUITY_FDIC" vbProcedure="false">"c6354"</definedName>
    <definedName function="false" hidden="true" name="IQ_TOTAL_LIAB_EQUITY_SUBTOTAL_AP" vbProcedure="false">"c8988"</definedName>
    <definedName function="false" hidden="true" name="IQ_TOTAL_LIAB_FIN" vbProcedure="false">"c1280"</definedName>
    <definedName function="false" hidden="true" name="IQ_TOTAL_LIAB_INS" vbProcedure="false">"c1281"</definedName>
    <definedName function="false" hidden="true" name="IQ_TOTAL_LIAB_RE" vbProcedure="false">"c6273"</definedName>
    <definedName function="false" hidden="true" name="IQ_TOTAL_LIAB_REIT" vbProcedure="false">"c1282"</definedName>
    <definedName function="false" hidden="true" name="IQ_TOTAL_LIAB_SHAREHOLD" vbProcedure="false">"c1435"</definedName>
    <definedName function="false" hidden="true" name="IQ_TOTAL_LIAB_TOTAL_ASSETS" vbProcedure="false">"c1283"</definedName>
    <definedName function="false" hidden="true" name="IQ_TOTAL_LL_REC_DOM_FFIEC" vbProcedure="false">"c12917"</definedName>
    <definedName function="false" hidden="true" name="IQ_TOTAL_LL_REC_FFIEC" vbProcedure="false">"c12898"</definedName>
    <definedName function="false" hidden="true" name="IQ_TOTAL_LOANS" vbProcedure="false">"c5653"</definedName>
    <definedName function="false" hidden="true" name="IQ_TOTAL_LOANS_DOM_QUARTERLY_AVG_FFIEC" vbProcedure="false">"c15475"</definedName>
    <definedName function="false" hidden="true" name="IQ_TOTAL_LOANS_LEASES_AND_OTHER_DUE_30_89_FFIEC" vbProcedure="false">"c15416"</definedName>
    <definedName function="false" hidden="true" name="IQ_TOTAL_LOANS_LEASES_AND_OTHER_DUE_90_FFIEC" vbProcedure="false">"c15420"</definedName>
    <definedName function="false" hidden="true" name="IQ_TOTAL_LOANS_LEASES_AND_OTHER_NON_ACCRUAL_FFIEC" vbProcedure="false">"c15466"</definedName>
    <definedName function="false" hidden="true" name="IQ_TOTAL_LOANS_LEASES_CHARGE_OFFS_FFIEC" vbProcedure="false">"c13186"</definedName>
    <definedName function="false" hidden="true" name="IQ_TOTAL_LOANS_LEASES_DUE_30_89_FFIEC" vbProcedure="false">"c13280"</definedName>
    <definedName function="false" hidden="true" name="IQ_TOTAL_LOANS_LEASES_DUE_90_FFIEC" vbProcedure="false">"c13306"</definedName>
    <definedName function="false" hidden="true" name="IQ_TOTAL_LOANS_LEASES_NON_ACCRUAL_FFIEC" vbProcedure="false">"c13757"</definedName>
    <definedName function="false" hidden="true" name="IQ_TOTAL_LOANS_LEASES_RECOV_FFIEC" vbProcedure="false">"c13208"</definedName>
    <definedName function="false" hidden="true" name="IQ_TOTAL_LONG_DEBT" vbProcedure="false">"c1617"</definedName>
    <definedName function="false" hidden="true" name="IQ_TOTAL_NONINTEREST_EXPENSE_FOREIGN_FFIEC" vbProcedure="false">"c15386"</definedName>
    <definedName function="false" hidden="true" name="IQ_TOTAL_NON_REC" vbProcedure="false">"c1444"</definedName>
    <definedName function="false" hidden="true" name="IQ_TOTAL_NON_TRANS_ACCTS_FFIEC" vbProcedure="false">"c15328"</definedName>
    <definedName function="false" hidden="true" name="IQ_TOTAL_OPERATING_EXPENSE" vbProcedure="false">"c16047"</definedName>
    <definedName function="false" hidden="true" name="IQ_TOTAL_OPERATING_REVENUE" vbProcedure="false">"c16030"</definedName>
    <definedName function="false" hidden="true" name="IQ_TOTAL_OPER_EXPEN" vbProcedure="false">"c1445"</definedName>
    <definedName function="false" hidden="true" name="IQ_TOTAL_OPER_EXP_BR" vbProcedure="false">"c1284"</definedName>
    <definedName function="false" hidden="true" name="IQ_TOTAL_OPER_EXP_FIN" vbProcedure="false">"c1285"</definedName>
    <definedName function="false" hidden="true" name="IQ_TOTAL_OPER_EXP_INS" vbProcedure="false">"c1286"</definedName>
    <definedName function="false" hidden="true" name="IQ_TOTAL_OPER_EXP_RE" vbProcedure="false">"c6274"</definedName>
    <definedName function="false" hidden="true" name="IQ_TOTAL_OPER_EXP_REIT" vbProcedure="false">"c1287"</definedName>
    <definedName function="false" hidden="true" name="IQ_TOTAL_OPER_EXP_UTI" vbProcedure="false">"c1288"</definedName>
    <definedName function="false" hidden="true" name="IQ_TOTAL_OPTIONS_BEG_OS" vbProcedure="false">"c2693"</definedName>
    <definedName function="false" hidden="true" name="IQ_TOTAL_OPTIONS_CANCELLED" vbProcedure="false">"c2696"</definedName>
    <definedName function="false" hidden="true" name="IQ_TOTAL_OPTIONS_END_OS" vbProcedure="false">"c2697"</definedName>
    <definedName function="false" hidden="true" name="IQ_TOTAL_OPTIONS_EXERCISABLE_END_OS" vbProcedure="false">"c5819"</definedName>
    <definedName function="false" hidden="true" name="IQ_TOTAL_OPTIONS_EXERCISED" vbProcedure="false">"c2695"</definedName>
    <definedName function="false" hidden="true" name="IQ_TOTAL_OPTIONS_GRANTED" vbProcedure="false">"c2694"</definedName>
    <definedName function="false" hidden="true" name="IQ_TOTAL_ORE_RESOURCES_ALUM" vbProcedure="false">"c9230"</definedName>
    <definedName function="false" hidden="true" name="IQ_TOTAL_ORE_RESOURCES_COP" vbProcedure="false">"c9174"</definedName>
    <definedName function="false" hidden="true" name="IQ_TOTAL_ORE_RESOURCES_DIAM" vbProcedure="false">"c9654"</definedName>
    <definedName function="false" hidden="true" name="IQ_TOTAL_ORE_RESOURCES_GOLD" vbProcedure="false">"c9015"</definedName>
    <definedName function="false" hidden="true" name="IQ_TOTAL_ORE_RESOURCES_IRON" vbProcedure="false">"c9389"</definedName>
    <definedName function="false" hidden="true" name="IQ_TOTAL_ORE_RESOURCES_LEAD" vbProcedure="false">"c9442"</definedName>
    <definedName function="false" hidden="true" name="IQ_TOTAL_ORE_RESOURCES_MANG" vbProcedure="false">"c9495"</definedName>
    <definedName function="false" hidden="true" name="IQ_TOTAL_ORE_RESOURCES_MOLYB" vbProcedure="false">"c9707"</definedName>
    <definedName function="false" hidden="true" name="IQ_TOTAL_ORE_RESOURCES_NICK" vbProcedure="false">"c9283"</definedName>
    <definedName function="false" hidden="true" name="IQ_TOTAL_ORE_RESOURCES_PLAT" vbProcedure="false">"c9121"</definedName>
    <definedName function="false" hidden="true" name="IQ_TOTAL_ORE_RESOURCES_SILVER" vbProcedure="false">"c9068"</definedName>
    <definedName function="false" hidden="true" name="IQ_TOTAL_ORE_RESOURCES_TITAN" vbProcedure="false">"c9548"</definedName>
    <definedName function="false" hidden="true" name="IQ_TOTAL_ORE_RESOURCES_URAN" vbProcedure="false">"c9601"</definedName>
    <definedName function="false" hidden="true" name="IQ_TOTAL_ORE_RESOURCES_ZINC" vbProcedure="false">"c9336"</definedName>
    <definedName function="false" hidden="true" name="IQ_TOTAL_OTHER_OPER" vbProcedure="false">"c1289"</definedName>
    <definedName function="false" hidden="true" name="IQ_TOTAL_OUTSTANDING_BS_DATE" vbProcedure="false">"c1022"</definedName>
    <definedName function="false" hidden="true" name="IQ_TOTAL_OUTSTANDING_FILING_DATE" vbProcedure="false">"c2107"</definedName>
    <definedName function="false" hidden="true" name="IQ_TOTAL_PENSION_ASSETS" vbProcedure="false">"c1290"</definedName>
    <definedName function="false" hidden="true" name="IQ_TOTAL_PENSION_ASSETS_DOMESTIC" vbProcedure="false">"c2658"</definedName>
    <definedName function="false" hidden="true" name="IQ_TOTAL_PENSION_ASSETS_FOREIGN" vbProcedure="false">"c2666"</definedName>
    <definedName function="false" hidden="true" name="IQ_TOTAL_PENSION_EXP" vbProcedure="false">"c1291"</definedName>
    <definedName function="false" hidden="true" name="IQ_TOTAL_PENSION_OBLIGATION" vbProcedure="false">"c1292"</definedName>
    <definedName function="false" hidden="true" name="IQ_TOTAL_PRINCIPAL" vbProcedure="false">"c2509"</definedName>
    <definedName function="false" hidden="true" name="IQ_TOTAL_PRINCIPAL_PCT" vbProcedure="false">"c2510"</definedName>
    <definedName function="false" hidden="true" name="IQ_TOTAL_PROP" vbProcedure="false">"c8765"</definedName>
    <definedName function="false" hidden="true" name="IQ_TOTAL_PROVED_RESERVES_NGL" vbProcedure="false">"c2924"</definedName>
    <definedName function="false" hidden="true" name="IQ_TOTAL_PROVED_RESERVES_OIL" vbProcedure="false">"c2040"</definedName>
    <definedName function="false" hidden="true" name="IQ_TOTAL_RECEIV" vbProcedure="false">"c1293"</definedName>
    <definedName function="false" hidden="true" name="IQ_TOTAL_RECOVERIES_FDIC" vbProcedure="false">"c6622"</definedName>
    <definedName function="false" hidden="true" name="IQ_TOTAL_RECOV_ATTRIB_RESOURCES_ALUM" vbProcedure="false">"c9246"</definedName>
    <definedName function="false" hidden="true" name="IQ_TOTAL_RECOV_ATTRIB_RESOURCES_COAL" vbProcedure="false">"c9820"</definedName>
    <definedName function="false" hidden="true" name="IQ_TOTAL_RECOV_ATTRIB_RESOURCES_COP" vbProcedure="false">"c9190"</definedName>
    <definedName function="false" hidden="true" name="IQ_TOTAL_RECOV_ATTRIB_RESOURCES_DIAM" vbProcedure="false">"c9670"</definedName>
    <definedName function="false" hidden="true" name="IQ_TOTAL_RECOV_ATTRIB_RESOURCES_GOLD" vbProcedure="false">"c9031"</definedName>
    <definedName function="false" hidden="true" name="IQ_TOTAL_RECOV_ATTRIB_RESOURCES_IRON" vbProcedure="false">"c9405"</definedName>
    <definedName function="false" hidden="true" name="IQ_TOTAL_RECOV_ATTRIB_RESOURCES_LEAD" vbProcedure="false">"c9458"</definedName>
    <definedName function="false" hidden="true" name="IQ_TOTAL_RECOV_ATTRIB_RESOURCES_MANG" vbProcedure="false">"c9511"</definedName>
    <definedName function="false" hidden="true" name="IQ_TOTAL_RECOV_ATTRIB_RESOURCES_MET_COAL" vbProcedure="false">"c9760"</definedName>
    <definedName function="false" hidden="true" name="IQ_TOTAL_RECOV_ATTRIB_RESOURCES_MOLYB" vbProcedure="false">"c9723"</definedName>
    <definedName function="false" hidden="true" name="IQ_TOTAL_RECOV_ATTRIB_RESOURCES_NICK" vbProcedure="false">"c9299"</definedName>
    <definedName function="false" hidden="true" name="IQ_TOTAL_RECOV_ATTRIB_RESOURCES_PLAT" vbProcedure="false">"c9137"</definedName>
    <definedName function="false" hidden="true" name="IQ_TOTAL_RECOV_ATTRIB_RESOURCES_SILVER" vbProcedure="false">"c9084"</definedName>
    <definedName function="false" hidden="true" name="IQ_TOTAL_RECOV_ATTRIB_RESOURCES_STEAM" vbProcedure="false">"c9790"</definedName>
    <definedName function="false" hidden="true" name="IQ_TOTAL_RECOV_ATTRIB_RESOURCES_TITAN" vbProcedure="false">"c9564"</definedName>
    <definedName function="false" hidden="true" name="IQ_TOTAL_RECOV_ATTRIB_RESOURCES_URAN" vbProcedure="false">"c9617"</definedName>
    <definedName function="false" hidden="true" name="IQ_TOTAL_RECOV_ATTRIB_RESOURCES_ZINC" vbProcedure="false">"c9352"</definedName>
    <definedName function="false" hidden="true" name="IQ_TOTAL_RECOV_RESOURCES_ALUM" vbProcedure="false">"c9236"</definedName>
    <definedName function="false" hidden="true" name="IQ_TOTAL_RECOV_RESOURCES_COAL" vbProcedure="false">"c9815"</definedName>
    <definedName function="false" hidden="true" name="IQ_TOTAL_RECOV_RESOURCES_COP" vbProcedure="false">"c9180"</definedName>
    <definedName function="false" hidden="true" name="IQ_TOTAL_RECOV_RESOURCES_DIAM" vbProcedure="false">"c9660"</definedName>
    <definedName function="false" hidden="true" name="IQ_TOTAL_RECOV_RESOURCES_GOLD" vbProcedure="false">"c9021"</definedName>
    <definedName function="false" hidden="true" name="IQ_TOTAL_RECOV_RESOURCES_IRON" vbProcedure="false">"c9395"</definedName>
    <definedName function="false" hidden="true" name="IQ_TOTAL_RECOV_RESOURCES_LEAD" vbProcedure="false">"c9448"</definedName>
    <definedName function="false" hidden="true" name="IQ_TOTAL_RECOV_RESOURCES_MANG" vbProcedure="false">"c9501"</definedName>
    <definedName function="false" hidden="true" name="IQ_TOTAL_RECOV_RESOURCES_MET_COAL" vbProcedure="false">"c9755"</definedName>
    <definedName function="false" hidden="true" name="IQ_TOTAL_RECOV_RESOURCES_MOLYB" vbProcedure="false">"c9713"</definedName>
    <definedName function="false" hidden="true" name="IQ_TOTAL_RECOV_RESOURCES_NICK" vbProcedure="false">"c9289"</definedName>
    <definedName function="false" hidden="true" name="IQ_TOTAL_RECOV_RESOURCES_PLAT" vbProcedure="false">"c9127"</definedName>
    <definedName function="false" hidden="true" name="IQ_TOTAL_RECOV_RESOURCES_SILVER" vbProcedure="false">"c9074"</definedName>
    <definedName function="false" hidden="true" name="IQ_TOTAL_RECOV_RESOURCES_STEAM" vbProcedure="false">"c9785"</definedName>
    <definedName function="false" hidden="true" name="IQ_TOTAL_RECOV_RESOURCES_TITAN" vbProcedure="false">"c9554"</definedName>
    <definedName function="false" hidden="true" name="IQ_TOTAL_RECOV_RESOURCES_URAN" vbProcedure="false">"c9607"</definedName>
    <definedName function="false" hidden="true" name="IQ_TOTAL_RECOV_RESOURCES_ZINC" vbProcedure="false">"c9342"</definedName>
    <definedName function="false" hidden="true" name="IQ_TOTAL_RENTAL_REVENUE" vbProcedure="false">"c16022"</definedName>
    <definedName function="false" hidden="true" name="IQ_TOTAL_RESOURCES_CALORIFIC_VALUE_COAL" vbProcedure="false">"c9810"</definedName>
    <definedName function="false" hidden="true" name="IQ_TOTAL_RESOURCES_CALORIFIC_VALUE_MET_COAL" vbProcedure="false">"c9750"</definedName>
    <definedName function="false" hidden="true" name="IQ_TOTAL_RESOURCES_CALORIFIC_VALUE_STEAM" vbProcedure="false">"c9780"</definedName>
    <definedName function="false" hidden="true" name="IQ_TOTAL_RESOURCES_GRADE_ALUM" vbProcedure="false">"c9231"</definedName>
    <definedName function="false" hidden="true" name="IQ_TOTAL_RESOURCES_GRADE_COP" vbProcedure="false">"c9175"</definedName>
    <definedName function="false" hidden="true" name="IQ_TOTAL_RESOURCES_GRADE_DIAM" vbProcedure="false">"c9655"</definedName>
    <definedName function="false" hidden="true" name="IQ_TOTAL_RESOURCES_GRADE_GOLD" vbProcedure="false">"c9016"</definedName>
    <definedName function="false" hidden="true" name="IQ_TOTAL_RESOURCES_GRADE_IRON" vbProcedure="false">"c9390"</definedName>
    <definedName function="false" hidden="true" name="IQ_TOTAL_RESOURCES_GRADE_LEAD" vbProcedure="false">"c9443"</definedName>
    <definedName function="false" hidden="true" name="IQ_TOTAL_RESOURCES_GRADE_MANG" vbProcedure="false">"c9496"</definedName>
    <definedName function="false" hidden="true" name="IQ_TOTAL_RESOURCES_GRADE_MOLYB" vbProcedure="false">"c9708"</definedName>
    <definedName function="false" hidden="true" name="IQ_TOTAL_RESOURCES_GRADE_NICK" vbProcedure="false">"c9284"</definedName>
    <definedName function="false" hidden="true" name="IQ_TOTAL_RESOURCES_GRADE_PLAT" vbProcedure="false">"c9122"</definedName>
    <definedName function="false" hidden="true" name="IQ_TOTAL_RESOURCES_GRADE_SILVER" vbProcedure="false">"c9069"</definedName>
    <definedName function="false" hidden="true" name="IQ_TOTAL_RESOURCES_GRADE_TITAN" vbProcedure="false">"c9549"</definedName>
    <definedName function="false" hidden="true" name="IQ_TOTAL_RESOURCES_GRADE_URAN" vbProcedure="false">"c9602"</definedName>
    <definedName function="false" hidden="true" name="IQ_TOTAL_RESOURCES_GRADE_ZINC" vbProcedure="false">"c9337"</definedName>
    <definedName function="false" hidden="true" name="IQ_TOTAL_RETURN_SWAPS_DERIVATIVES_BENEFICIARY_FFIEC" vbProcedure="false">"c13120"</definedName>
    <definedName function="false" hidden="true" name="IQ_TOTAL_RETURN_SWAPS_DERIVATIVES_GUARANTOR_FFIEC" vbProcedure="false">"c13113"</definedName>
    <definedName function="false" hidden="true" name="IQ_TOTAL_REV" vbProcedure="false">"c1294"</definedName>
    <definedName function="false" hidden="true" name="IQ_TOTAL_REVENUE" vbProcedure="false">"c1436"</definedName>
    <definedName function="false" hidden="true" name="IQ_TOTAL_REVENUE_FFIEC" vbProcedure="false">"c13020"</definedName>
    <definedName function="false" hidden="true" name="IQ_TOTAL_REVENUE_FOREIGN_FFIEC" vbProcedure="false">"c15383"</definedName>
    <definedName function="false" hidden="true" name="IQ_TOTAL_REV_10YR_ANN_CAGR" vbProcedure="false">"c6150"</definedName>
    <definedName function="false" hidden="true" name="IQ_TOTAL_REV_10YR_ANN_GROWTH" vbProcedure="false">"c1295"</definedName>
    <definedName function="false" hidden="true" name="IQ_TOTAL_REV_1YR_ANN_GROWTH" vbProcedure="false">"c1296"</definedName>
    <definedName function="false" hidden="true" name="IQ_TOTAL_REV_2YR_ANN_CAGR" vbProcedure="false">"c6151"</definedName>
    <definedName function="false" hidden="true" name="IQ_TOTAL_REV_2YR_ANN_GROWTH" vbProcedure="false">"c1297"</definedName>
    <definedName function="false" hidden="true" name="IQ_TOTAL_REV_3YR_ANN_CAGR" vbProcedure="false">"c6152"</definedName>
    <definedName function="false" hidden="true" name="IQ_TOTAL_REV_3YR_ANN_GROWTH" vbProcedure="false">"c1298"</definedName>
    <definedName function="false" hidden="true" name="IQ_TOTAL_REV_5YR_ANN_CAGR" vbProcedure="false">"c6153"</definedName>
    <definedName function="false" hidden="true" name="IQ_TOTAL_REV_5YR_ANN_GROWTH" vbProcedure="false">"c1299"</definedName>
    <definedName function="false" hidden="true" name="IQ_TOTAL_REV_7YR_ANN_CAGR" vbProcedure="false">"c6154"</definedName>
    <definedName function="false" hidden="true" name="IQ_TOTAL_REV_7YR_ANN_GROWTH" vbProcedure="false">"c1300"</definedName>
    <definedName function="false" hidden="true" name="IQ_TOTAL_REV_AS_REPORTED" vbProcedure="false">"c1301"</definedName>
    <definedName function="false" hidden="true" name="IQ_TOTAL_REV_BNK" vbProcedure="false">"c1302"</definedName>
    <definedName function="false" hidden="true" name="IQ_TOTAL_REV_BNK_FDIC" vbProcedure="false">"c6786"</definedName>
    <definedName function="false" hidden="true" name="IQ_TOTAL_REV_BR" vbProcedure="false">"c1303"</definedName>
    <definedName function="false" hidden="true" name="IQ_TOTAL_REV_EMPLOYEE" vbProcedure="false">"c1304"</definedName>
    <definedName function="false" hidden="true" name="IQ_TOTAL_REV_FIN" vbProcedure="false">"c1305"</definedName>
    <definedName function="false" hidden="true" name="IQ_TOTAL_REV_INS" vbProcedure="false">"c1306"</definedName>
    <definedName function="false" hidden="true" name="IQ_TOTAL_REV_RE" vbProcedure="false">"c6275"</definedName>
    <definedName function="false" hidden="true" name="IQ_TOTAL_REV_REIT" vbProcedure="false">"c1307"</definedName>
    <definedName function="false" hidden="true" name="IQ_TOTAL_REV_SHARE" vbProcedure="false">"c1912"</definedName>
    <definedName function="false" hidden="true" name="IQ_TOTAL_REV_SUBTOTAL_AP" vbProcedure="false">"c8975"</definedName>
    <definedName function="false" hidden="true" name="IQ_TOTAL_REV_UTI" vbProcedure="false">"c1308"</definedName>
    <definedName function="false" hidden="true" name="IQ_TOTAL_RE_LOANS_TOTAL_LOANS" vbProcedure="false">"c15715"</definedName>
    <definedName function="false" hidden="true" name="IQ_TOTAL_RE_NOI_AVG_GROSS_PROP" vbProcedure="false">"c16059"</definedName>
    <definedName function="false" hidden="true" name="IQ_TOTAL_RISK_BASED_CAPITAL_FFIEC" vbProcedure="false">"c13153"</definedName>
    <definedName function="false" hidden="true" name="IQ_TOTAL_RISK_BASED_CAPITAL_RATIO_FDIC" vbProcedure="false">"c6747"</definedName>
    <definedName function="false" hidden="true" name="IQ_TOTAL_RISK_BASED_CAPITAL_RATIO_FFIEC" vbProcedure="false">"c13162"</definedName>
    <definedName function="false" hidden="true" name="IQ_TOTAL_RISK_WEIGHTED_ASSETS_FFIEC" vbProcedure="false">"c13858"</definedName>
    <definedName function="false" hidden="true" name="IQ_TOTAL_ROOMS" vbProcedure="false">"c8789"</definedName>
    <definedName function="false" hidden="true" name="IQ_TOTAL_SECURITIES_FDIC" vbProcedure="false">"c6306"</definedName>
    <definedName function="false" hidden="true" name="IQ_TOTAL_SPECIAL" vbProcedure="false">"c1618"</definedName>
    <definedName function="false" hidden="true" name="IQ_TOTAL_SQ_FT" vbProcedure="false">"c8781"</definedName>
    <definedName function="false" hidden="true" name="IQ_TOTAL_ST_BORROW" vbProcedure="false">"c1424"</definedName>
    <definedName function="false" hidden="true" name="IQ_TOTAL_SUBS" vbProcedure="false">"c2119"</definedName>
    <definedName function="false" hidden="true" name="IQ_TOTAL_SUB_DEBT" vbProcedure="false">"c2528"</definedName>
    <definedName function="false" hidden="true" name="IQ_TOTAL_SUB_DEBT_EBITDA" vbProcedure="false">"c2554"</definedName>
    <definedName function="false" hidden="true" name="IQ_TOTAL_SUB_DEBT_EBITDA_CAPEX" vbProcedure="false">"c2555"</definedName>
    <definedName function="false" hidden="true" name="IQ_TOTAL_SUB_DEBT_PCT" vbProcedure="false">"c2529"</definedName>
    <definedName function="false" hidden="true" name="IQ_TOTAL_TIME_DEPOSITS_FDIC" vbProcedure="false">"c6497"</definedName>
    <definedName function="false" hidden="true" name="IQ_TOTAL_TIME_LESS_100000_1_TO_3_YEARS_FFIEC" vbProcedure="false">"c15335"</definedName>
    <definedName function="false" hidden="true" name="IQ_TOTAL_TIME_LESS_100000_3_MONTHS_LESS_FFIEC" vbProcedure="false">"c15333"</definedName>
    <definedName function="false" hidden="true" name="IQ_TOTAL_TIME_LESS_100000_3_TO_12_MONTHS_FFIEC" vbProcedure="false">"c15334"</definedName>
    <definedName function="false" hidden="true" name="IQ_TOTAL_TIME_LESS_100000_FFIEC" vbProcedure="false">"c15332"</definedName>
    <definedName function="false" hidden="true" name="IQ_TOTAL_TIME_LESS_100000_OVER_3_YEARS_FFIEC" vbProcedure="false">"c15336"</definedName>
    <definedName function="false" hidden="true" name="IQ_TOTAL_TIME_MORE_100000_1_TO_3_YEARS_FFIEC" vbProcedure="false">"c15340"</definedName>
    <definedName function="false" hidden="true" name="IQ_TOTAL_TIME_MORE_100000_3_MONTHS_LESS_FFIEC" vbProcedure="false">"c15338"</definedName>
    <definedName function="false" hidden="true" name="IQ_TOTAL_TIME_MORE_100000_3_TO_12_MONTHS_FFIEC" vbProcedure="false">"c15339"</definedName>
    <definedName function="false" hidden="true" name="IQ_TOTAL_TIME_MORE_100000_FFIEC" vbProcedure="false">"c15337"</definedName>
    <definedName function="false" hidden="true" name="IQ_TOTAL_TIME_MORE_100000_OVER_3_YEARS_FFIEC" vbProcedure="false">"c15341"</definedName>
    <definedName function="false" hidden="true" name="IQ_TOTAL_TIME_SAVINGS_DEPOSITS_FDIC" vbProcedure="false">"c6498"</definedName>
    <definedName function="false" hidden="true" name="IQ_TOTAL_TRADING_ASSETS_FFIEC" vbProcedure="false">"c12939"</definedName>
    <definedName function="false" hidden="true" name="IQ_TOTAL_TRADING_LIAB_DOM_FFIEC" vbProcedure="false">"c12944"</definedName>
    <definedName function="false" hidden="true" name="IQ_TOTAL_TRADING_LIAB_FOREIGN_FFIEC" vbProcedure="false">"c15296"</definedName>
    <definedName function="false" hidden="true" name="IQ_TOTAL_TRANS_ACCTS_FFIEC" vbProcedure="false">"c15321"</definedName>
    <definedName function="false" hidden="true" name="IQ_TOTAL_UNITS" vbProcedure="false">"c8773"</definedName>
    <definedName function="false" hidden="true" name="IQ_TOTAL_UNUSED_COMMITMENTS_FDIC" vbProcedure="false">"c6536"</definedName>
    <definedName function="false" hidden="true" name="IQ_TOTAL_UNUSUAL" vbProcedure="false">"c1508"</definedName>
    <definedName function="false" hidden="true" name="IQ_TOTAL_UNUSUAL_BNK" vbProcedure="false">"c5516"</definedName>
    <definedName function="false" hidden="true" name="IQ_TOTAL_UNUSUAL_BR" vbProcedure="false">"c5517"</definedName>
    <definedName function="false" hidden="true" name="IQ_TOTAL_UNUSUAL_FIN" vbProcedure="false">"c5518"</definedName>
    <definedName function="false" hidden="true" name="IQ_TOTAL_UNUSUAL_INS" vbProcedure="false">"c5519"</definedName>
    <definedName function="false" hidden="true" name="IQ_TOTAL_UNUSUAL_RE" vbProcedure="false">"c6286"</definedName>
    <definedName function="false" hidden="true" name="IQ_TOTAL_UNUSUAL_REIT" vbProcedure="false">"c5520"</definedName>
    <definedName function="false" hidden="true" name="IQ_TOTAL_UNUSUAL_SUPPLE" vbProcedure="false">"c13817"</definedName>
    <definedName function="false" hidden="true" name="IQ_TOTAL_UNUSUAL_UTI" vbProcedure="false">"c5521"</definedName>
    <definedName function="false" hidden="true" name="IQ_TOTAL_WARRANTS_BEG_OS" vbProcedure="false">"c2719"</definedName>
    <definedName function="false" hidden="true" name="IQ_TOTAL_WARRANTS_CANCELLED" vbProcedure="false">"c2722"</definedName>
    <definedName function="false" hidden="true" name="IQ_TOTAL_WARRANTS_END_OS" vbProcedure="false">"c2723"</definedName>
    <definedName function="false" hidden="true" name="IQ_TOTAL_WARRANTS_EXERCISED" vbProcedure="false">"c2721"</definedName>
    <definedName function="false" hidden="true" name="IQ_TOTAL_WARRANTS_ISSUED" vbProcedure="false">"c2720"</definedName>
    <definedName function="false" hidden="true" name="IQ_TOT_1_4_FAM_LOANS_TOT_LOANS_FFIEC" vbProcedure="false">"c13868"</definedName>
    <definedName function="false" hidden="true" name="IQ_TOT_ADJ_INC" vbProcedure="false">"c1616"</definedName>
    <definedName function="false" hidden="true" name="IQ_TOT_LEASES_TOT_LOANS_FFIEC" vbProcedure="false">"c13876"</definedName>
    <definedName function="false" hidden="true" name="IQ_TOT_NONTRANS_ACCTS_TOT_DEPOSITS_FFIEC" vbProcedure="false">"c13909"</definedName>
    <definedName function="false" hidden="true" name="IQ_TOT_NON_RE_LOANS_TOT_LOANS_FFIEC" vbProcedure="false">"c13877"</definedName>
    <definedName function="false" hidden="true" name="IQ_TOT_RE_LOANS_TOT_LOANS_FFIEC" vbProcedure="false">"c13873"</definedName>
    <definedName function="false" hidden="true" name="IQ_TOT_TIME_DEPOSITS_TOT_DEPOSITS_FFIEC" vbProcedure="false">"c13908"</definedName>
    <definedName function="false" hidden="true" name="IQ_TRADE_AR" vbProcedure="false">"c1345"</definedName>
    <definedName function="false" hidden="true" name="IQ_TRADE_PRINCIPAL" vbProcedure="false">"c1309"</definedName>
    <definedName function="false" hidden="true" name="IQ_TRADING_ACCOUNT_GAINS_FEES_FDIC" vbProcedure="false">"c6573"</definedName>
    <definedName function="false" hidden="true" name="IQ_TRADING_ASSETS" vbProcedure="false">"c1310"</definedName>
    <definedName function="false" hidden="true" name="IQ_TRADING_ASSETS_FAIR_VALUE_TOT_FFIEC" vbProcedure="false">"c13210"</definedName>
    <definedName function="false" hidden="true" name="IQ_TRADING_ASSETS_FDIC" vbProcedure="false">"c6328"</definedName>
    <definedName function="false" hidden="true" name="IQ_TRADING_ASSETS_FFIEC" vbProcedure="false">"c12812"</definedName>
    <definedName function="false" hidden="true" name="IQ_TRADING_ASSETS_FOREIGN_FFIEC" vbProcedure="false">"c12940"</definedName>
    <definedName function="false" hidden="true" name="IQ_TRADING_ASSETS_LEVEL_1_FFIEC" vbProcedure="false">"c13218"</definedName>
    <definedName function="false" hidden="true" name="IQ_TRADING_ASSETS_LEVEL_2_FFIEC" vbProcedure="false">"c13226"</definedName>
    <definedName function="false" hidden="true" name="IQ_TRADING_ASSETS_LEVEL_3_FFIEC" vbProcedure="false">"c13234"</definedName>
    <definedName function="false" hidden="true" name="IQ_TRADING_ASSETS_QUARTERLY_AVG_FFIEC" vbProcedure="false">"c13085"</definedName>
    <definedName function="false" hidden="true" name="IQ_TRADING_CURRENCY" vbProcedure="false">"c2212"</definedName>
    <definedName function="false" hidden="true" name="IQ_TRADING_ITEM_CIQID" vbProcedure="false">"c8949"</definedName>
    <definedName function="false" hidden="true" name="IQ_TRADING_LIABILITIES_FAIR_VALUE_TOT_FFIEC" vbProcedure="false">"c13214"</definedName>
    <definedName function="false" hidden="true" name="IQ_TRADING_LIABILITIES_FDIC" vbProcedure="false">"c6344"</definedName>
    <definedName function="false" hidden="true" name="IQ_TRADING_LIABILITIES_FFIEC" vbProcedure="false">"c12858"</definedName>
    <definedName function="false" hidden="true" name="IQ_TRADING_LIABILITIES_LEVEL_1_FFIEC" vbProcedure="false">"c13222"</definedName>
    <definedName function="false" hidden="true" name="IQ_TRADING_LIABILITIES_LEVEL_2_FFIEC" vbProcedure="false">"c13230"</definedName>
    <definedName function="false" hidden="true" name="IQ_TRADING_LIABILITIES_LEVEL_3_FFIEC" vbProcedure="false">"c13238"</definedName>
    <definedName function="false" hidden="true" name="IQ_TRADING_REVENUE_FFIEC" vbProcedure="false">"c13004"</definedName>
    <definedName function="false" hidden="true" name="IQ_TRADING_REV_FOREIGN_FFIEC" vbProcedure="false">"c15377"</definedName>
    <definedName function="false" hidden="true" name="IQ_TRADING_REV_OPERATING_INC_FFIEC" vbProcedure="false">"c13385"</definedName>
    <definedName function="false" hidden="true" name="IQ_TRANSACTION_ACCOUNTS_FDIC" vbProcedure="false">"c6544"</definedName>
    <definedName function="false" hidden="true" name="IQ_TRANSACTION_LIST" vbProcedure="false">"c15126"</definedName>
    <definedName function="false" hidden="true" name="IQ_TRANSACTION_LIST_BANKRUPTCY" vbProcedure="false">"c15131"</definedName>
    <definedName function="false" hidden="true" name="IQ_TRANSACTION_LIST_BUYBACK" vbProcedure="false">"c15129"</definedName>
    <definedName function="false" hidden="true" name="IQ_TRANSACTION_LIST_INCL_SUBS" vbProcedure="false">"c15132"</definedName>
    <definedName function="false" hidden="true" name="IQ_TRANSACTION_LIST_INCL_SUBS_BANKRUPTCY" vbProcedure="false">"c15137"</definedName>
    <definedName function="false" hidden="true" name="IQ_TRANSACTION_LIST_INCL_SUBS_BUYBACK" vbProcedure="false">"c15135"</definedName>
    <definedName function="false" hidden="true" name="IQ_TRANSACTION_LIST_INCL_SUBS_MA" vbProcedure="false">"c15133"</definedName>
    <definedName function="false" hidden="true" name="IQ_TRANSACTION_LIST_INCL_SUBS_PO" vbProcedure="false">"c15136"</definedName>
    <definedName function="false" hidden="true" name="IQ_TRANSACTION_LIST_INCL_SUBS_PP" vbProcedure="false">"c15134"</definedName>
    <definedName function="false" hidden="true" name="IQ_TRANSACTION_LIST_MA" vbProcedure="false">"c15127"</definedName>
    <definedName function="false" hidden="true" name="IQ_TRANSACTION_LIST_PO" vbProcedure="false">"c15130"</definedName>
    <definedName function="false" hidden="true" name="IQ_TRANSACTION_LIST_PP" vbProcedure="false">"c15128"</definedName>
    <definedName function="false" hidden="true" name="IQ_TRANS_ACCTS_TOT_DEPOSITS_FFIEC" vbProcedure="false">"c13904"</definedName>
    <definedName function="false" hidden="true" name="IQ_TRANS_IMPACT_FIN_48_CURRENT_ASSETS" vbProcedure="false">"c15727"</definedName>
    <definedName function="false" hidden="true" name="IQ_TRANS_IMPACT_FIN_48_CURRENT_LIABILITIES" vbProcedure="false">"c15729"</definedName>
    <definedName function="false" hidden="true" name="IQ_TRANS_IMPACT_FIN_48_LT_ASSETS" vbProcedure="false">"c15728"</definedName>
    <definedName function="false" hidden="true" name="IQ_TRANS_IMPACT_FIN_48_NON_CURRENT_LIABILITIES" vbProcedure="false">"c15730"</definedName>
    <definedName function="false" hidden="true" name="IQ_TRANS_IMPACT_FIN_48_RETAINED_EARNINGS" vbProcedure="false">"c15731"</definedName>
    <definedName function="false" hidden="true" name="IQ_TREASURER_ID" vbProcedure="false">"c15214"</definedName>
    <definedName function="false" hidden="true" name="IQ_TREASURER_NAME" vbProcedure="false">"c15213"</definedName>
    <definedName function="false" hidden="true" name="IQ_TREASURY" vbProcedure="false">"c1311"</definedName>
    <definedName function="false" hidden="true" name="IQ_TREASURY_INVEST_SECURITIES_FFIEC" vbProcedure="false">"c13457"</definedName>
    <definedName function="false" hidden="true" name="IQ_TREASURY_OTHER_EQUITY" vbProcedure="false">"c1312"</definedName>
    <definedName function="false" hidden="true" name="IQ_TREASURY_OTHER_EQUITY_BNK" vbProcedure="false">"c1313"</definedName>
    <definedName function="false" hidden="true" name="IQ_TREASURY_OTHER_EQUITY_BR" vbProcedure="false">"c1314"</definedName>
    <definedName function="false" hidden="true" name="IQ_TREASURY_OTHER_EQUITY_FIN" vbProcedure="false">"c1315"</definedName>
    <definedName function="false" hidden="true" name="IQ_TREASURY_OTHER_EQUITY_INS" vbProcedure="false">"c1316"</definedName>
    <definedName function="false" hidden="true" name="IQ_TREASURY_OTHER_EQUITY_RE" vbProcedure="false">"c6276"</definedName>
    <definedName function="false" hidden="true" name="IQ_TREASURY_OTHER_EQUITY_REIT" vbProcedure="false">"c1317"</definedName>
    <definedName function="false" hidden="true" name="IQ_TREASURY_OTHER_EQUITY_UTI" vbProcedure="false">"c1318"</definedName>
    <definedName function="false" hidden="true" name="IQ_TREASURY_STOCK" vbProcedure="false">"c1438"</definedName>
    <definedName function="false" hidden="true" name="IQ_TREASURY_STOCK_TRANSACTIONS_FDIC" vbProcedure="false">"c6501"</definedName>
    <definedName function="false" hidden="true" name="IQ_TREASURY_STOCK_TRANSACTIONS_FFIEC" vbProcedure="false">"c15352"</definedName>
    <definedName function="false" hidden="true" name="IQ_TRUCK_ASSEMBLIES" vbProcedure="false">"c7021"</definedName>
    <definedName function="false" hidden="true" name="IQ_TRUCK_ASSEMBLIES_APR" vbProcedure="false">"c7681"</definedName>
    <definedName function="false" hidden="true" name="IQ_TRUCK_ASSEMBLIES_APR_FC" vbProcedure="false">"c8561"</definedName>
    <definedName function="false" hidden="true" name="IQ_TRUCK_ASSEMBLIES_FC" vbProcedure="false">"c7901"</definedName>
    <definedName function="false" hidden="true" name="IQ_TRUCK_ASSEMBLIES_POP" vbProcedure="false">"c7241"</definedName>
    <definedName function="false" hidden="true" name="IQ_TRUCK_ASSEMBLIES_POP_FC" vbProcedure="false">"c8121"</definedName>
    <definedName function="false" hidden="true" name="IQ_TRUCK_ASSEMBLIES_YOY" vbProcedure="false">"c7461"</definedName>
    <definedName function="false" hidden="true" name="IQ_TRUCK_ASSEMBLIES_YOY_FC" vbProcedure="false">"c8341"</definedName>
    <definedName function="false" hidden="true" name="IQ_TRUSTEE" vbProcedure="false">"c8959"</definedName>
    <definedName function="false" hidden="true" name="IQ_TRUST_INC" vbProcedure="false">"c1319"</definedName>
    <definedName function="false" hidden="true" name="IQ_TRUST_PREF" vbProcedure="false">"c1320"</definedName>
    <definedName function="false" hidden="true" name="IQ_TRUST_PREFERRED" vbProcedure="false">"c3029"</definedName>
    <definedName function="false" hidden="true" name="IQ_TRUST_PREFERRED_PCT" vbProcedure="false">"c3030"</definedName>
    <definedName function="false" hidden="true" name="IQ_TR_ACCT_METHOD" vbProcedure="false">"c2363"</definedName>
    <definedName function="false" hidden="true" name="IQ_TR_ACQ_52_WK_HI_PCT" vbProcedure="false">"c2348"</definedName>
    <definedName function="false" hidden="true" name="IQ_TR_ACQ_52_WK_LOW_PCT" vbProcedure="false">"c2347"</definedName>
    <definedName function="false" hidden="true" name="IQ_TR_ACQ_CASH_ST_INVEST" vbProcedure="false">"c2372"</definedName>
    <definedName function="false" hidden="true" name="IQ_TR_ACQ_CLOSEPRICE_1D" vbProcedure="false">"c3027"</definedName>
    <definedName function="false" hidden="true" name="IQ_TR_ACQ_DILUT_EPS_EXCL" vbProcedure="false">"c3028"</definedName>
    <definedName function="false" hidden="true" name="IQ_TR_ACQ_EARNING_CO" vbProcedure="false">"c2379"</definedName>
    <definedName function="false" hidden="true" name="IQ_TR_ACQ_EBIT" vbProcedure="false">"c2380"</definedName>
    <definedName function="false" hidden="true" name="IQ_TR_ACQ_EBITDA" vbProcedure="false">"c2381"</definedName>
    <definedName function="false" hidden="true" name="IQ_TR_ACQ_EBITDA_EQ_INC" vbProcedure="false">"c3610"</definedName>
    <definedName function="false" hidden="true" name="IQ_TR_ACQ_EBIT_EQ_INC" vbProcedure="false">"c3611"</definedName>
    <definedName function="false" hidden="true" name="IQ_TR_ACQ_FILINGDATE" vbProcedure="false">"c3607"</definedName>
    <definedName function="false" hidden="true" name="IQ_TR_ACQ_FILING_CURRENCY" vbProcedure="false">"c3033"</definedName>
    <definedName function="false" hidden="true" name="IQ_TR_ACQ_MCAP_1DAY" vbProcedure="false">"c2345"</definedName>
    <definedName function="false" hidden="true" name="IQ_TR_ACQ_MIN_INT" vbProcedure="false">"c2374"</definedName>
    <definedName function="false" hidden="true" name="IQ_TR_ACQ_NET_DEBT" vbProcedure="false">"c2373"</definedName>
    <definedName function="false" hidden="true" name="IQ_TR_ACQ_NI" vbProcedure="false">"c2378"</definedName>
    <definedName function="false" hidden="true" name="IQ_TR_ACQ_PERIODDATE" vbProcedure="false">"c3606"</definedName>
    <definedName function="false" hidden="true" name="IQ_TR_ACQ_PRICEDATE_1D" vbProcedure="false">"c2346"</definedName>
    <definedName function="false" hidden="true" name="IQ_TR_ACQ_RETURN" vbProcedure="false">"c2349"</definedName>
    <definedName function="false" hidden="true" name="IQ_TR_ACQ_STOCKYEARHIGH_1D" vbProcedure="false">"c2343"</definedName>
    <definedName function="false" hidden="true" name="IQ_TR_ACQ_STOCKYEARLOW_1D" vbProcedure="false">"c2344"</definedName>
    <definedName function="false" hidden="true" name="IQ_TR_ACQ_TOTAL_ASSETS" vbProcedure="false">"c2371"</definedName>
    <definedName function="false" hidden="true" name="IQ_TR_ACQ_TOTAL_COMMON_EQ" vbProcedure="false">"c2377"</definedName>
    <definedName function="false" hidden="true" name="IQ_TR_ACQ_TOTAL_DEBT" vbProcedure="false">"c2376"</definedName>
    <definedName function="false" hidden="true" name="IQ_TR_ACQ_TOTAL_PREF" vbProcedure="false">"c2375"</definedName>
    <definedName function="false" hidden="true" name="IQ_TR_ACQ_TOTAL_REV" vbProcedure="false">"c2382"</definedName>
    <definedName function="false" hidden="true" name="IQ_TR_ADJ_SIZE" vbProcedure="false">"c3024"</definedName>
    <definedName function="false" hidden="true" name="IQ_TR_ADJ_SIZE_FINAL" vbProcedure="false">"c16265"</definedName>
    <definedName function="false" hidden="true" name="IQ_TR_ANN_DATE" vbProcedure="false">"c2395"</definedName>
    <definedName function="false" hidden="true" name="IQ_TR_ANN_DATE_BL" vbProcedure="false">"c2394"</definedName>
    <definedName function="false" hidden="true" name="IQ_TR_BID_DATE" vbProcedure="false">"c2357"</definedName>
    <definedName function="false" hidden="true" name="IQ_TR_BLUESKY_FEES" vbProcedure="false">"c2277"</definedName>
    <definedName function="false" hidden="true" name="IQ_TR_BUYBACK_TO_CLOSE" vbProcedure="false">"c13919"</definedName>
    <definedName function="false" hidden="true" name="IQ_TR_BUYBACK_TO_HIGH" vbProcedure="false">"c13917"</definedName>
    <definedName function="false" hidden="true" name="IQ_TR_BUYBACK_TO_LOW" vbProcedure="false">"c13918"</definedName>
    <definedName function="false" hidden="true" name="IQ_TR_BUYERNAME" vbProcedure="false">"c2401"</definedName>
    <definedName function="false" hidden="true" name="IQ_TR_BUYER_ID" vbProcedure="false">"c2404"</definedName>
    <definedName function="false" hidden="true" name="IQ_TR_BUY_ACC_ADVISORS" vbProcedure="false">"c3048"</definedName>
    <definedName function="false" hidden="true" name="IQ_TR_BUY_ADVISORS" vbProcedure="false">"c2387"</definedName>
    <definedName function="false" hidden="true" name="IQ_TR_BUY_FIN_ADVISORS" vbProcedure="false">"c3045"</definedName>
    <definedName function="false" hidden="true" name="IQ_TR_BUY_LEG_ADVISORS" vbProcedure="false">"c2387"</definedName>
    <definedName function="false" hidden="true" name="IQ_TR_BUY_TERM_FEE" vbProcedure="false">"c13638"</definedName>
    <definedName function="false" hidden="true" name="IQ_TR_BUY_TERM_FEE_PCT" vbProcedure="false">"c13639"</definedName>
    <definedName function="false" hidden="true" name="IQ_TR_CANCELLED_DATE" vbProcedure="false">"c2284"</definedName>
    <definedName function="false" hidden="true" name="IQ_TR_CASH_CONSID_PCT" vbProcedure="false">"c2296"</definedName>
    <definedName function="false" hidden="true" name="IQ_TR_CASH_CONSID_PCT_FINAL" vbProcedure="false">"c16268"</definedName>
    <definedName function="false" hidden="true" name="IQ_TR_CASH_ST_INVEST" vbProcedure="false">"c3025"</definedName>
    <definedName function="false" hidden="true" name="IQ_TR_CASH_ST_INVEST_FINAL" vbProcedure="false">"c16266"</definedName>
    <definedName function="false" hidden="true" name="IQ_TR_CHANGE_CONTROL" vbProcedure="false">"c2365"</definedName>
    <definedName function="false" hidden="true" name="IQ_TR_CLOSED_DATE" vbProcedure="false">"c2283"</definedName>
    <definedName function="false" hidden="true" name="IQ_TR_COMMENTS" vbProcedure="false">"c2383"</definedName>
    <definedName function="false" hidden="true" name="IQ_TR_CO_NET_PROCEEDS" vbProcedure="false">"c2268"</definedName>
    <definedName function="false" hidden="true" name="IQ_TR_CO_NET_PROCEEDS_ISSUE" vbProcedure="false">"c17571"</definedName>
    <definedName function="false" hidden="true" name="IQ_TR_CO_NET_PROCEEDS_PCT" vbProcedure="false">"c2270"</definedName>
    <definedName function="false" hidden="true" name="IQ_TR_CURRENCY" vbProcedure="false">"c3016"</definedName>
    <definedName function="false" hidden="true" name="IQ_TR_DEAL_APPROACH" vbProcedure="false">"c12706"</definedName>
    <definedName function="false" hidden="true" name="IQ_TR_DEAL_ATTITUDE" vbProcedure="false">"c2364"</definedName>
    <definedName function="false" hidden="true" name="IQ_TR_DEAL_CONDITIONS" vbProcedure="false">"c2367"</definedName>
    <definedName function="false" hidden="true" name="IQ_TR_DEAL_RESOLUTION" vbProcedure="false">"c2391"</definedName>
    <definedName function="false" hidden="true" name="IQ_TR_DEAL_RESPONSES" vbProcedure="false">"c2366"</definedName>
    <definedName function="false" hidden="true" name="IQ_TR_DEBT_CONSID_PCT" vbProcedure="false">"c2299"</definedName>
    <definedName function="false" hidden="true" name="IQ_TR_DEBT_CONSID_PCT_FINAL" vbProcedure="false">"c16274"</definedName>
    <definedName function="false" hidden="true" name="IQ_TR_DEF_AGRMT_DATE" vbProcedure="false">"c2285"</definedName>
    <definedName function="false" hidden="true" name="IQ_TR_DISCLOSED_FEES_EXP" vbProcedure="false">"c2288"</definedName>
    <definedName function="false" hidden="true" name="IQ_TR_EARNOUTS" vbProcedure="false">"c3023"</definedName>
    <definedName function="false" hidden="true" name="IQ_TR_EARNOUTS_FINAL" vbProcedure="false">"c16262"</definedName>
    <definedName function="false" hidden="true" name="IQ_TR_EXPIRED_DATE" vbProcedure="false">"c2412"</definedName>
    <definedName function="false" hidden="true" name="IQ_TR_EX_OVER_SHARES_ISSUE" vbProcedure="false">"c17566"</definedName>
    <definedName function="false" hidden="true" name="IQ_TR_GROSS_OFFERING_AMT" vbProcedure="false">"c2262"</definedName>
    <definedName function="false" hidden="true" name="IQ_TR_GROSS_PROCEEDS_ISSUE" vbProcedure="false">"c17568"</definedName>
    <definedName function="false" hidden="true" name="IQ_TR_HYBRID_CONSID_PCT" vbProcedure="false">"c2300"</definedName>
    <definedName function="false" hidden="true" name="IQ_TR_HYBRID_CONSID_PCT_FINAL" vbProcedure="false">"c16276"</definedName>
    <definedName function="false" hidden="true" name="IQ_TR_IMPLIED_EQ" vbProcedure="false">"c3018"</definedName>
    <definedName function="false" hidden="true" name="IQ_TR_IMPLIED_EQ_BV" vbProcedure="false">"c3019"</definedName>
    <definedName function="false" hidden="true" name="IQ_TR_IMPLIED_EQ_BV_FINAL" vbProcedure="false">"c16255"</definedName>
    <definedName function="false" hidden="true" name="IQ_TR_IMPLIED_EQ_FINAL" vbProcedure="false">"c16253"</definedName>
    <definedName function="false" hidden="true" name="IQ_TR_IMPLIED_EQ_NI_LTM" vbProcedure="false">"c3020"</definedName>
    <definedName function="false" hidden="true" name="IQ_TR_IMPLIED_EQ_NI_LTM_FINAL" vbProcedure="false">"c16254"</definedName>
    <definedName function="false" hidden="true" name="IQ_TR_IMPLIED_EV" vbProcedure="false">"c2301"</definedName>
    <definedName function="false" hidden="true" name="IQ_TR_IMPLIED_EV_BV" vbProcedure="false">"c2306"</definedName>
    <definedName function="false" hidden="true" name="IQ_TR_IMPLIED_EV_EBIT" vbProcedure="false">"c2302"</definedName>
    <definedName function="false" hidden="true" name="IQ_TR_IMPLIED_EV_EBITDA" vbProcedure="false">"c2303"</definedName>
    <definedName function="false" hidden="true" name="IQ_TR_IMPLIED_EV_EBITDA_FINAL" vbProcedure="false">"c16251"</definedName>
    <definedName function="false" hidden="true" name="IQ_TR_IMPLIED_EV_EBIT_FINAL" vbProcedure="false">"c16252"</definedName>
    <definedName function="false" hidden="true" name="IQ_TR_IMPLIED_EV_FINAL" vbProcedure="false">"c16249"</definedName>
    <definedName function="false" hidden="true" name="IQ_TR_IMPLIED_EV_NI_LTM" vbProcedure="false">"c2307"</definedName>
    <definedName function="false" hidden="true" name="IQ_TR_IMPLIED_EV_REV" vbProcedure="false">"c2304"</definedName>
    <definedName function="false" hidden="true" name="IQ_TR_IMPLIED_EV_REV_FINAL" vbProcedure="false">"c16250"</definedName>
    <definedName function="false" hidden="true" name="IQ_TR_INIT_FILED_DATE" vbProcedure="false">"c3495"</definedName>
    <definedName function="false" hidden="true" name="IQ_TR_IPO_TRANSACTION_ID" vbProcedure="false">"c17554"</definedName>
    <definedName function="false" hidden="true" name="IQ_TR_LEAD_UNDERWRITERS" vbProcedure="false">"c17576"</definedName>
    <definedName function="false" hidden="true" name="IQ_TR_LOI_DATE" vbProcedure="false">"c2282"</definedName>
    <definedName function="false" hidden="true" name="IQ_TR_MAJ_MIN_STAKE" vbProcedure="false">"c2389"</definedName>
    <definedName function="false" hidden="true" name="IQ_TR_NEGOTIATED_BUYBACK_PRICE" vbProcedure="false">"c2414"</definedName>
    <definedName function="false" hidden="true" name="IQ_TR_NET_ASSUM_LIABILITIES" vbProcedure="false">"c2308"</definedName>
    <definedName function="false" hidden="true" name="IQ_TR_NET_ASSUM_LIABILITIES_FINAL" vbProcedure="false">"c16264"</definedName>
    <definedName function="false" hidden="true" name="IQ_TR_NET_PROCEEDS" vbProcedure="false">"c2267"</definedName>
    <definedName function="false" hidden="true" name="IQ_TR_OFFER_DATE" vbProcedure="false">"c2265"</definedName>
    <definedName function="false" hidden="true" name="IQ_TR_OFFER_DATE_MA" vbProcedure="false">"c3035"</definedName>
    <definedName function="false" hidden="true" name="IQ_TR_OFFER_PER_SHARE" vbProcedure="false">"c3017"</definedName>
    <definedName function="false" hidden="true" name="IQ_TR_OFFER_PER_SHARE_FINAL" vbProcedure="false">"c16257"</definedName>
    <definedName function="false" hidden="true" name="IQ_TR_OPTIONS_CONSID_PCT" vbProcedure="false">"c2311"</definedName>
    <definedName function="false" hidden="true" name="IQ_TR_OPTIONS_CONSID_PCT_FINAL" vbProcedure="false">"c16278"</definedName>
    <definedName function="false" hidden="true" name="IQ_TR_OTHER_CONSID" vbProcedure="false">"c3022"</definedName>
    <definedName function="false" hidden="true" name="IQ_TR_OTHER_CONSID_FINAL" vbProcedure="false">"c16261"</definedName>
    <definedName function="false" hidden="true" name="IQ_TR_PCT_SOUGHT" vbProcedure="false">"c2309"</definedName>
    <definedName function="false" hidden="true" name="IQ_TR_PCT_SOUGHT_ACQUIRED_FINAL" vbProcedure="false">"c16256"</definedName>
    <definedName function="false" hidden="true" name="IQ_TR_PFEATURES" vbProcedure="false">"c2384"</definedName>
    <definedName function="false" hidden="true" name="IQ_TR_PIPE_CONV_PRICE_SHARE" vbProcedure="false">"c2292"</definedName>
    <definedName function="false" hidden="true" name="IQ_TR_PIPE_CPN_PCT" vbProcedure="false">"c2291"</definedName>
    <definedName function="false" hidden="true" name="IQ_TR_PIPE_NUMBER_SHARES" vbProcedure="false">"c2293"</definedName>
    <definedName function="false" hidden="true" name="IQ_TR_PIPE_PPS" vbProcedure="false">"c2290"</definedName>
    <definedName function="false" hidden="true" name="IQ_TR_POSTMONEY_VAL" vbProcedure="false">"c2286"</definedName>
    <definedName function="false" hidden="true" name="IQ_TR_PO_1D_PRICE" vbProcedure="false">"c19180"</definedName>
    <definedName function="false" hidden="true" name="IQ_TR_PO_1D_RETURN" vbProcedure="false">"c19179"</definedName>
    <definedName function="false" hidden="true" name="IQ_TR_PO_1M_PRICE" vbProcedure="false">"c19184"</definedName>
    <definedName function="false" hidden="true" name="IQ_TR_PO_1M_RETURN" vbProcedure="false">"c19183"</definedName>
    <definedName function="false" hidden="true" name="IQ_TR_PO_1W_PRICE" vbProcedure="false">"c19182"</definedName>
    <definedName function="false" hidden="true" name="IQ_TR_PO_1W_RETURN" vbProcedure="false">"c19181"</definedName>
    <definedName function="false" hidden="true" name="IQ_TR_PO_1Y_PRICE" vbProcedure="false">"c19190"</definedName>
    <definedName function="false" hidden="true" name="IQ_TR_PO_1Y_RETURN" vbProcedure="false">"c19189"</definedName>
    <definedName function="false" hidden="true" name="IQ_TR_PO_3M_PRICE" vbProcedure="false">"c19186"</definedName>
    <definedName function="false" hidden="true" name="IQ_TR_PO_3M_RETURN" vbProcedure="false">"c19185"</definedName>
    <definedName function="false" hidden="true" name="IQ_TR_PO_6M_PRICE" vbProcedure="false">"c19188"</definedName>
    <definedName function="false" hidden="true" name="IQ_TR_PO_6M_RETURN" vbProcedure="false">"c19187"</definedName>
    <definedName function="false" hidden="true" name="IQ_TR_PO_DISCOUNT_SHARE" vbProcedure="false">"c17562"</definedName>
    <definedName function="false" hidden="true" name="IQ_TR_PO_ISSUE_CURRENCY" vbProcedure="false">"c17557"</definedName>
    <definedName function="false" hidden="true" name="IQ_TR_PO_NET_PROCEEDS_SHARE" vbProcedure="false">"c17563"</definedName>
    <definedName function="false" hidden="true" name="IQ_TR_PO_PRICE_RANGE" vbProcedure="false">"c17559"</definedName>
    <definedName function="false" hidden="true" name="IQ_TR_PO_PRICE_RANGE_HIGH" vbProcedure="false">"c17560"</definedName>
    <definedName function="false" hidden="true" name="IQ_TR_PO_PRICE_RANGE_LOW" vbProcedure="false">"c17561"</definedName>
    <definedName function="false" hidden="true" name="IQ_TR_PO_PRICE_SHARE" vbProcedure="false">"c17558"</definedName>
    <definedName function="false" hidden="true" name="IQ_TR_PO_SHARES_OFFERED" vbProcedure="false">"c17564"</definedName>
    <definedName function="false" hidden="true" name="IQ_TR_PO_SHARES_OFFERED_EX_OVER" vbProcedure="false">"c17567"</definedName>
    <definedName function="false" hidden="true" name="IQ_TR_PO_TICKER" vbProcedure="false">"c17556"</definedName>
    <definedName function="false" hidden="true" name="IQ_TR_PO_TRADING_ITEM_CIQID" vbProcedure="false">"c17555"</definedName>
    <definedName function="false" hidden="true" name="IQ_TR_PREDEAL_SITUATION" vbProcedure="false">"c2390"</definedName>
    <definedName function="false" hidden="true" name="IQ_TR_PREF_CONSID_PCT" vbProcedure="false">"c2310"</definedName>
    <definedName function="false" hidden="true" name="IQ_TR_PREF_CONSID_PCT_FINAL" vbProcedure="false">"c16272"</definedName>
    <definedName function="false" hidden="true" name="IQ_TR_PREMONEY_VAL" vbProcedure="false">"c2287"</definedName>
    <definedName function="false" hidden="true" name="IQ_TR_PRINTING_FEES" vbProcedure="false">"c2276"</definedName>
    <definedName function="false" hidden="true" name="IQ_TR_PROCEEDS_EX_OVER_ISSUE" vbProcedure="false">"c17574"</definedName>
    <definedName function="false" hidden="true" name="IQ_TR_PT_MONETARY_VALUES" vbProcedure="false">"c2415"</definedName>
    <definedName function="false" hidden="true" name="IQ_TR_PT_NUMBER_SHARES" vbProcedure="false">"c2417"</definedName>
    <definedName function="false" hidden="true" name="IQ_TR_PT_OFFER_PER_SHARE" vbProcedure="false">"c18872"</definedName>
    <definedName function="false" hidden="true" name="IQ_TR_PT_PCT_SHARES" vbProcedure="false">"c2416"</definedName>
    <definedName function="false" hidden="true" name="IQ_TR_RATING_FEES" vbProcedure="false">"c2275"</definedName>
    <definedName function="false" hidden="true" name="IQ_TR_REGISTRATION_FEES" vbProcedure="false">"c2274"</definedName>
    <definedName function="false" hidden="true" name="IQ_TR_REG_EFFECT_DATE" vbProcedure="false">"c2264"</definedName>
    <definedName function="false" hidden="true" name="IQ_TR_REG_FILED_DATE" vbProcedure="false">"c2263"</definedName>
    <definedName function="false" hidden="true" name="IQ_TR_REG_OVER_SHARES_ISSUE" vbProcedure="false">"c17565"</definedName>
    <definedName function="false" hidden="true" name="IQ_TR_REG_OVER_VALUE_ISSUE" vbProcedure="false">"c17572"</definedName>
    <definedName function="false" hidden="true" name="IQ_TR_RENEWAL_BUYBACK" vbProcedure="false">"c2413"</definedName>
    <definedName function="false" hidden="true" name="IQ_TR_ROUND_NUMBER" vbProcedure="false">"c2295"</definedName>
    <definedName function="false" hidden="true" name="IQ_TR_SECURITY_TYPE_REG" vbProcedure="false">"c2279"</definedName>
    <definedName function="false" hidden="true" name="IQ_TR_SEC_FEES" vbProcedure="false">"c2274"</definedName>
    <definedName function="false" hidden="true" name="IQ_TR_SELLERNAME" vbProcedure="false">"c2402"</definedName>
    <definedName function="false" hidden="true" name="IQ_TR_SELLER_ID" vbProcedure="false">"c2406"</definedName>
    <definedName function="false" hidden="true" name="IQ_TR_SELL_ACC_ADVISORS" vbProcedure="false">"c3049"</definedName>
    <definedName function="false" hidden="true" name="IQ_TR_SELL_ADVISORS" vbProcedure="false">"c2388"</definedName>
    <definedName function="false" hidden="true" name="IQ_TR_SELL_FIN_ADVISORS" vbProcedure="false">"c3046"</definedName>
    <definedName function="false" hidden="true" name="IQ_TR_SELL_LEG_ADVISORS" vbProcedure="false">"c2388"</definedName>
    <definedName function="false" hidden="true" name="IQ_TR_SELL_TERM_FEE" vbProcedure="false">"c2298"</definedName>
    <definedName function="false" hidden="true" name="IQ_TR_SELL_TERM_FEE_PCT" vbProcedure="false">"c2297"</definedName>
    <definedName function="false" hidden="true" name="IQ_TR_SFEATURES" vbProcedure="false">"c2385"</definedName>
    <definedName function="false" hidden="true" name="IQ_TR_SH_NET_PROCEEDS" vbProcedure="false">"c2269"</definedName>
    <definedName function="false" hidden="true" name="IQ_TR_SH_NET_PROCEEDS_ISSUE" vbProcedure="false">"c17570"</definedName>
    <definedName function="false" hidden="true" name="IQ_TR_SH_NET_PROCEEDS_PCT" vbProcedure="false">"c2271"</definedName>
    <definedName function="false" hidden="true" name="IQ_TR_SPECIAL_COMMITTEE" vbProcedure="false">"c2362"</definedName>
    <definedName function="false" hidden="true" name="IQ_TR_STATUS" vbProcedure="false">"c2399"</definedName>
    <definedName function="false" hidden="true" name="IQ_TR_STOCK_CONSID_PCT" vbProcedure="false">"c2312"</definedName>
    <definedName function="false" hidden="true" name="IQ_TR_STOCK_CONSID_PCT_FINAL" vbProcedure="false">"c16270"</definedName>
    <definedName function="false" hidden="true" name="IQ_TR_SUBDEBT" vbProcedure="false">"c2370"</definedName>
    <definedName function="false" hidden="true" name="IQ_TR_SUSPENDED_DATE" vbProcedure="false">"c2407"</definedName>
    <definedName function="false" hidden="true" name="IQ_TR_TARGETNAME" vbProcedure="false">"c2403"</definedName>
    <definedName function="false" hidden="true" name="IQ_TR_TARGET_52WKHI_PCT" vbProcedure="false">"c2351"</definedName>
    <definedName function="false" hidden="true" name="IQ_TR_TARGET_52WKLOW_PCT" vbProcedure="false">"c2350"</definedName>
    <definedName function="false" hidden="true" name="IQ_TR_TARGET_ACC_ADVISORS" vbProcedure="false">"c3047"</definedName>
    <definedName function="false" hidden="true" name="IQ_TR_TARGET_ADVISORS" vbProcedure="false">"c2386"</definedName>
    <definedName function="false" hidden="true" name="IQ_TR_TARGET_CASH_ST_INVEST" vbProcedure="false">"c2327"</definedName>
    <definedName function="false" hidden="true" name="IQ_TR_TARGET_CLOSEPRICE_1D" vbProcedure="false">"c2352"</definedName>
    <definedName function="false" hidden="true" name="IQ_TR_TARGET_CLOSEPRICE_1M" vbProcedure="false">"c2354"</definedName>
    <definedName function="false" hidden="true" name="IQ_TR_TARGET_CLOSEPRICE_1W" vbProcedure="false">"c2353"</definedName>
    <definedName function="false" hidden="true" name="IQ_TR_TARGET_DILUT_EPS_EXCL" vbProcedure="false">"c2324"</definedName>
    <definedName function="false" hidden="true" name="IQ_TR_TARGET_EARNING_CO" vbProcedure="false">"c2332"</definedName>
    <definedName function="false" hidden="true" name="IQ_TR_TARGET_EBIT" vbProcedure="false">"c2333"</definedName>
    <definedName function="false" hidden="true" name="IQ_TR_TARGET_EBITDA" vbProcedure="false">"c2334"</definedName>
    <definedName function="false" hidden="true" name="IQ_TR_TARGET_EBITDA_EQ_INC" vbProcedure="false">"c3608"</definedName>
    <definedName function="false" hidden="true" name="IQ_TR_TARGET_EBIT_EQ_INC" vbProcedure="false">"c3609"</definedName>
    <definedName function="false" hidden="true" name="IQ_TR_TARGET_FILINGDATE" vbProcedure="false">"c3605"</definedName>
    <definedName function="false" hidden="true" name="IQ_TR_TARGET_FILING_CURRENCY" vbProcedure="false">"c3034"</definedName>
    <definedName function="false" hidden="true" name="IQ_TR_TARGET_FIN_ADVISORS" vbProcedure="false">"c3044"</definedName>
    <definedName function="false" hidden="true" name="IQ_TR_TARGET_ID" vbProcedure="false">"c2405"</definedName>
    <definedName function="false" hidden="true" name="IQ_TR_TARGET_LEG_ADVISORS" vbProcedure="false">"c2386"</definedName>
    <definedName function="false" hidden="true" name="IQ_TR_TARGET_MARKETCAP" vbProcedure="false">"c2342"</definedName>
    <definedName function="false" hidden="true" name="IQ_TR_TARGET_MIN_INT" vbProcedure="false">"c2328"</definedName>
    <definedName function="false" hidden="true" name="IQ_TR_TARGET_NET_DEBT" vbProcedure="false">"c2326"</definedName>
    <definedName function="false" hidden="true" name="IQ_TR_TARGET_NI" vbProcedure="false">"c2331"</definedName>
    <definedName function="false" hidden="true" name="IQ_TR_TARGET_PERIODDATE" vbProcedure="false">"c3604"</definedName>
    <definedName function="false" hidden="true" name="IQ_TR_TARGET_PRICEDATE_1D" vbProcedure="false">"c2341"</definedName>
    <definedName function="false" hidden="true" name="IQ_TR_TARGET_RETURN" vbProcedure="false">"c2355"</definedName>
    <definedName function="false" hidden="true" name="IQ_TR_TARGET_SEC_DETAIL" vbProcedure="false">"c3021"</definedName>
    <definedName function="false" hidden="true" name="IQ_TR_TARGET_SEC_TI_ID" vbProcedure="false">"c2368"</definedName>
    <definedName function="false" hidden="true" name="IQ_TR_TARGET_SEC_TYPE" vbProcedure="false">"c2369"</definedName>
    <definedName function="false" hidden="true" name="IQ_TR_TARGET_SPD" vbProcedure="false">"c2313"</definedName>
    <definedName function="false" hidden="true" name="IQ_TR_TARGET_SPD_PCT" vbProcedure="false">"c2314"</definedName>
    <definedName function="false" hidden="true" name="IQ_TR_TARGET_STOCKPREMIUM_1D" vbProcedure="false">"c2336"</definedName>
    <definedName function="false" hidden="true" name="IQ_TR_TARGET_STOCKPREMIUM_1M" vbProcedure="false">"c2337"</definedName>
    <definedName function="false" hidden="true" name="IQ_TR_TARGET_STOCKPREMIUM_1W" vbProcedure="false">"c2338"</definedName>
    <definedName function="false" hidden="true" name="IQ_TR_TARGET_STOCKYEARHIGH_1D" vbProcedure="false">"c2339"</definedName>
    <definedName function="false" hidden="true" name="IQ_TR_TARGET_STOCKYEARLOW_1D" vbProcedure="false">"c2340"</definedName>
    <definedName function="false" hidden="true" name="IQ_TR_TARGET_TOTAL_ASSETS" vbProcedure="false">"c2325"</definedName>
    <definedName function="false" hidden="true" name="IQ_TR_TARGET_TOTAL_COMMON_EQ" vbProcedure="false">"c2421"</definedName>
    <definedName function="false" hidden="true" name="IQ_TR_TARGET_TOTAL_DEBT" vbProcedure="false">"c2330"</definedName>
    <definedName function="false" hidden="true" name="IQ_TR_TARGET_TOTAL_PREF" vbProcedure="false">"c2329"</definedName>
    <definedName function="false" hidden="true" name="IQ_TR_TARGET_TOTAL_REV" vbProcedure="false">"c2335"</definedName>
    <definedName function="false" hidden="true" name="IQ_TR_TERM_FEE" vbProcedure="false">"c2298"</definedName>
    <definedName function="false" hidden="true" name="IQ_TR_TERM_FEE_PCT" vbProcedure="false">"c2297"</definedName>
    <definedName function="false" hidden="true" name="IQ_TR_TODATE" vbProcedure="false">"c3036"</definedName>
    <definedName function="false" hidden="true" name="IQ_TR_TODATE_MONETARY_VALUE" vbProcedure="false">"c2418"</definedName>
    <definedName function="false" hidden="true" name="IQ_TR_TODATE_NUMBER_SHARES" vbProcedure="false">"c2420"</definedName>
    <definedName function="false" hidden="true" name="IQ_TR_TODATE_PCT_SHARES" vbProcedure="false">"c2419"</definedName>
    <definedName function="false" hidden="true" name="IQ_TR_TOTALVALUE" vbProcedure="false">"c2400"</definedName>
    <definedName function="false" hidden="true" name="IQ_TR_TOTAL_ACCT_FEES" vbProcedure="false">"c2273"</definedName>
    <definedName function="false" hidden="true" name="IQ_TR_TOTAL_CASH" vbProcedure="false">"c2315"</definedName>
    <definedName function="false" hidden="true" name="IQ_TR_TOTAL_CASH_FINAL" vbProcedure="false">"c16267"</definedName>
    <definedName function="false" hidden="true" name="IQ_TR_TOTAL_CONSID_SH" vbProcedure="false">"c2316"</definedName>
    <definedName function="false" hidden="true" name="IQ_TR_TOTAL_CONSID_SH_FINAL" vbProcedure="false">"c16260"</definedName>
    <definedName function="false" hidden="true" name="IQ_TR_TOTAL_DEBT" vbProcedure="false">"c2317"</definedName>
    <definedName function="false" hidden="true" name="IQ_TR_TOTAL_DEBT_FINAL" vbProcedure="false">"c16273"</definedName>
    <definedName function="false" hidden="true" name="IQ_TR_TOTAL_EX_OVER_VALUE_ISSUE" vbProcedure="false">"c17573"</definedName>
    <definedName function="false" hidden="true" name="IQ_TR_TOTAL_GROSS_TV" vbProcedure="false">"c2318"</definedName>
    <definedName function="false" hidden="true" name="IQ_TR_TOTAL_GROSS_TV_FINAL" vbProcedure="false">"c16259"</definedName>
    <definedName function="false" hidden="true" name="IQ_TR_TOTAL_HYBRID" vbProcedure="false">"c2319"</definedName>
    <definedName function="false" hidden="true" name="IQ_TR_TOTAL_HYBRID_FINAL" vbProcedure="false">"c16275"</definedName>
    <definedName function="false" hidden="true" name="IQ_TR_TOTAL_LEGAL_FEES" vbProcedure="false">"c2272"</definedName>
    <definedName function="false" hidden="true" name="IQ_TR_TOTAL_NET_TV" vbProcedure="false">"c2320"</definedName>
    <definedName function="false" hidden="true" name="IQ_TR_TOTAL_NET_TV_FINAL" vbProcedure="false">"c16258"</definedName>
    <definedName function="false" hidden="true" name="IQ_TR_TOTAL_NEWMONEY" vbProcedure="false">"c2289"</definedName>
    <definedName function="false" hidden="true" name="IQ_TR_TOTAL_OPTIONS" vbProcedure="false">"c2322"</definedName>
    <definedName function="false" hidden="true" name="IQ_TR_TOTAL_OPTIONS_BUYER" vbProcedure="false">"c3026"</definedName>
    <definedName function="false" hidden="true" name="IQ_TR_TOTAL_OPTIONS_BUYER_FINAL" vbProcedure="false">"c16277"</definedName>
    <definedName function="false" hidden="true" name="IQ_TR_TOTAL_OPTIONS_FINAL" vbProcedure="false">"c16263"</definedName>
    <definedName function="false" hidden="true" name="IQ_TR_TOTAL_PREFERRED" vbProcedure="false">"c2321"</definedName>
    <definedName function="false" hidden="true" name="IQ_TR_TOTAL_PREFERRED_FINAL" vbProcedure="false">"c16271"</definedName>
    <definedName function="false" hidden="true" name="IQ_TR_TOTAL_REG_AMT" vbProcedure="false">"c2261"</definedName>
    <definedName function="false" hidden="true" name="IQ_TR_TOTAL_STOCK" vbProcedure="false">"c2323"</definedName>
    <definedName function="false" hidden="true" name="IQ_TR_TOTAL_STOCK_FINAL" vbProcedure="false">"c16269"</definedName>
    <definedName function="false" hidden="true" name="IQ_TR_TOTAL_TAKEDOWNS" vbProcedure="false">"c2278"</definedName>
    <definedName function="false" hidden="true" name="IQ_TR_TOTAL_UW_COMP" vbProcedure="false">"c2280"</definedName>
    <definedName function="false" hidden="true" name="IQ_TR_TRANSACTION_TYPE" vbProcedure="false">"c2398"</definedName>
    <definedName function="false" hidden="true" name="IQ_TR_UNDERWRITERS_OTHER" vbProcedure="false">"c17577"</definedName>
    <definedName function="false" hidden="true" name="IQ_TR_UNDERWRITER_COMP_ISSUE" vbProcedure="false">"c17569"</definedName>
    <definedName function="false" hidden="true" name="IQ_TR_WITHDRAWN_DTE" vbProcedure="false">"c2266"</definedName>
    <definedName function="false" hidden="true" name="IQ_TWELVE_MONTHS_FIXED_AND_FLOATING_FDIC" vbProcedure="false">"c6420"</definedName>
    <definedName function="false" hidden="true" name="IQ_TWELVE_MONTHS_MORTGAGE_PASS_THROUGHS_FDIC" vbProcedure="false">"c6412"</definedName>
    <definedName function="false" hidden="true" name="IQ_UFCF_10YR_ANN_CAGR" vbProcedure="false">"c6179"</definedName>
    <definedName function="false" hidden="true" name="IQ_UFCF_10YR_ANN_GROWTH" vbProcedure="false">"c1948"</definedName>
    <definedName function="false" hidden="true" name="IQ_UFCF_1YR_ANN_GROWTH" vbProcedure="false">"c1943"</definedName>
    <definedName function="false" hidden="true" name="IQ_UFCF_2YR_ANN_CAGR" vbProcedure="false">"c6175"</definedName>
    <definedName function="false" hidden="true" name="IQ_UFCF_2YR_ANN_GROWTH" vbProcedure="false">"c1944"</definedName>
    <definedName function="false" hidden="true" name="IQ_UFCF_3YR_ANN_CAGR" vbProcedure="false">"c6176"</definedName>
    <definedName function="false" hidden="true" name="IQ_UFCF_3YR_ANN_GROWTH" vbProcedure="false">"c1945"</definedName>
    <definedName function="false" hidden="true" name="IQ_UFCF_5YR_ANN_CAGR" vbProcedure="false">"c6177"</definedName>
    <definedName function="false" hidden="true" name="IQ_UFCF_5YR_ANN_GROWTH" vbProcedure="false">"c1946"</definedName>
    <definedName function="false" hidden="true" name="IQ_UFCF_7YR_ANN_CAGR" vbProcedure="false">"c6178"</definedName>
    <definedName function="false" hidden="true" name="IQ_UFCF_7YR_ANN_GROWTH" vbProcedure="false">"c1947"</definedName>
    <definedName function="false" hidden="true" name="IQ_UFCF_MARGIN" vbProcedure="false">"c1962"</definedName>
    <definedName function="false" hidden="true" name="IQ_ULT_PARENT" vbProcedure="false">"c3037"</definedName>
    <definedName function="false" hidden="true" name="IQ_ULT_PARENT_CIQID" vbProcedure="false">"c3039"</definedName>
    <definedName function="false" hidden="true" name="IQ_ULT_PARENT_TICKER" vbProcedure="false">"c3038"</definedName>
    <definedName function="false" hidden="true" name="IQ_UNAMORT_DISC" vbProcedure="false">"c2513"</definedName>
    <definedName function="false" hidden="true" name="IQ_UNAMORT_DISC_PCT" vbProcedure="false">"c2514"</definedName>
    <definedName function="false" hidden="true" name="IQ_UNAMORT_PREMIUM" vbProcedure="false">"c2511"</definedName>
    <definedName function="false" hidden="true" name="IQ_UNAMORT_PREMIUM_PCT" vbProcedure="false">"c2512"</definedName>
    <definedName function="false" hidden="true" name="IQ_UNASSIGNED_RESERVES_COAL" vbProcedure="false">"c15914"</definedName>
    <definedName function="false" hidden="true" name="IQ_UNASSIGNED_RESERVES_TO_TOTAL_RESERVES_COAL" vbProcedure="false">"c15956"</definedName>
    <definedName function="false" hidden="true" name="IQ_UNCLASSIFIED_PROPERTY_OPERATING_EXPENSE" vbProcedure="false">"c16034"</definedName>
    <definedName function="false" hidden="true" name="IQ_UNCLASSIFIED_RENTAL_INCOME" vbProcedure="false">"c16021"</definedName>
    <definedName function="false" hidden="true" name="IQ_UNCONSOL_BEDS" vbProcedure="false">"c8783"</definedName>
    <definedName function="false" hidden="true" name="IQ_UNCONSOL_NOI" vbProcedure="false">"c16067"</definedName>
    <definedName function="false" hidden="true" name="IQ_UNCONSOL_PROP" vbProcedure="false">"c8762"</definedName>
    <definedName function="false" hidden="true" name="IQ_UNCONSOL_ROOMS" vbProcedure="false">"c8787"</definedName>
    <definedName function="false" hidden="true" name="IQ_UNCONSOL_SQ_FT" vbProcedure="false">"c8778"</definedName>
    <definedName function="false" hidden="true" name="IQ_UNCONSOL_UNITS" vbProcedure="false">"c8770"</definedName>
    <definedName function="false" hidden="true" name="IQ_UNDERGROUND_RESERVES_COAL" vbProcedure="false">"c15922"</definedName>
    <definedName function="false" hidden="true" name="IQ_UNDERGROUND_RESERVES_TO_TOTAL_RESERVES_COAL" vbProcedure="false">"c15960"</definedName>
    <definedName function="false" hidden="true" name="IQ_UNDERWRITER" vbProcedure="false">"c8958"</definedName>
    <definedName function="false" hidden="true" name="IQ_UNDERWRITING_PROFIT" vbProcedure="false">"c9975"</definedName>
    <definedName function="false" hidden="true" name="IQ_UNDIVIDED_PROFITS_FDIC" vbProcedure="false">"c6352"</definedName>
    <definedName function="false" hidden="true" name="IQ_UNDRAWN_CP" vbProcedure="false">"c2518"</definedName>
    <definedName function="false" hidden="true" name="IQ_UNDRAWN_CREDIT" vbProcedure="false">"c3032"</definedName>
    <definedName function="false" hidden="true" name="IQ_UNDRAWN_FED_FUNDS" vbProcedure="false">"c2524"</definedName>
    <definedName function="false" hidden="true" name="IQ_UNDRAWN_FHLB" vbProcedure="false">"c2520"</definedName>
    <definedName function="false" hidden="true" name="IQ_UNDRAWN_LC" vbProcedure="false">"c2521"</definedName>
    <definedName function="false" hidden="true" name="IQ_UNDRAWN_RC" vbProcedure="false">"c2517"</definedName>
    <definedName function="false" hidden="true" name="IQ_UNDRAWN_TL" vbProcedure="false">"c2519"</definedName>
    <definedName function="false" hidden="true" name="IQ_UNEARNED_INCOME_FDIC" vbProcedure="false">"c6324"</definedName>
    <definedName function="false" hidden="true" name="IQ_UNEARNED_INCOME_FOREIGN_FDIC" vbProcedure="false">"c6385"</definedName>
    <definedName function="false" hidden="true" name="IQ_UNEARNED_INCOME_LL_REC_DOM_FFIEC" vbProcedure="false">"c12916"</definedName>
    <definedName function="false" hidden="true" name="IQ_UNEARNED_INCOME_LL_REC_FFIEC" vbProcedure="false">"c12897"</definedName>
    <definedName function="false" hidden="true" name="IQ_UNEARNED_PREMIUMS_PC_FFIEC" vbProcedure="false">"c13101"</definedName>
    <definedName function="false" hidden="true" name="IQ_UNEARN_PREMIUM" vbProcedure="false">"c1321"</definedName>
    <definedName function="false" hidden="true" name="IQ_UNEARN_REV_CURRENT" vbProcedure="false">"c1322"</definedName>
    <definedName function="false" hidden="true" name="IQ_UNEARN_REV_CURRENT_BNK" vbProcedure="false">"c1323"</definedName>
    <definedName function="false" hidden="true" name="IQ_UNEARN_REV_CURRENT_BR" vbProcedure="false">"c1324"</definedName>
    <definedName function="false" hidden="true" name="IQ_UNEARN_REV_CURRENT_FIN" vbProcedure="false">"c1325"</definedName>
    <definedName function="false" hidden="true" name="IQ_UNEARN_REV_CURRENT_INS" vbProcedure="false">"c1326"</definedName>
    <definedName function="false" hidden="true" name="IQ_UNEARN_REV_CURRENT_RE" vbProcedure="false">"c6277"</definedName>
    <definedName function="false" hidden="true" name="IQ_UNEARN_REV_CURRENT_REIT" vbProcedure="false">"c1327"</definedName>
    <definedName function="false" hidden="true" name="IQ_UNEARN_REV_CURRENT_UTI" vbProcedure="false">"c1328"</definedName>
    <definedName function="false" hidden="true" name="IQ_UNEARN_REV_LT" vbProcedure="false">"c1329"</definedName>
    <definedName function="false" hidden="true" name="IQ_UNEMPLOYMENT_RATE" vbProcedure="false">"c7023"</definedName>
    <definedName function="false" hidden="true" name="IQ_UNEMPLOYMENT_RATE_FC" vbProcedure="false">"c7903"</definedName>
    <definedName function="false" hidden="true" name="IQ_UNEMPLOYMENT_RATE_POP" vbProcedure="false">"c7243"</definedName>
    <definedName function="false" hidden="true" name="IQ_UNEMPLOYMENT_RATE_POP_FC" vbProcedure="false">"c8123"</definedName>
    <definedName function="false" hidden="true" name="IQ_UNEMPLOYMENT_RATE_YOY" vbProcedure="false">"c7463"</definedName>
    <definedName function="false" hidden="true" name="IQ_UNEMPLOYMENT_RATE_YOY_FC" vbProcedure="false">"c8343"</definedName>
    <definedName function="false" hidden="true" name="IQ_UNIT_LABOR_COST_INDEX" vbProcedure="false">"c7025"</definedName>
    <definedName function="false" hidden="true" name="IQ_UNIT_LABOR_COST_INDEX_APR" vbProcedure="false">"c7685"</definedName>
    <definedName function="false" hidden="true" name="IQ_UNIT_LABOR_COST_INDEX_APR_FC" vbProcedure="false">"c8565"</definedName>
    <definedName function="false" hidden="true" name="IQ_UNIT_LABOR_COST_INDEX_FC" vbProcedure="false">"c7905"</definedName>
    <definedName function="false" hidden="true" name="IQ_UNIT_LABOR_COST_INDEX_PCT_CHANGE" vbProcedure="false">"c7024"</definedName>
    <definedName function="false" hidden="true" name="IQ_UNIT_LABOR_COST_INDEX_PCT_CHANGE_FC" vbProcedure="false">"c7904"</definedName>
    <definedName function="false" hidden="true" name="IQ_UNIT_LABOR_COST_INDEX_PCT_CHANGE_POP" vbProcedure="false">"c7244"</definedName>
    <definedName function="false" hidden="true" name="IQ_UNIT_LABOR_COST_INDEX_PCT_CHANGE_POP_FC" vbProcedure="false">"c8124"</definedName>
    <definedName function="false" hidden="true" name="IQ_UNIT_LABOR_COST_INDEX_PCT_CHANGE_YOY" vbProcedure="false">"c7464"</definedName>
    <definedName function="false" hidden="true" name="IQ_UNIT_LABOR_COST_INDEX_PCT_CHANGE_YOY_FC" vbProcedure="false">"c8344"</definedName>
    <definedName function="false" hidden="true" name="IQ_UNIT_LABOR_COST_INDEX_POP" vbProcedure="false">"c7245"</definedName>
    <definedName function="false" hidden="true" name="IQ_UNIT_LABOR_COST_INDEX_POP_FC" vbProcedure="false">"c8125"</definedName>
    <definedName function="false" hidden="true" name="IQ_UNIT_LABOR_COST_INDEX_YOY" vbProcedure="false">"c7465"</definedName>
    <definedName function="false" hidden="true" name="IQ_UNIT_LABOR_COST_INDEX_YOY_FC" vbProcedure="false">"c8345"</definedName>
    <definedName function="false" hidden="true" name="IQ_UNLEVERED_FCF" vbProcedure="false">"c1908"</definedName>
    <definedName function="false" hidden="true" name="IQ_UNPAID_CLAIMS" vbProcedure="false">"c1330"</definedName>
    <definedName function="false" hidden="true" name="IQ_UNPROFITABLE_INSTITUTIONS_FDIC" vbProcedure="false">"c6722"</definedName>
    <definedName function="false" hidden="true" name="IQ_UNREALIZED_GAIN" vbProcedure="false">"c1619"</definedName>
    <definedName function="false" hidden="true" name="IQ_UNRECOG_TAX_BENEFIT_BEG_PERIOD" vbProcedure="false">"c15732"</definedName>
    <definedName function="false" hidden="true" name="IQ_UNRECOG_TAX_BENEFIT_END_PERIOD" vbProcedure="false">"c15740"</definedName>
    <definedName function="false" hidden="true" name="IQ_UNRECOG_TAX_BENEFIT_OTHER_ADJ" vbProcedure="false">"c15739"</definedName>
    <definedName function="false" hidden="true" name="IQ_UNSECURED_COMMITMENTS_COMMERCIAL_RE_UNUSED_FFIEC" vbProcedure="false">"c13246"</definedName>
    <definedName function="false" hidden="true" name="IQ_UNSECURED_DEBT" vbProcedure="false">"c2548"</definedName>
    <definedName function="false" hidden="true" name="IQ_UNSECURED_DEBT_PCT" vbProcedure="false">"c2549"</definedName>
    <definedName function="false" hidden="true" name="IQ_UNUSED_LOAN_COMMITMENTS_FDIC" vbProcedure="false">"c6368"</definedName>
    <definedName function="false" hidden="true" name="IQ_UNUSUAL_EXP" vbProcedure="false">"c1456"</definedName>
    <definedName function="false" hidden="true" name="IQ_UPGRADE_REBUILD_CABLE_INVEST" vbProcedure="false">"c15804"</definedName>
    <definedName function="false" hidden="true" name="IQ_UST_SECURITIES_GOVT_AGENCY_QUARTERLY_AVG_FFIEC" vbProcedure="false">"c15468"</definedName>
    <definedName function="false" hidden="true" name="IQ_UST_SEC_GOVT_AGENCY_CORP_QUARTERLY_AVG_FFIEC" vbProcedure="false">"c15469"</definedName>
    <definedName function="false" hidden="true" name="IQ_US_ADDRESS_LEASE_FIN_REC_FFIEC" vbProcedure="false">"c13624"</definedName>
    <definedName function="false" hidden="true" name="IQ_US_AGENCY_OBLIGATIONS_AFS_AMORT_COST_FFIEC" vbProcedure="false">"c20490"</definedName>
    <definedName function="false" hidden="true" name="IQ_US_AGENCY_OBLIGATIONS_AFS_FAIR_VAL_FFIEC" vbProcedure="false">"c20455"</definedName>
    <definedName function="false" hidden="true" name="IQ_US_AGENCY_OBLIGATIONS_AVAIL_SALE_FFIEC" vbProcedure="false">"c12793"</definedName>
    <definedName function="false" hidden="true" name="IQ_US_AGENCY_OBLIG_FFIEC" vbProcedure="false">"c12779"</definedName>
    <definedName function="false" hidden="true" name="IQ_US_AGENCY_OBLIG_HTM_AMORT_COST_FFIEC" vbProcedure="false">"c20438"</definedName>
    <definedName function="false" hidden="true" name="IQ_US_AGENCY_OBLIG_HTM_FAIR_VAL_FFIEC" vbProcedure="false">"c20473"</definedName>
    <definedName function="false" hidden="true" name="IQ_US_AGENCY_OBLIG_TRADING_DOM_FFIEC" vbProcedure="false">"c12919"</definedName>
    <definedName function="false" hidden="true" name="IQ_US_AGENCY_OBLIG_TRADING_FFIEC" vbProcedure="false">"c12814"</definedName>
    <definedName function="false" hidden="true" name="IQ_US_BANKS_OTHER_INST_FOREIGN_DEP_FFIEC" vbProcedure="false">"c15343"</definedName>
    <definedName function="false" hidden="true" name="IQ_US_BRANCHES_FOREIGN_BANKS_FDIC" vbProcedure="false">"c6390"</definedName>
    <definedName function="false" hidden="true" name="IQ_US_BRANCHES_FOREIGN_BANK_LOANS_FDIC" vbProcedure="false">"c6435"</definedName>
    <definedName function="false" hidden="true" name="IQ_US_GAAP" vbProcedure="false">"c1331"</definedName>
    <definedName function="false" hidden="true" name="IQ_US_GAAP_BASIC_EPS_EXCL" vbProcedure="false">"c2984"</definedName>
    <definedName function="false" hidden="true" name="IQ_US_GAAP_BASIC_EPS_INCL" vbProcedure="false">"c2982"</definedName>
    <definedName function="false" hidden="true" name="IQ_US_GAAP_BASIC_WEIGHT" vbProcedure="false">"c2980"</definedName>
    <definedName function="false" hidden="true" name="IQ_US_GAAP_CA" vbProcedure="false">"c2930"</definedName>
    <definedName function="false" hidden="true" name="IQ_US_GAAP_CASH_FINAN" vbProcedure="false">"c2945"</definedName>
    <definedName function="false" hidden="true" name="IQ_US_GAAP_CASH_FINAN_ADJ" vbProcedure="false">"c2941"</definedName>
    <definedName function="false" hidden="true" name="IQ_US_GAAP_CASH_INVEST" vbProcedure="false">"c2944"</definedName>
    <definedName function="false" hidden="true" name="IQ_US_GAAP_CASH_INVEST_ADJ" vbProcedure="false">"c2940"</definedName>
    <definedName function="false" hidden="true" name="IQ_US_GAAP_CASH_OPER" vbProcedure="false">"c2943"</definedName>
    <definedName function="false" hidden="true" name="IQ_US_GAAP_CASH_OPER_ADJ" vbProcedure="false">"c2939"</definedName>
    <definedName function="false" hidden="true" name="IQ_US_GAAP_CA_ADJ" vbProcedure="false">"c2925"</definedName>
    <definedName function="false" hidden="true" name="IQ_US_GAAP_CL" vbProcedure="false">"c2932"</definedName>
    <definedName function="false" hidden="true" name="IQ_US_GAAP_CL_ADJ" vbProcedure="false">"c2927"</definedName>
    <definedName function="false" hidden="true" name="IQ_US_GAAP_COST_REV" vbProcedure="false">"c2965"</definedName>
    <definedName function="false" hidden="true" name="IQ_US_GAAP_COST_REV_ADJ" vbProcedure="false">"c2951"</definedName>
    <definedName function="false" hidden="true" name="IQ_US_GAAP_DILUT_EPS_EXCL" vbProcedure="false">"c2985"</definedName>
    <definedName function="false" hidden="true" name="IQ_US_GAAP_DILUT_EPS_INCL" vbProcedure="false">"c2983"</definedName>
    <definedName function="false" hidden="true" name="IQ_US_GAAP_DILUT_NI" vbProcedure="false">"c2979"</definedName>
    <definedName function="false" hidden="true" name="IQ_US_GAAP_DILUT_WEIGHT" vbProcedure="false">"c2981"</definedName>
    <definedName function="false" hidden="true" name="IQ_US_GAAP_DO" vbProcedure="false">"c2973"</definedName>
    <definedName function="false" hidden="true" name="IQ_US_GAAP_DO_ADJ" vbProcedure="false">"c2959"</definedName>
    <definedName function="false" hidden="true" name="IQ_US_GAAP_EXTRA_ACC_ITEMS" vbProcedure="false">"c2972"</definedName>
    <definedName function="false" hidden="true" name="IQ_US_GAAP_EXTRA_ACC_ITEMS_ADJ" vbProcedure="false">"c2958"</definedName>
    <definedName function="false" hidden="true" name="IQ_US_GAAP_INC_TAX" vbProcedure="false">"c2975"</definedName>
    <definedName function="false" hidden="true" name="IQ_US_GAAP_INC_TAX_ADJ" vbProcedure="false">"c2961"</definedName>
    <definedName function="false" hidden="true" name="IQ_US_GAAP_INTEREST_EXP" vbProcedure="false">"c2971"</definedName>
    <definedName function="false" hidden="true" name="IQ_US_GAAP_INTEREST_EXP_ADJ" vbProcedure="false">"c2957"</definedName>
    <definedName function="false" hidden="true" name="IQ_US_GAAP_LIAB_LT" vbProcedure="false">"c2933"</definedName>
    <definedName function="false" hidden="true" name="IQ_US_GAAP_LIAB_LT_ADJ" vbProcedure="false">"c2928"</definedName>
    <definedName function="false" hidden="true" name="IQ_US_GAAP_LIAB_TOTAL_LIAB" vbProcedure="false">"c2933"</definedName>
    <definedName function="false" hidden="true" name="IQ_US_GAAP_MINORITY_INTEREST_IS" vbProcedure="false">"c2974"</definedName>
    <definedName function="false" hidden="true" name="IQ_US_GAAP_MINORITY_INTEREST_IS_ADJ" vbProcedure="false">"c2960"</definedName>
    <definedName function="false" hidden="true" name="IQ_US_GAAP_NCA" vbProcedure="false">"c2931"</definedName>
    <definedName function="false" hidden="true" name="IQ_US_GAAP_NCA_ADJ" vbProcedure="false">"c2926"</definedName>
    <definedName function="false" hidden="true" name="IQ_US_GAAP_NET_CHANGE" vbProcedure="false">"c2946"</definedName>
    <definedName function="false" hidden="true" name="IQ_US_GAAP_NET_CHANGE_ADJ" vbProcedure="false">"c2942"</definedName>
    <definedName function="false" hidden="true" name="IQ_US_GAAP_NI" vbProcedure="false">"c2976"</definedName>
    <definedName function="false" hidden="true" name="IQ_US_GAAP_NI_ADJ" vbProcedure="false">"c2963"</definedName>
    <definedName function="false" hidden="true" name="IQ_US_GAAP_NI_AVAIL_EXCL" vbProcedure="false">"c2977"</definedName>
    <definedName function="false" hidden="true" name="IQ_US_GAAP_NI_AVAIL_INCL" vbProcedure="false">"c2978"</definedName>
    <definedName function="false" hidden="true" name="IQ_US_GAAP_OTHER_ADJ_ADJ" vbProcedure="false">"c2962"</definedName>
    <definedName function="false" hidden="true" name="IQ_US_GAAP_OTHER_NON_OPER" vbProcedure="false">"c2969"</definedName>
    <definedName function="false" hidden="true" name="IQ_US_GAAP_OTHER_NON_OPER_ADJ" vbProcedure="false">"c2955"</definedName>
    <definedName function="false" hidden="true" name="IQ_US_GAAP_OTHER_OPER" vbProcedure="false">"c2968"</definedName>
    <definedName function="false" hidden="true" name="IQ_US_GAAP_OTHER_OPER_ADJ" vbProcedure="false">"c2954"</definedName>
    <definedName function="false" hidden="true" name="IQ_US_GAAP_RD" vbProcedure="false">"c2967"</definedName>
    <definedName function="false" hidden="true" name="IQ_US_GAAP_RD_ADJ" vbProcedure="false">"c2953"</definedName>
    <definedName function="false" hidden="true" name="IQ_US_GAAP_SGA" vbProcedure="false">"c2966"</definedName>
    <definedName function="false" hidden="true" name="IQ_US_GAAP_SGA_ADJ" vbProcedure="false">"c2952"</definedName>
    <definedName function="false" hidden="true" name="IQ_US_GAAP_TOTAL_ASSETS" vbProcedure="false">"c2931"</definedName>
    <definedName function="false" hidden="true" name="IQ_US_GAAP_TOTAL_EQUITY" vbProcedure="false">"c2934"</definedName>
    <definedName function="false" hidden="true" name="IQ_US_GAAP_TOTAL_EQUITY_ADJ" vbProcedure="false">"c2929"</definedName>
    <definedName function="false" hidden="true" name="IQ_US_GAAP_TOTAL_REV" vbProcedure="false">"c2964"</definedName>
    <definedName function="false" hidden="true" name="IQ_US_GAAP_TOTAL_REV_ADJ" vbProcedure="false">"c2950"</definedName>
    <definedName function="false" hidden="true" name="IQ_US_GAAP_TOTAL_UNUSUAL" vbProcedure="false">"c2970"</definedName>
    <definedName function="false" hidden="true" name="IQ_US_GAAP_TOTAL_UNUSUAL_ADJ" vbProcedure="false">"c2956"</definedName>
    <definedName function="false" hidden="true" name="IQ_US_GOVT_NON_TRANS_ACCTS_FFIEC" vbProcedure="false">"c15323"</definedName>
    <definedName function="false" hidden="true" name="IQ_US_GOVT_STATE_POLI_SUBD_IN_US_FOREIGN_DEP_FFIEC" vbProcedure="false">"c15346"</definedName>
    <definedName function="false" hidden="true" name="IQ_US_GOVT_TRANS_ACCTS_FFIEC" vbProcedure="false">"c15315"</definedName>
    <definedName function="false" hidden="true" name="IQ_US_GOV_AGENCIES_FDIC" vbProcedure="false">"c6395"</definedName>
    <definedName function="false" hidden="true" name="IQ_US_GOV_DEPOSITS_FDIC" vbProcedure="false">"c6483"</definedName>
    <definedName function="false" hidden="true" name="IQ_US_GOV_ENTERPRISES_FDIC" vbProcedure="false">"c6396"</definedName>
    <definedName function="false" hidden="true" name="IQ_US_GOV_NONCURRENT_LOANS_TOTAL_NONCURRENT_FDIC" vbProcedure="false">"c6779"</definedName>
    <definedName function="false" hidden="true" name="IQ_US_GOV_NONTRANSACTION_ACCOUNTS_FDIC" vbProcedure="false">"c6546"</definedName>
    <definedName function="false" hidden="true" name="IQ_US_GOV_OBLIGATIONS_FDIC" vbProcedure="false">"c6299"</definedName>
    <definedName function="false" hidden="true" name="IQ_US_GOV_SECURITIES_FDIC" vbProcedure="false">"c6297"</definedName>
    <definedName function="false" hidden="true" name="IQ_US_GOV_TOTAL_DEPOSITS_FDIC" vbProcedure="false">"c6472"</definedName>
    <definedName function="false" hidden="true" name="IQ_US_GOV_TRANSACTION_ACCOUNTS_FDIC" vbProcedure="false">"c6538"</definedName>
    <definedName function="false" hidden="true" name="IQ_US_INST_DUE_30_89_FFIEC" vbProcedure="false">"c13268"</definedName>
    <definedName function="false" hidden="true" name="IQ_US_INST_DUE_90_FFIEC" vbProcedure="false">"c13294"</definedName>
    <definedName function="false" hidden="true" name="IQ_US_INST_NON_ACCRUAL_FFIEC" vbProcedure="false">"c13320"</definedName>
    <definedName function="false" hidden="true" name="IQ_US_SPONSORED_AGENCY_OBLIG_AFS_AMORT_COST_FFIEC" vbProcedure="false">"c20491"</definedName>
    <definedName function="false" hidden="true" name="IQ_US_SPONSORED_AGENCY_OBLIG_AFS_FAIR_VAL_FFIEC" vbProcedure="false">"c20456"</definedName>
    <definedName function="false" hidden="true" name="IQ_US_SPONSORED_AGENCY_OBLIG_AVAIL_SALE_FFIEC" vbProcedure="false">"c12794"</definedName>
    <definedName function="false" hidden="true" name="IQ_US_SPONSORED_AGENCY_OBLIG_FFIEC" vbProcedure="false">"c12780"</definedName>
    <definedName function="false" hidden="true" name="IQ_US_SPONSORED_AGENCY_OBLIG_HTM_AMORT_COST_FFIEC" vbProcedure="false">"c20439"</definedName>
    <definedName function="false" hidden="true" name="IQ_US_SPONSORED_AGENCY_OBLIG_HTM_FAIR_VAL_FFIEC" vbProcedure="false">"c20474"</definedName>
    <definedName function="false" hidden="true" name="IQ_US_TREASURY_SECURITIES_FDIC" vbProcedure="false">"c6298"</definedName>
    <definedName function="false" hidden="true" name="IQ_US_TREASURY_SECURITIES_FFIEC" vbProcedure="false">"c12778"</definedName>
    <definedName function="false" hidden="true" name="IQ_US_TREASURY_SECURITIES_HTM_AMORT_COST_FFIEC" vbProcedure="false">"c20437"</definedName>
    <definedName function="false" hidden="true" name="IQ_US_TREASURY_SECURITIES_HTM_FAIR_VAL_FFIEC" vbProcedure="false">"c20472"</definedName>
    <definedName function="false" hidden="true" name="IQ_US_TREASURY_SEC_AFS_AMORT_COST_FFIEC" vbProcedure="false">"c20489"</definedName>
    <definedName function="false" hidden="true" name="IQ_US_TREASURY_SEC_AFS_FAIR_VAL_FFIEC" vbProcedure="false">"c20454"</definedName>
    <definedName function="false" hidden="true" name="IQ_US_TREASURY_SEC_AVAIL_SALE_FFIEC" vbProcedure="false">"c12792"</definedName>
    <definedName function="false" hidden="true" name="IQ_US_TREASURY_SEC_TRADING_DOM_FFIEC" vbProcedure="false">"c12918"</definedName>
    <definedName function="false" hidden="true" name="IQ_US_TREASURY_SEC_TRADING_FFIEC" vbProcedure="false">"c12813"</definedName>
    <definedName function="false" hidden="true" name="IQ_UTILITY_EXPENSE" vbProcedure="false">"c16031"</definedName>
    <definedName function="false" hidden="true" name="IQ_UTIL_PPE_NET" vbProcedure="false">"c1620"</definedName>
    <definedName function="false" hidden="true" name="IQ_UTIL_REV" vbProcedure="false">"c2091"</definedName>
    <definedName function="false" hidden="true" name="IQ_UV_PENSION_LIAB" vbProcedure="false">"c1332"</definedName>
    <definedName function="false" hidden="true" name="IQ_VALUATION_ALLOWANCES_FDIC" vbProcedure="false">"c6400"</definedName>
    <definedName function="false" hidden="true" name="IQ_VALUE_CUSTOMER_ASSETS" vbProcedure="false">"c20433"</definedName>
    <definedName function="false" hidden="true" name="IQ_VALUE_TRADED" vbProcedure="false">"c1519"</definedName>
    <definedName function="false" hidden="true" name="IQ_VALUE_TRADED_LAST_3MTH" vbProcedure="false">"c1530"</definedName>
    <definedName function="false" hidden="true" name="IQ_VALUE_TRADED_LAST_6MTH" vbProcedure="false">"c1531"</definedName>
    <definedName function="false" hidden="true" name="IQ_VALUE_TRADED_LAST_MTH" vbProcedure="false">"c1529"</definedName>
    <definedName function="false" hidden="true" name="IQ_VALUE_TRADED_LAST_WK" vbProcedure="false">"c1528"</definedName>
    <definedName function="false" hidden="true" name="IQ_VALUE_TRADED_LAST_YR" vbProcedure="false">"c1532"</definedName>
    <definedName function="false" hidden="true" name="IQ_VARIABLE_RATE_PREFERREDS_INT_SENSITIVITY_FFIEC" vbProcedure="false">"c13096"</definedName>
    <definedName function="false" hidden="true" name="IQ_VC_REVENUE_FDIC" vbProcedure="false">"c6667"</definedName>
    <definedName function="false" hidden="true" name="IQ_VC_REV_OPERATING_INC_FFIEC" vbProcedure="false">"c13388"</definedName>
    <definedName function="false" hidden="true" name="IQ_VEHICLE_ASSEMBLIES_LIGHT" vbProcedure="false">"c6905"</definedName>
    <definedName function="false" hidden="true" name="IQ_VEHICLE_ASSEMBLIES_LIGHT_APR" vbProcedure="false">"c7565"</definedName>
    <definedName function="false" hidden="true" name="IQ_VEHICLE_ASSEMBLIES_LIGHT_APR_FC" vbProcedure="false">"c8445"</definedName>
    <definedName function="false" hidden="true" name="IQ_VEHICLE_ASSEMBLIES_LIGHT_FC" vbProcedure="false">"c7785"</definedName>
    <definedName function="false" hidden="true" name="IQ_VEHICLE_ASSEMBLIES_LIGHT_NEW" vbProcedure="false">"c6925"</definedName>
    <definedName function="false" hidden="true" name="IQ_VEHICLE_ASSEMBLIES_LIGHT_NEW_APR" vbProcedure="false">"c7585"</definedName>
    <definedName function="false" hidden="true" name="IQ_VEHICLE_ASSEMBLIES_LIGHT_NEW_APR_FC" vbProcedure="false">"c8465"</definedName>
    <definedName function="false" hidden="true" name="IQ_VEHICLE_ASSEMBLIES_LIGHT_NEW_FC" vbProcedure="false">"c7805"</definedName>
    <definedName function="false" hidden="true" name="IQ_VEHICLE_ASSEMBLIES_LIGHT_NEW_POP" vbProcedure="false">"c7145"</definedName>
    <definedName function="false" hidden="true" name="IQ_VEHICLE_ASSEMBLIES_LIGHT_NEW_POP_FC" vbProcedure="false">"c8025"</definedName>
    <definedName function="false" hidden="true" name="IQ_VEHICLE_ASSEMBLIES_LIGHT_NEW_YOY" vbProcedure="false">"c7365"</definedName>
    <definedName function="false" hidden="true" name="IQ_VEHICLE_ASSEMBLIES_LIGHT_NEW_YOY_FC" vbProcedure="false">"c8245"</definedName>
    <definedName function="false" hidden="true" name="IQ_VEHICLE_ASSEMBLIES_LIGHT_POP" vbProcedure="false">"c7125"</definedName>
    <definedName function="false" hidden="true" name="IQ_VEHICLE_ASSEMBLIES_LIGHT_POP_FC" vbProcedure="false">"c8005"</definedName>
    <definedName function="false" hidden="true" name="IQ_VEHICLE_ASSEMBLIES_LIGHT_YOY" vbProcedure="false">"c7345"</definedName>
    <definedName function="false" hidden="true" name="IQ_VEHICLE_ASSEMBLIES_LIGHT_YOY_FC" vbProcedure="false">"c8225"</definedName>
    <definedName function="false" hidden="true" name="IQ_VEHICLE_ASSEMBLIES_TOTAL" vbProcedure="false">"c7020"</definedName>
    <definedName function="false" hidden="true" name="IQ_VEHICLE_ASSEMBLIES_TOTAL_APR" vbProcedure="false">"c7680"</definedName>
    <definedName function="false" hidden="true" name="IQ_VEHICLE_ASSEMBLIES_TOTAL_APR_FC" vbProcedure="false">"c8560"</definedName>
    <definedName function="false" hidden="true" name="IQ_VEHICLE_ASSEMBLIES_TOTAL_FC" vbProcedure="false">"c7900"</definedName>
    <definedName function="false" hidden="true" name="IQ_VEHICLE_ASSEMBLIES_TOTAL_POP" vbProcedure="false">"c7240"</definedName>
    <definedName function="false" hidden="true" name="IQ_VEHICLE_ASSEMBLIES_TOTAL_POP_FC" vbProcedure="false">"c8120"</definedName>
    <definedName function="false" hidden="true" name="IQ_VEHICLE_ASSEMBLIES_TOTAL_YOY" vbProcedure="false">"c7460"</definedName>
    <definedName function="false" hidden="true" name="IQ_VEHICLE_ASSEMBLIES_TOTAL_YOY_FC" vbProcedure="false">"c8340"</definedName>
    <definedName function="false" hidden="true" name="IQ_VEHICLE_LOANS" vbProcedure="false">"c15249"</definedName>
    <definedName function="false" hidden="true" name="IQ_VENTURE_CAPITAL_REVENUE_FFIEC" vbProcedure="false">"c13010"</definedName>
    <definedName function="false" hidden="true" name="IQ_VIF_AFTER_COST_CAPITAL_COVERED" vbProcedure="false">"c9966"</definedName>
    <definedName function="false" hidden="true" name="IQ_VIF_AFTER_COST_CAPITAL_GROUP" vbProcedure="false">"c9952"</definedName>
    <definedName function="false" hidden="true" name="IQ_VIF_BEFORE_COST_CAPITAL_COVERED" vbProcedure="false">"c9964"</definedName>
    <definedName function="false" hidden="true" name="IQ_VIF_BEFORE_COST_CAPITAL_GROUP" vbProcedure="false">"c9950"</definedName>
    <definedName function="false" hidden="true" name="IQ_VOICE_SUB_BASIC_SUB" vbProcedure="false">"c16203"</definedName>
    <definedName function="false" hidden="true" name="IQ_VOICE_SUB_TOTAL_HOMES_PASSED" vbProcedure="false">"c15770"</definedName>
    <definedName function="false" hidden="true" name="IQ_VOICE_SUB_VIDEO_SUB" vbProcedure="false">"c15789"</definedName>
    <definedName function="false" hidden="true" name="IQ_VOLATILE_LIABILITIES_FDIC" vbProcedure="false">"c6364"</definedName>
    <definedName function="false" hidden="true" name="IQ_VOLUME" vbProcedure="false">"c1333"</definedName>
    <definedName function="false" hidden="true" name="IQ_VOL_LAST_3MTH" vbProcedure="false">"c1525"</definedName>
    <definedName function="false" hidden="true" name="IQ_VOL_LAST_6MTH" vbProcedure="false">"c1526"</definedName>
    <definedName function="false" hidden="true" name="IQ_VOL_LAST_MTH" vbProcedure="false">"c1524"</definedName>
    <definedName function="false" hidden="true" name="IQ_VOL_LAST_WK" vbProcedure="false">"c1523"</definedName>
    <definedName function="false" hidden="true" name="IQ_VOL_LAST_YR" vbProcedure="false">"c1527"</definedName>
    <definedName function="false" hidden="true" name="IQ_VWAP" vbProcedure="false">"c13514"</definedName>
    <definedName function="false" hidden="true" name="IQ_WAC_CURRENT" vbProcedure="false">"c8961"</definedName>
    <definedName function="false" hidden="true" name="IQ_WAC_ORIGINAL" vbProcedure="false">"c8953"</definedName>
    <definedName function="false" hidden="true" name="IQ_WAM_CURRENT" vbProcedure="false">"c8962"</definedName>
    <definedName function="false" hidden="true" name="IQ_WAM_ORIGINAL" vbProcedure="false">"c8952"</definedName>
    <definedName function="false" hidden="true" name="IQ_WARRANTS_BEG_OS" vbProcedure="false">"c2698"</definedName>
    <definedName function="false" hidden="true" name="IQ_WARRANTS_CANCELLED" vbProcedure="false">"c2701"</definedName>
    <definedName function="false" hidden="true" name="IQ_WARRANTS_END_OS" vbProcedure="false">"c2702"</definedName>
    <definedName function="false" hidden="true" name="IQ_WARRANTS_EXERCISED" vbProcedure="false">"c2700"</definedName>
    <definedName function="false" hidden="true" name="IQ_WARRANTS_ISSUED" vbProcedure="false">"c2699"</definedName>
    <definedName function="false" hidden="true" name="IQ_WARRANTS_STRIKE_PRICE_ISSUED" vbProcedure="false">"c2704"</definedName>
    <definedName function="false" hidden="true" name="IQ_WARRANTS_STRIKE_PRICE_OS" vbProcedure="false">"c2703"</definedName>
    <definedName function="false" hidden="true" name="IQ_WEEK" vbProcedure="false">50000</definedName>
    <definedName function="false" hidden="true" name="IQ_WEIGHTED_AVG_PRICE" vbProcedure="false">"c1334"</definedName>
    <definedName function="false" hidden="true" name="IQ_WHOLESALE_INVENTORIES" vbProcedure="false">"c7027"</definedName>
    <definedName function="false" hidden="true" name="IQ_WHOLESALE_INVENTORIES_APR" vbProcedure="false">"c7687"</definedName>
    <definedName function="false" hidden="true" name="IQ_WHOLESALE_INVENTORIES_APR_FC" vbProcedure="false">"c8567"</definedName>
    <definedName function="false" hidden="true" name="IQ_WHOLESALE_INVENTORIES_FC" vbProcedure="false">"c7907"</definedName>
    <definedName function="false" hidden="true" name="IQ_WHOLESALE_INVENTORIES_POP" vbProcedure="false">"c7247"</definedName>
    <definedName function="false" hidden="true" name="IQ_WHOLESALE_INVENTORIES_POP_FC" vbProcedure="false">"c8127"</definedName>
    <definedName function="false" hidden="true" name="IQ_WHOLESALE_INVENTORIES_YOY" vbProcedure="false">"c7467"</definedName>
    <definedName function="false" hidden="true" name="IQ_WHOLESALE_INVENTORIES_YOY_FC" vbProcedure="false">"c8347"</definedName>
    <definedName function="false" hidden="true" name="IQ_WHOLESALE_IS_RATIO" vbProcedure="false">"c7026"</definedName>
    <definedName function="false" hidden="true" name="IQ_WHOLESALE_IS_RATIO_FC" vbProcedure="false">"c7906"</definedName>
    <definedName function="false" hidden="true" name="IQ_WHOLESALE_IS_RATIO_POP" vbProcedure="false">"c7246"</definedName>
    <definedName function="false" hidden="true" name="IQ_WHOLESALE_IS_RATIO_POP_FC" vbProcedure="false">"c8126"</definedName>
    <definedName function="false" hidden="true" name="IQ_WHOLESALE_IS_RATIO_YOY" vbProcedure="false">"c7466"</definedName>
    <definedName function="false" hidden="true" name="IQ_WHOLESALE_IS_RATIO_YOY_FC" vbProcedure="false">"c8346"</definedName>
    <definedName function="false" hidden="true" name="IQ_WHOLESALE_SALES" vbProcedure="false">"c7028"</definedName>
    <definedName function="false" hidden="true" name="IQ_WHOLESALE_SALES_APR" vbProcedure="false">"c7688"</definedName>
    <definedName function="false" hidden="true" name="IQ_WHOLESALE_SALES_APR_FC" vbProcedure="false">"c8568"</definedName>
    <definedName function="false" hidden="true" name="IQ_WHOLESALE_SALES_FC" vbProcedure="false">"c7908"</definedName>
    <definedName function="false" hidden="true" name="IQ_WHOLESALE_SALES_INDEX" vbProcedure="false">"c7029"</definedName>
    <definedName function="false" hidden="true" name="IQ_WHOLESALE_SALES_INDEX_APR" vbProcedure="false">"c7689"</definedName>
    <definedName function="false" hidden="true" name="IQ_WHOLESALE_SALES_INDEX_APR_FC" vbProcedure="false">"c8569"</definedName>
    <definedName function="false" hidden="true" name="IQ_WHOLESALE_SALES_INDEX_FC" vbProcedure="false">"c7909"</definedName>
    <definedName function="false" hidden="true" name="IQ_WHOLESALE_SALES_INDEX_POP" vbProcedure="false">"c7249"</definedName>
    <definedName function="false" hidden="true" name="IQ_WHOLESALE_SALES_INDEX_POP_FC" vbProcedure="false">"c8129"</definedName>
    <definedName function="false" hidden="true" name="IQ_WHOLESALE_SALES_INDEX_YOY" vbProcedure="false">"c7469"</definedName>
    <definedName function="false" hidden="true" name="IQ_WHOLESALE_SALES_INDEX_YOY_FC" vbProcedure="false">"c8349"</definedName>
    <definedName function="false" hidden="true" name="IQ_WHOLESALE_SALES_POP" vbProcedure="false">"c7248"</definedName>
    <definedName function="false" hidden="true" name="IQ_WHOLESALE_SALES_POP_FC" vbProcedure="false">"c8128"</definedName>
    <definedName function="false" hidden="true" name="IQ_WHOLESALE_SALES_YOY" vbProcedure="false">"c7468"</definedName>
    <definedName function="false" hidden="true" name="IQ_WHOLESALE_SALES_YOY_FC" vbProcedure="false">"c8348"</definedName>
    <definedName function="false" hidden="true" name="IQ_WIP_INV" vbProcedure="false">"c1335"</definedName>
    <definedName function="false" hidden="true" name="IQ_WIRELESS_PENETRATION" vbProcedure="false">"c15767"</definedName>
    <definedName function="false" hidden="true" name="IQ_WORKING_CAP" vbProcedure="false">"c3494"</definedName>
    <definedName function="false" hidden="true" name="IQ_WORKMEN_WRITTEN" vbProcedure="false">"c1336"</definedName>
    <definedName function="false" hidden="true" name="IQ_WRITTEN_OPTION_CONTRACTS_FDIC" vbProcedure="false">"c6509"</definedName>
    <definedName function="false" hidden="true" name="IQ_WRITTEN_OPTION_CONTRACTS_FX_RISK_FDIC" vbProcedure="false">"c6514"</definedName>
    <definedName function="false" hidden="true" name="IQ_WRITTEN_OPTION_CONTRACTS_NON_FX_IR_FDIC" vbProcedure="false">"c6519"</definedName>
    <definedName function="false" hidden="true" name="IQ_WTD_AVG_IR_AFTER_FIVE" vbProcedure="false">"c15700"</definedName>
    <definedName function="false" hidden="true" name="IQ_WTD_AVG_IR_CY" vbProcedure="false">"c15695"</definedName>
    <definedName function="false" hidden="true" name="IQ_WTD_AVG_IR_CY1" vbProcedure="false">"c15696"</definedName>
    <definedName function="false" hidden="true" name="IQ_WTD_AVG_IR_CY2" vbProcedure="false">"c15697"</definedName>
    <definedName function="false" hidden="true" name="IQ_WTD_AVG_IR_CY3" vbProcedure="false">"c15698"</definedName>
    <definedName function="false" hidden="true" name="IQ_WTD_AVG_IR_CY4" vbProcedure="false">"c15699"</definedName>
    <definedName function="false" hidden="true" name="IQ_WTD_AVG_IR_LT_DEBT" vbProcedure="false">"c15693"</definedName>
    <definedName function="false" hidden="true" name="IQ_WTD_AVG_IR_TOTAL_DEBT" vbProcedure="false">"c15694"</definedName>
    <definedName function="false" hidden="true" name="IQ_XDIV_DATE" vbProcedure="false">"c2104"</definedName>
    <definedName function="false" hidden="true" name="IQ_XDIV_DATE_LIST" vbProcedure="false">"c17416"</definedName>
    <definedName function="false" hidden="true" name="IQ_YEARHIGH" vbProcedure="false">"c1337"</definedName>
    <definedName function="false" hidden="true" name="IQ_YEARHIGH_DATE" vbProcedure="false">"c2250"</definedName>
    <definedName function="false" hidden="true" name="IQ_YEARHIGH_RT" vbProcedure="false">"YEARHIGH"</definedName>
    <definedName function="false" hidden="true" name="IQ_YEARLOW" vbProcedure="false">"c1338"</definedName>
    <definedName function="false" hidden="true" name="IQ_YEARLOW_DATE" vbProcedure="false">"c2251"</definedName>
    <definedName function="false" hidden="true" name="IQ_YEARLOW_RT" vbProcedure="false">"YEARLOW"</definedName>
    <definedName function="false" hidden="true" name="IQ_YEAR_FOUNDED" vbProcedure="false">"c6793"</definedName>
    <definedName function="false" hidden="true" name="IQ_YIELD_CURVE_LIST" vbProcedure="false">"c19250"</definedName>
    <definedName function="false" hidden="true" name="IQ_YIELD_FED_FUNDS_SOLD_FFIEC" vbProcedure="false">"c13487"</definedName>
    <definedName function="false" hidden="true" name="IQ_YIELD_TRADING_ASSETS_FFIEC" vbProcedure="false">"c13488"</definedName>
    <definedName function="false" hidden="true" name="IQ_YTD" vbProcedure="false">3000</definedName>
    <definedName function="false" hidden="true" name="IQ_YTDMONTH" vbProcedure="false">130000</definedName>
    <definedName function="false" hidden="true" name="IQ_YTW" vbProcedure="false">"c2163"</definedName>
    <definedName function="false" hidden="true" name="IQ_YTW_DATE" vbProcedure="false">"c2164"</definedName>
    <definedName function="false" hidden="true" name="IQ_YTW_DATE_TYPE" vbProcedure="false">"c2165"</definedName>
    <definedName function="false" hidden="true" name="IQ_Z_SCORE" vbProcedure="false">"c1339"</definedName>
    <definedName function="false" hidden="true" name="IsColHidden" vbProcedure="false">FALSE()</definedName>
    <definedName function="false" hidden="true" name="IsLTMColHidden" vbProcedure="false">FALSE()</definedName>
    <definedName function="false" hidden="true" name="ISS_DEBT_NET" vbProcedure="false">"ISS_DEBT_NET"</definedName>
    <definedName function="false" hidden="true" name="ISS_STOCK_NET" vbProcedure="false">"ISS_STOCK_NET"</definedName>
    <definedName function="false" hidden="true" name="iu" vbProcedure="false">{"summary",#N/A,FALSE,"Summary";"transaction",#N/A,FALSE,"Transaction";"sales",#N/A,FALSE,"Sales";"sales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function="false" hidden="true" name="j" vbProcedure="false">{"'Directory'!$A$72:$E$91"}</definedName>
    <definedName function="false" hidden="true" name="jeff" vbProcedure="false">{#N/A,#N/A,FALSE,"Qtr Results";#N/A,#N/A,FALSE,"Same Hospital";#N/A,#N/A,FALSE,"Quarterly Earnings Model";#N/A,#N/A,FALSE,"Annual Model"}</definedName>
    <definedName function="false" hidden="true" name="jh" vbProcedure="false">{"Build1",#N/A,FALSE,"Buildup";"Build2",#N/A,FALSE,"Buildup";"Build3",#N/A,FALSE,"Buildup"}</definedName>
    <definedName function="false" hidden="true" name="jhjh"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jim" vbProcedure="false">{"'Directory'!$A$72:$E$91"}</definedName>
    <definedName function="false" hidden="true" name="jj" vbProcedure="false">{"Header",#N/A,TRUE,"Summary";"ProjectInfo",#N/A,TRUE,"Total Value"}</definedName>
    <definedName function="false" hidden="true" name="jkkjh" vbProcedure="false">{"'Server Configuration'!$A$1:$DB$281"}</definedName>
    <definedName function="false" hidden="true" name="jrtmr5n" vbProcedure="false">{#N/A,#N/A,TRUE,"Summary";#N/A,#N/A,TRUE,"Detail"}</definedName>
    <definedName function="false" hidden="true" name="jrwrhtherherth"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jtyj" vbProcedure="false">{0}</definedName>
    <definedName function="false" hidden="true" name="jufn" vbProcedure="false">{"stepel",#N/A,FALSE,"AHFSTEP"}</definedName>
    <definedName function="false" hidden="true" name="junkme" vbProcedure="false">{#N/A,#N/A,TRUE,"Status Report";#N/A,#N/A,TRUE,"Current Forecast";#N/A,#N/A,TRUE,"Last Forecast";#N/A,#N/A,TRUE,"BP";#N/A,#N/A,TRUE,"LY"}</definedName>
    <definedName function="false" hidden="true" name="jysryjwr"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K2_WBEVMODE" vbProcedure="false">-1</definedName>
    <definedName function="false" hidden="true" name="kasdkaksdkas"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kasdkjdjsdjk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kij"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KIT" vbProcedure="false">{"equity comps",#N/A,FALSE,"CS Comps";"equity comps",#N/A,FALSE,"PS Comps";"equity comps",#N/A,FALSE,"GIC_Comps";"equity comps",#N/A,FALSE,"GIC2_Comps"}</definedName>
    <definedName function="false" hidden="true" name="kj" vbProcedure="false">{"summary",#N/A,FALSE,"Summary";"transaction",#N/A,FALSE,"Transaction";"sales",#N/A,FALSE,"Sales";"sales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function="false" hidden="true" name="kk" vbProcedure="false">{"Header",#N/A,TRUE,"Summary";"ProjectInfo",#N/A,TRUE,"Total Value"}</definedName>
    <definedName function="false" hidden="true" name="kkk" vbProcedure="false">{#N/A,#N/A,FALSE,"pl";#N/A,#N/A,FALSE,"bs";#N/A,#N/A,FALSE,"fundflow"}</definedName>
    <definedName function="false" hidden="true" name="kkkkkkk"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name="kkl" vbProcedure="false">{"'Customer Support Trends'!$A$1:$AB$13"}</definedName>
    <definedName function="false" hidden="true" name="kol" vbProcedure="false">{"away stand alones",#N/A,FALSE,"Target"}</definedName>
    <definedName function="false" hidden="true" name="ksadfkasefkqwer"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ku" vbProcedure="false">{"sales",#N/A,FALSE,"Sales";"sales existing",#N/A,FALSE,"Sales";"sales rd1",#N/A,FALSE,"Sales";"sales rd2",#N/A,FALSE,"Sales"}</definedName>
    <definedName function="false" hidden="true" name="kyd.CounterLimitCell.01." vbProcedure="false">"x"</definedName>
    <definedName function="false" hidden="true" name="kyd.Dim.01." vbProcedure="false">"s8uk:M-2006"</definedName>
    <definedName function="false" hidden="true" name="kyd.ElementType.01." vbProcedure="false">3</definedName>
    <definedName function="false" hidden="true" name="kyd.FileSaveDir." vbProcedure="false">"S:\Angela\2006\Ad Hoc Request\Plan 06 Sch\"</definedName>
    <definedName function="false" hidden="true" name="kyd.ItemType.01." vbProcedure="false">2</definedName>
    <definedName function="false" hidden="true" name="kyd.KillLinks." vbProcedure="false">1</definedName>
    <definedName function="false" hidden="true" name="kyd.MacroAtEnd." vbProcedure="false">""</definedName>
    <definedName function="false" hidden="true" name="kyd.MacroEachCycle." vbProcedure="false">""</definedName>
    <definedName function="false" hidden="true" name="kyd.MacroEndOfEachCycle." vbProcedure="false">""</definedName>
    <definedName function="false" hidden="true" name="kyd.MemoSortHide." vbProcedure="false">FALSE()</definedName>
    <definedName function="false" hidden="true" name="kyd.NumLevels.01." vbProcedure="false">1</definedName>
    <definedName function="false" hidden="true" name="kyd.PanicStop." vbProcedure="false">FALSE()</definedName>
    <definedName function="false" hidden="true" name="kyd.ParentName.01." vbProcedure="false">""</definedName>
    <definedName function="false" hidden="true" name="kyd.Password." vbProcedure="false">""</definedName>
    <definedName function="false" hidden="true" name="kyd.PreScreenData." vbProcedure="false">FALSE()</definedName>
    <definedName function="false" hidden="true" name="kyd.PrintActionOptn." vbProcedure="false">1</definedName>
    <definedName function="false" hidden="true" name="kyd.PrintMemo." vbProcedure="false">FALSE()</definedName>
    <definedName function="false" hidden="true" name="kyd.PrintParent.01." vbProcedure="false">TRUE()</definedName>
    <definedName function="false" hidden="true" name="kyd.PrintStdWhen." vbProcedure="false">3</definedName>
    <definedName function="false" hidden="true" name="kyd.ProtWbkStruct." vbProcedure="false">-4146</definedName>
    <definedName function="false" hidden="true" name="kyd.ProtWbkWin." vbProcedure="false">-4146</definedName>
    <definedName function="false" hidden="true" name="kyd.ReplaceFile." vbProcedure="false">1</definedName>
    <definedName function="false" hidden="true" name="kyd.SaveAsFile." vbProcedure="false">TRUE()</definedName>
    <definedName function="false" hidden="true" name="kyd.SaveCopy." vbProcedure="false">1</definedName>
    <definedName function="false" hidden="true" name="kyd.SaveMemo." vbProcedure="false">FALSE()</definedName>
    <definedName function="false" hidden="true" name="kyd.SelectString.01." vbProcedure="false">"*"</definedName>
    <definedName function="false" hidden="true" name="kyd.StdHasFooterRow." vbProcedure="false">-4146</definedName>
    <definedName function="false" hidden="true" name="kyd.StdHasHeaderRow." vbProcedure="false">-4146</definedName>
    <definedName function="false" hidden="true" name="kyd.StdRecalcAfterSort." vbProcedure="false">1</definedName>
    <definedName function="false" hidden="true" name="kyd.StdSortHide." vbProcedure="false">FALSE()</definedName>
    <definedName function="false" hidden="true" name="kyd.StdSortRpt1." vbProcedure="false">2</definedName>
    <definedName function="false" hidden="true" name="kyd.StdSortRpt2." vbProcedure="false">1</definedName>
    <definedName function="false" hidden="true" name="kyd.StdSortRpt3." vbProcedure="false">1</definedName>
    <definedName function="false" hidden="true" name="kyd.StdSortRptList1." vbProcedure="false">"Column V"</definedName>
    <definedName function="false" hidden="true" name="kyd.StdSortRptList2." vbProcedure="false">""</definedName>
    <definedName function="false" hidden="true" name="kyd.StdSortRptList3." vbProcedure="false">""</definedName>
    <definedName function="false" hidden="true" name="kyd.StopRow." vbProcedure="false">65536</definedName>
    <definedName function="false" hidden="true" name="kyd.WriteMemWhenOptn." vbProcedure="false">3</definedName>
    <definedName function="false" hidden="true" name="k_1" vbProcedure="false">{"DCF","UPSIDE CASE",FALSE,"Sheet1";"DCF","BASE CASE",FALSE,"Sheet1";"DCF","DOWNSIDE CASE",FALSE,"Sheet1"}</definedName>
    <definedName function="false" hidden="true" name="LASTSALEPRICE" vbProcedure="false">"LASTSALEPRICE"</definedName>
    <definedName function="false" hidden="true" name="LAST_EBITDA_MARGIN" vbProcedure="false">"LAST_EBITDA_MARGIN"</definedName>
    <definedName function="false" hidden="true" name="LAST_EBIT_MARGIN" vbProcedure="false">"LAST_EBIT_MARGIN"</definedName>
    <definedName function="false" hidden="true" name="LAST_GROSS_MARGIN" vbProcedure="false">"LAST_GROSS_MARGIN"</definedName>
    <definedName function="false" hidden="true" name="LAST_NET_INC_MARGIN" vbProcedure="false">"LAST_NET_INC_MARGIN"</definedName>
    <definedName function="false" hidden="true" name="LATESTK" vbProcedure="false">1000</definedName>
    <definedName function="false" hidden="true" name="LATESTKNONPRESS" vbProcedure="false">50</definedName>
    <definedName function="false" hidden="true" name="LATESTQ" vbProcedure="false">500</definedName>
    <definedName function="false" hidden="true" name="LATESTQNONPRESS" vbProcedure="false">100</definedName>
    <definedName function="false" hidden="true" name="LBOCreditConsol" vbProcedure="false">{"FCB_ALL",#N/A,FALSE,"FCB"}</definedName>
    <definedName function="false" hidden="true" name="le" vbProcedure="false">{"CF_YEARLY",#N/A,FALSE,"CF";"CF_Y1",#N/A,FALSE,"CF";"CF_Y2",#N/A,FALSE,"CF";"CF_Y3",#N/A,FALSE,"CF";"CF_Y4",#N/A,FALSE,"CF";"CF_Y5",#N/A,FALSE,"CF";"CF_Y6",#N/A,FALSE,"CF"}</definedName>
    <definedName function="false" hidden="true" name="LEC"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li" vbProcedure="false">{"sales",#N/A,FALSE,"Sales";"sales existing",#N/A,FALSE,"Sales";"sales rd1",#N/A,FALSE,"Sales";"sales rd2",#N/A,FALSE,"Sales"}</definedName>
    <definedName function="false" hidden="true" name="Life" vbProcedure="false">{"'webcensus'!$A$1:$G$34","'webcensus'!$A$1:$G$33"}</definedName>
    <definedName function="false" hidden="true" name="limcount" vbProcedure="false">1</definedName>
    <definedName function="false" hidden="true" name="List" vbProcedure="false">#REF!</definedName>
    <definedName function="false" hidden="true" name="ListOffset" vbProcedure="false">1</definedName>
    <definedName function="false" hidden="true" name="LKK" vbProcedure="false">{#N/A,#N/A,FALSE,"ARCSTEP"}</definedName>
    <definedName function="false" hidden="true" name="ll" vbProcedure="false">{"Header",#N/A,TRUE,"Summary";"ProjectInfo",#N/A,TRUE,"Total Value"}</definedName>
    <definedName function="false" hidden="true" name="llllllllllll" vbProcedure="false">{0}</definedName>
    <definedName function="false" hidden="true" name="LOAN_LOSS" vbProcedure="false">"LOAN_LOSS"</definedName>
    <definedName function="false" hidden="true" name="LONG_TERM_DEBT" vbProcedure="false">"LONG_TERM_DEBT"</definedName>
    <definedName function="false" hidden="true" name="LONG_TERM_INV" vbProcedure="false">"LONG_TERM_INV"</definedName>
    <definedName function="false" hidden="true" name="LOWPRICE" vbProcedure="false">"LOWPRICE"</definedName>
    <definedName function="false" hidden="true" name="LTM_DATE" vbProcedure="false">"LTM_DATE"</definedName>
    <definedName function="false" hidden="true" name="LTM_REVENUE_OVER_EMPLOYEES" vbProcedure="false">"LTM_REVENUE_OVER_EMPLOYEES"</definedName>
    <definedName function="false" hidden="true" name="lynn" vbProcedure="false">{#N/A,#N/A,FALSE,"Consolidated Financials";#N/A,#N/A,FALSE,"US Mkt";#N/A,#N/A,FALSE,"Eur Mkt"}</definedName>
    <definedName function="false" hidden="true" name="lynn1" vbProcedure="false">{#N/A,#N/A,FALSE,"Inputs-Results"}</definedName>
    <definedName function="false" hidden="true" name="lynn2" vbProcedure="false">{#N/A,#N/A,FALSE,"Consolidated Financials";#N/A,#N/A,FALSE,"US Mkt";#N/A,#N/A,FALSE,"Eur Mkt"}</definedName>
    <definedName function="false" hidden="true" name="Main_5" vbProcedure="false">{#N/A,#N/A,FALSE,"Aging Summary";#N/A,#N/A,FALSE,"Ratio Analysis";#N/A,#N/A,FALSE,"Test 120 Day Accts";#N/A,#N/A,FALSE,"Tickmarks"}</definedName>
    <definedName function="false" hidden="true" name="MARKETCAP" vbProcedure="false">"MARKETCAP"</definedName>
    <definedName function="false" hidden="true" name="marketing" vbProcedure="false">{#N/A,#N/A,FALSE,"MKTSUM95";#N/A,#N/A,FALSE,"MKTADM95";#N/A,#N/A,FALSE,"MKTD&amp;C95";#N/A,#N/A,FALSE,"MKTPRD95";#N/A,#N/A,FALSE,"MKTCHL95"}</definedName>
    <definedName function="false" hidden="true" name="mb_inputLocation" vbProcedure="false">#REF!</definedName>
    <definedName function="false" hidden="true" name="Mean" vbProcedure="false">#REF!</definedName>
    <definedName function="false" hidden="true" name="Meh" vbProcedure="false">{#N/A,"Base Case",FALSE,"Revenue";#N/A,"£6.25 Fee",FALSE,"Revenue"}</definedName>
    <definedName function="false" hidden="true" name="MerrillPrintIt" vbProcedure="false">#REF!</definedName>
    <definedName function="false" hidden="true" name="MEWarning" vbProcedure="false">1</definedName>
    <definedName function="false" hidden="true" name="mike" vbProcedure="false">{#N/A,#N/A,FALSE,"PR-CIF";#N/A,#N/A,FALSE,"PR-Vol";#N/A,#N/A,FALSE,"PR-Comp";#N/A,#N/A,FALSE,"PR-GM";#N/A,#N/A,FALSE,"PR-OpExp";#N/A,#N/A,FALSE,"PR-Adj";#N/A,#N/A,FALSE,"PR-Tax";#N/A,#N/A,FALSE,"PR-DCF"}</definedName>
    <definedName function="false" hidden="true" name="MINORITY_INTEREST" vbProcedure="false">"MINORITY_INTEREST"</definedName>
    <definedName function="false" hidden="true" name="MISC_EARN_ADJ" vbProcedure="false">"MISC_EARN_ADJ"</definedName>
    <definedName function="false" hidden="true" name="mj" vbProcedure="false">{"summary",#N/A,FALSE,"Summary";"transaction",#N/A,FALSE,"Transaction";"sales",#N/A,FALSE,"Sales";"sales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function="false" hidden="true" name="mm" vbProcedure="false">{"Header",#N/A,TRUE,"Summary";"ProjectInfo",#N/A,TRUE,"Total Value"}</definedName>
    <definedName function="false" hidden="true" name="mmm" vbProcedure="false">{"AnnMarg",#N/A,FALSE,"FALCON";"Q",#N/A,FALSE,"Qtrs."}</definedName>
    <definedName function="false" hidden="true" name="mn" vbProcedure="false">{"sales",#N/A,FALSE,"Sales";"sales existing",#N/A,FALSE,"Sales";"sales rd1",#N/A,FALSE,"Sales";"sales rd2",#N/A,FALSE,"Sales"}</definedName>
    <definedName function="false" hidden="true" name="Mosaic" vbProcedure="false">{"FCST_byMonth",#N/A,FALSE,"Legal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function="false" hidden="true" name="M_PlaceofPath" vbProcedure="false">"G:\SECTORS\Household\HOUSEHOL\WILKE\GILLETTE\GENERAL\G_VDF.xls"</definedName>
    <definedName function="false" hidden="true" name="n" vbProcedure="false">{#N/A,#N/A,FALSE,"Calc";#N/A,#N/A,FALSE,"Sensitivity";#N/A,#N/A,FALSE,"LT Earn.Dil.";#N/A,#N/A,FALSE,"Dil. AVP"}</definedName>
    <definedName function="false" hidden="true" name="name" vbProcedure="false">{#N/A,"BA",TRUE,"PracTemplate";#N/A,"Custom",TRUE,"PracTemplate";#N/A,"BI",TRUE,"PracTemplate";#N/A,"SupplyChain",TRUE,"PracTemplate";#N/A,"Web",TRUE,"PracTemplate";#N/A,"ClientSvcs",TRUE,"PracTemplate";#N/A,"CRM",TRUE,"PracTemplate";#N/A,"LA",TRUE,"PracTemplate";#N/A,"Seattle",TRUE,"PracTemplate";#N/A,"ASP",TRUE,"PracTemplate";#N/A,"Resale",TRUE,"PracTemplate"}</definedName>
    <definedName function="false" hidden="true" name="name2" vbProcedure="false">{#N/A,"BA",TRUE,"PracTemplate";#N/A,"Custom",TRUE,"PracTemplate";#N/A,"BI",TRUE,"PracTemplate";#N/A,"SupplyChain",TRUE,"PracTemplate";#N/A,"Web",TRUE,"PracTemplate";#N/A,"ClientSvcs",TRUE,"PracTemplate";#N/A,"CRM",TRUE,"PracTemplate";#N/A,"LA",TRUE,"PracTemplate";#N/A,"Seattle",TRUE,"PracTemplate";#N/A,"ASP",TRUE,"PracTemplate";#N/A,"Resale",TRUE,"PracTemplate"}</definedName>
    <definedName function="false" hidden="true" name="namekg" vbProcedure="false">{#VALUE!,0,FALSE,0;#N/A,0,FALSE,0;#N/A,0,FALSE,0;#N/A,0,FALSE,0;#N/A,0,FALSE,0;#N/A,0,FALSE,0}</definedName>
    <definedName function="false" hidden="true" name="NAV" vbProcedure="false">{#N/A,#N/A,FALSE,"SAFILOR"}</definedName>
    <definedName function="false" hidden="true" name="NBM" vbProcedure="false">{#N/A,#N/A,TRUE,"AHFSTEP"}</definedName>
    <definedName function="false" hidden="true" name="NET_CHANGE" vbProcedure="false">"NET_CHANGE"</definedName>
    <definedName function="false" hidden="true" name="NET_DEBT" vbProcedure="false">"NET_DEBT"</definedName>
    <definedName function="false" hidden="true" name="NET_INC" vbProcedure="false">"NET_INC"</definedName>
    <definedName function="false" hidden="true" name="NET_INC_10K" vbProcedure="false">"NET_INC_10K"</definedName>
    <definedName function="false" hidden="true" name="NET_INC_10Q" vbProcedure="false">"NET_INC_10Q"</definedName>
    <definedName function="false" hidden="true" name="NET_INC_10Q1" vbProcedure="false">"NET_INC_10Q1"</definedName>
    <definedName function="false" hidden="true" name="NET_INC_BEFORE" vbProcedure="false">"NET_INC_BEFORE"</definedName>
    <definedName function="false" hidden="true" name="NET_INC_GROWTH_1" vbProcedure="false">"NET_INC_GROWTH_1"</definedName>
    <definedName function="false" hidden="true" name="NET_INC_GROWTH_2" vbProcedure="false">"NET_INC_GROWTH_2"</definedName>
    <definedName function="false" hidden="true" name="NET_INC_MARGIN" vbProcedure="false">"NET_INC_MARGIN"</definedName>
    <definedName function="false" hidden="true" name="NET_INTEREST_INC" vbProcedure="false">"NET_INTEREST_INC"</definedName>
    <definedName function="false" hidden="true" name="NET_INTEREST_INC_AFTER_LL" vbProcedure="false">"NET_INTEREST_INC_AFTER_LL"</definedName>
    <definedName function="false" hidden="true" name="NET_LOANS" vbProcedure="false">"NET_LOANS"</definedName>
    <definedName function="false" hidden="true" name="new"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new0" vbProcedure="false">{"fdsup://Directions/FactSet Auditing Viewer?action=AUDIT_VALUE&amp;DB=129&amp;ID1=53245710&amp;VALUEID=05376&amp;SDATE=2009&amp;PERIODTYPE=ANN_STD&amp;window=popup_no_bar&amp;width=385&amp;height=120&amp;START_MAXIMIZED=FALSE&amp;creator=factset&amp;display_string=Audit"}</definedName>
    <definedName function="false" hidden="true" name="Newark_122" vbProcedure="false">{#N/A,#N/A,FALSE,"IS";#N/A,#N/A,FALSE,"BS";#N/A,#N/A,FALSE,"CF";#N/A,#N/A,FALSE,"CE";#N/A,#N/A,FALSE,"Depr";#N/A,#N/A,FALSE,"APAL"}</definedName>
    <definedName function="false" hidden="true" name="newbel" vbProcedure="false">{"'Directory'!$A$72:$E$91"}</definedName>
    <definedName function="false" hidden="true" name="newbls" vbProcedure="false">{"'Directory'!$A$72:$E$91"}</definedName>
    <definedName function="false" hidden="true" name="newername" vbProcedure="false">{#N/A,#N/A,FALSE,"CASH FLOW";#N/A,#N/A,FALSE,"CF-p2";#N/A,#N/A,FALSE,"CF-p3";#N/A,#N/A,FALSE,"CF-p4";#N/A,#N/A,FALSE,"CF-p5";#N/A,#N/A,FALSE,"CF-p6";#N/A,#N/A,FALSE,"CF-p7";#N/A,#N/A,FALSE,"CF-p8";#N/A,#N/A,FALSE,"CF-p9";#N/A,#N/A,FALSE,"CF-p10";#N/A,#N/A,FALSE,"CF-p11";#N/A,#N/A,FALSE,"CF-p12";#N/A,#N/A,FALSE,"BS-p13";#N/A,#N/A,FALSE,"BS-p14";#N/A,#N/A,FALSE,"BS-p15";#N/A,#N/A,FALSE,"BS-p16";#N/A,#N/A,FALSE,"BS-p17";#N/A,#N/A,FALSE,"BS-p18";#N/A,#N/A,FALSE,"BS-p19";#N/A,#N/A,FALSE,"BS-1(1)";#N/A,#N/A,FALSE,"BS-1(2)";#N/A,#N/A,FALSE,"BS-1(3)";#N/A,#N/A,FALSE,"EXCHANGE";#N/A,#N/A,FALSE,"ACQUISITIONS";#N/A,#N/A,FALSE,"DISPOSALS";#N/A,#N/A,FALSE,"OTHER INPUT (1)";#N/A,#N/A,FALSE,"OTHER INPUT (2)";#N/A,#N/A,FALSE,"P&amp;L CHECK";#N/A,#N/A,FALSE,"TM1 EXTRACTION";#N/A,#N/A,FALSE,"GSK format BS";#N/A,#N/A,FALSE,"GSK format CF"}</definedName>
    <definedName function="false" hidden="true" name="newername1" vbProcedure="false">{#N/A,#N/A,FALSE,"MATURITY"}</definedName>
    <definedName function="false" hidden="true" name="newername3" vbProcedure="false">{#N/A,#N/A,FALSE,"EXCHANGE";#N/A,#N/A,FALSE,"ACQUISITIONS";#N/A,#N/A,FALSE,"DISPOSALS";#N/A,#N/A,FALSE,"OTHER INPUT (1)";#N/A,#N/A,FALSE,"OTHER INPUT (2)";#N/A,#N/A,FALSE,"P&amp;L CHECK";#N/A,#N/A,FALSE,"TM1 EXTRACTION"}</definedName>
    <definedName function="false" hidden="true" name="newername4" vbProcedure="false">{#N/A,#N/A,FALSE,"GSK format BS";#N/A,#N/A,FALSE,"GSK format CF"}</definedName>
    <definedName function="false" hidden="true" name="newername5" vbProcedure="false">{#N/A,#N/A,FALSE,"EXCHANGE";#N/A,#N/A,FALSE,"ACQUISITIONS";#N/A,#N/A,FALSE,"DISPOSALS";#N/A,#N/A,FALSE,"OTHER INPUT (1)";#N/A,#N/A,FALSE,"OTHER INPUT (2)";#N/A,#N/A,FALSE,"P&amp;L CHECK";#N/A,#N/A,FALSE,"TM1 EXTRACTION"}</definedName>
    <definedName function="false" hidden="true" name="newername6" vbProcedure="false">{#N/A,#N/A,FALSE,"CASH FLOW";#N/A,#N/A,FALSE,"CF-p2";#N/A,#N/A,FALSE,"CF-p3";#N/A,#N/A,FALSE,"CF-p4";#N/A,#N/A,FALSE,"CF-p5";#N/A,#N/A,FALSE,"CF-p6";#N/A,#N/A,FALSE,"CF-p7";#N/A,#N/A,FALSE,"CF-p8";#N/A,#N/A,FALSE,"CF-p9";#N/A,#N/A,FALSE,"CF-p10";#N/A,#N/A,FALSE,"CF-p11";#N/A,#N/A,FALSE,"CF-p12";#N/A,#N/A,FALSE,"BS-p13";#N/A,#N/A,FALSE,"BS-p14";#N/A,#N/A,FALSE,"BS-p15";#N/A,#N/A,FALSE,"BS-p16";#N/A,#N/A,FALSE,"BS-p17";#N/A,#N/A,FALSE,"BS-p18";#N/A,#N/A,FALSE,"BS-p19"}</definedName>
    <definedName function="false" hidden="true" name="NewOrders" vbProcedure="false">{#N/A,#N/A,FALSE,"Sheet1";#N/A,#N/A,FALSE,"Sheet1 (2)"}</definedName>
    <definedName function="false" hidden="true" name="Newport" vbProcedure="false">{"Finished Goods",#N/A,FALSE,"FG Production-pg1";"Paste",#N/A,FALSE,"FG Production-pg1";"Total Plant",#N/A,FALSE,"FG Production-pg1"}</definedName>
    <definedName function="false" hidden="true" name="Newport1" vbProcedure="false">{"Finished Goods",#N/A,FALSE,"FG Production-pg1";"Paste",#N/A,FALSE,"FG Production-pg1";"Total Plant",#N/A,FALSE,"FG Production-pg1"}</definedName>
    <definedName function="false" hidden="true" name="NewRange" vbProcedure="false">#REF!</definedName>
    <definedName function="false" hidden="true" name="newt" vbProcedure="false">{"'Directory'!$A$72:$E$91"}</definedName>
    <definedName function="false" hidden="true" name="newwcom" vbProcedure="false">{"'Directory'!$A$72:$E$91"}</definedName>
    <definedName function="false" hidden="true" name="new_w" vbProcedure="false">{"comps1_1",#N/A,FALSE,"Comps1";"comps1_2",#N/A,FALSE,"Comps1";"comps1_3",#N/A,FALSE,"Comps1";"comps1_4",#N/A,FALSE,"Comps1";"comps1_5",#N/A,FALSE,"Comps1"}</definedName>
    <definedName function="false" hidden="true" name="nh" vbProcedure="false">{"Build1",#N/A,FALSE,"Buildup";"Build2",#N/A,FALSE,"Buildup";"Build3",#N/A,FALSE,"Buildup"}</definedName>
    <definedName function="false" hidden="true" name="nhjythh_1" vbProcedure="false">{"DCF","UPSIDE CASE",FALSE,"Sheet1";"DCF","BASE CASE",FALSE,"Sheet1";"DCF","DOWNSIDE CASE",FALSE,"Sheet1"}</definedName>
    <definedName function="false" hidden="true" name="nhymtu" vbProcedure="false">{0}</definedName>
    <definedName function="false" hidden="true" name="njjkkk" vbProcedure="false">{0}</definedName>
    <definedName function="false" hidden="true" name="no" vbProcedure="false">{#N/A,#N/A,FALSE,"Calc";#N/A,#N/A,FALSE,"Sensitivity";#N/A,#N/A,FALSE,"LT Earn.Dil.";#N/A,#N/A,FALSE,"Dil. AVP"}</definedName>
    <definedName function="false" hidden="true" name="noidea" vbProcedure="false">{#N/A,#N/A,FALSE,"Calc";#N/A,#N/A,FALSE,"Sensitivity";#N/A,#N/A,FALSE,"LT Earn.Dil.";#N/A,#N/A,FALSE,"Dil. AVP"}</definedName>
    <definedName function="false" hidden="true" name="noidea1" vbProcedure="false">{#N/A,#N/A,FALSE,"Calc";#N/A,#N/A,FALSE,"Sensitivity";#N/A,#N/A,FALSE,"LT Earn.Dil.";#N/A,#N/A,FALSE,"Dil. AVP"}</definedName>
    <definedName function="false" hidden="true" name="noidea10" vbProcedure="false">{#N/A,#N/A,FALSE,"Calc";#N/A,#N/A,FALSE,"Sensitivity";#N/A,#N/A,FALSE,"LT Earn.Dil.";#N/A,#N/A,FALSE,"Dil. AVP"}</definedName>
    <definedName function="false" hidden="true" name="NOIDEA2" vbProcedure="false">{#N/A,#N/A,FALSE,"Calc";#N/A,#N/A,FALSE,"Sensitivity";#N/A,#N/A,FALSE,"LT Earn.Dil.";#N/A,#N/A,FALSE,"Dil. AVP"}</definedName>
    <definedName function="false" hidden="true" name="noidea20" vbProcedure="false">{#N/A,#N/A,FALSE,"Calc";#N/A,#N/A,FALSE,"Sensitivity";#N/A,#N/A,FALSE,"LT Earn.Dil.";#N/A,#N/A,FALSE,"Dil. AVP"}</definedName>
    <definedName function="false" hidden="true" name="noidea3" vbProcedure="false">{#N/A,#N/A,FALSE,"Calc";#N/A,#N/A,FALSE,"Sensitivity";#N/A,#N/A,FALSE,"LT Earn.Dil.";#N/A,#N/A,FALSE,"Dil. AVP"}</definedName>
    <definedName function="false" hidden="true" name="noidea4" vbProcedure="false">{#N/A,#N/A,FALSE,"Calc";#N/A,#N/A,FALSE,"Sensitivity";#N/A,#N/A,FALSE,"LT Earn.Dil.";#N/A,#N/A,FALSE,"Dil. AVP"}</definedName>
    <definedName function="false" hidden="true" name="noidea5" vbProcedure="false">{#N/A,#N/A,FALSE,"Calc";#N/A,#N/A,FALSE,"Sensitivity";#N/A,#N/A,FALSE,"LT Earn.Dil.";#N/A,#N/A,FALSE,"Dil. AVP"}</definedName>
    <definedName function="false" hidden="true" name="noidea6" vbProcedure="false">{#N/A,#N/A,FALSE,"Calc";#N/A,#N/A,FALSE,"Sensitivity";#N/A,#N/A,FALSE,"LT Earn.Dil.";#N/A,#N/A,FALSE,"Dil. AVP"}</definedName>
    <definedName function="false" hidden="true" name="noidea7" vbProcedure="false">{#N/A,#N/A,FALSE,"Calc";#N/A,#N/A,FALSE,"Sensitivity";#N/A,#N/A,FALSE,"LT Earn.Dil.";#N/A,#N/A,FALSE,"Dil. AVP"}</definedName>
    <definedName function="false" hidden="true" name="nol" vbProcedure="false">{#N/A,#N/A,FALSE,"91NOLCB";#N/A,#N/A,FALSE,"92NOLCB";#N/A,#N/A,FALSE,"93NOLCB"}</definedName>
    <definedName function="false" hidden="true" name="Non" vbProcedure="false">{"Header",#N/A,TRUE,"Summary";"ProjectInfo",#N/A,TRUE,"Total Value"}</definedName>
    <definedName function="false" hidden="true" name="NON_CASH" vbProcedure="false">"NON_CASH"</definedName>
    <definedName function="false" hidden="true" name="NON_INTEREST_EXP" vbProcedure="false">"NON_INTEREST_EXP"</definedName>
    <definedName function="false" hidden="true" name="NON_INTEREST_INC" vbProcedure="false">"NON_INTEREST_INC"</definedName>
    <definedName function="false" hidden="true" name="NORMAL_INC_AFTER" vbProcedure="false">"NORMAL_INC_AFTER"</definedName>
    <definedName function="false" hidden="true" name="NORMAL_INC_AVAIL" vbProcedure="false">"NORMAL_INC_AVAIL"</definedName>
    <definedName function="false" hidden="true" name="NORMAL_INC_BEFORE" vbProcedure="false">"NORMAL_INC_BEFORE"</definedName>
    <definedName function="false" hidden="true" name="not" vbProcedure="false">{"International Total",#N/A,FALSE,"Sheet1";"Mexico (5)",#N/A,FALSE,"Sheet1";"Mexico (37)",#N/A,FALSE,"Sheet1";"Puerto Rico (10)",#N/A,FALSE,"Sheet1"}</definedName>
    <definedName function="false" hidden="true" name="NOTES_PAY" vbProcedure="false">"NOTES_PAY"</definedName>
    <definedName function="false" hidden="true" name="odsafkljkljdsfjrewfrewfwf" vbProcedure="false">{#N/A,#N/A,FALSE,"Assumps";#N/A,#N/A,FALSE,"Data";#N/A,#N/A,FALSE,"Data (2)";#N/A,#N/A,FALSE,"AcqyrP&amp;L";#N/A,#N/A,FALSE,"Acq+1P&amp;L";#N/A,#N/A,FALSE,"Acq+2P&amp;L";#N/A,#N/A,FALSE,"Cashflow";#N/A,#N/A,FALSE,"BalSheet";#N/A,#N/A,FALSE,"Bidder";#N/A,#N/A,FALSE,"Target";#N/A,#N/A,FALSE,"Tgtann";#N/A,#N/A,FALSE,"Topt";#N/A,#N/A,FALSE,"Disp";#N/A,#N/A,FALSE,"Dann";#N/A,#N/A,FALSE,"Syns"}</definedName>
    <definedName function="false" hidden="true" name="OEM" vbProcedure="false">{#N/A,#N/A,FALSE,"Sheet1";#N/A,#N/A,FALSE,"Sheet1 (2)"}</definedName>
    <definedName function="false" hidden="true" name="oi" vbProcedure="false">{"Build1",#N/A,FALSE,"Buildup";"Build2",#N/A,FALSE,"Buildup";"Build3",#N/A,FALSE,"Buildup"}</definedName>
    <definedName function="false" hidden="true" name="ok" vbProcedure="false">{#N/A,#N/A,FALSE,"Calc";#N/A,#N/A,FALSE,"Sensitivity";#N/A,#N/A,FALSE,"LT Earn.Dil.";#N/A,#N/A,FALSE,"Dil. AVP"}</definedName>
    <definedName function="false" hidden="true" name="oku" vbProcedure="false">{"equity comps",#N/A,FALSE,"CS Comps";"equity comps",#N/A,FALSE,"PS Comps";"equity comps",#N/A,FALSE,"GIC_Comps";"equity comps",#N/A,FALSE,"GIC2_Comps";"debt comps",#N/A,FALSE,"CS Comps";"debt comps",#N/A,FALSE,"PS Comps";"debt comps",#N/A,FALSE,"GIC_Comps";"debt comps",#N/A,FALSE,"GIC2_Comps"}</definedName>
    <definedName function="false" hidden="true" name="oo" vbProcedure="false">{"Header",#N/A,TRUE,"Summary";"ProjectInfo",#N/A,TRUE,"Total Value"}</definedName>
    <definedName function="false" hidden="true" name="OPENPRICE" vbProcedure="false">"OPENPRICE"</definedName>
    <definedName function="false" hidden="true" name="OPER_INC" vbProcedure="false">"OPER_INC"</definedName>
    <definedName function="false" hidden="true" name="ord" vbProcedure="false">255</definedName>
    <definedName function="false" hidden="true" name="Orders" vbProcedure="false">{#N/A,#N/A,FALSE,"Order Summary";#N/A,#N/A,FALSE,"Shipment Summary";#N/A,#N/A,FALSE,"Weekly Summary";#N/A,#N/A,FALSE,"Cash Flow Summary"}</definedName>
    <definedName function="false" hidden="true" name="OTHER_ASSETS" vbProcedure="false">"OTHER_ASSETS"</definedName>
    <definedName function="false" hidden="true" name="OTHER_CURRENT_ASSETS" vbProcedure="false">"OTHER_CURRENT_ASSETS"</definedName>
    <definedName function="false" hidden="true" name="OTHER_CURRENT_LIAB" vbProcedure="false">"OTHER_CURRENT_LIAB"</definedName>
    <definedName function="false" hidden="true" name="OTHER_EARNING" vbProcedure="false">"OTHER_EARNING"</definedName>
    <definedName function="false" hidden="true" name="OTHER_EQUITY" vbProcedure="false">"OTHER_EQUITY"</definedName>
    <definedName function="false" hidden="true" name="OTHER_INVESTING" vbProcedure="false">"OTHER_INVESTING"</definedName>
    <definedName function="false" hidden="true" name="OTHER_LIAB" vbProcedure="false">"OTHER_LIAB"</definedName>
    <definedName function="false" hidden="true" name="OTHER_LONG_TERM" vbProcedure="false">"OTHER_LONG_TERM"</definedName>
    <definedName function="false" hidden="true" name="OTHER_NET" vbProcedure="false">"OTHER_NET"</definedName>
    <definedName function="false" hidden="true" name="OTHER_OPER" vbProcedure="false">"OTHER_OPER"</definedName>
    <definedName function="false" hidden="true" name="OTHER_RECEIV" vbProcedure="false">"OTHER_RECEIV"</definedName>
    <definedName function="false" hidden="true" name="OTHER_REVENUE" vbProcedure="false">"OTHER_REVENUE"</definedName>
    <definedName function="false" hidden="true" name="p" vbProcedure="false">{#N/A,#N/A,FALSE,"COVER PAGE";#N/A,#N/A,FALSE,"Page 2";#N/A,#N/A,FALSE,"Page 2";#N/A,#N/A,FALSE,"Page 4";#N/A,#N/A,FALSE,"Page5";#N/A,#N/A,FALSE,"Page 6";#N/A,#N/A,FALSE,"Page 7";#N/A,#N/A,FALSE,"Page 8";#N/A,#N/A,FALSE,"Page 10";#N/A,#N/A,FALSE,"Long-Term OCF Mult.";#N/A,#N/A,FALSE,"PCS Comp";#N/A,#N/A,FALSE,"OCS-CAPEX";#N/A,#N/A,FALSE,"Blank"}</definedName>
    <definedName function="false" hidden="true" name="Pal_Workbook_GUID" vbProcedure="false">"2JESYUXFWW9W3PWRFP9Q6Q4A"</definedName>
    <definedName function="false" hidden="true" name="Paul" vbProcedure="false">{"PAGE1",#N/A,FALSE,"Consolidation";"PAGE2",#N/A,FALSE,"Consolidation";"PAGE3",#N/A,FALSE,"Consolidation";"PAGE4",#N/A,FALSE,"Consolidation";"PAGE5",#N/A,FALSE,"Consolidation";"PAGE6",#N/A,FALSE,"Consolidation";"PAGE7",#N/A,FALSE,"Consolidation"}</definedName>
    <definedName function="false" hidden="true" name="Paul2" vbProcedure="false">{"PAGE1",#N/A,FALSE,"Consolidation";"PAGE2",#N/A,FALSE,"Consolidation";"PAGE3",#N/A,FALSE,"Consolidation";"PAGE4",#N/A,FALSE,"Consolidation";"PAGE5",#N/A,FALSE,"Consolidation";"PAGE6",#N/A,FALSE,"Consolidation";"PAGE7",#N/A,FALSE,"Consolidation"}</definedName>
    <definedName function="false" hidden="true" name="Paul3" vbProcedure="false">{"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function="false" hidden="true" name="Paul4" vbProcedure="false">{"Print Summary",#N/A,FALSE,"Bal_Graphs";"Print Summary",#N/A,FALSE,"DCF";"Print Summary",#N/A,FALSE,"Graphs";"Print Summary",#N/A,FALSE,"Summary"}</definedName>
    <definedName function="false" hidden="true" name="PAY_ACCRUED" vbProcedure="false">"PAY_ACCRUED"</definedName>
    <definedName function="false" hidden="true" name="PERIODDATE" vbProcedure="false">"PERIODDATE"</definedName>
    <definedName function="false" hidden="true" name="pl" vbProcedure="false">{"profit",#N/A,FALSE,"Aerospace";"profit",#N/A,FALSE,"Engines";"profit",#N/A,FALSE,"AES";"profit",#N/A,FALSE,"ES";"profit",#N/A,FALSE,"CAS";"profit",#N/A,FALSE,"ATSC";"profit",#N/A,FALSE,"FMT";"profit",#N/A,FALSE,"Aero Other";"profit",#N/A,FALSE,"Judgement"}</definedName>
    <definedName function="false" hidden="true" name="plplpl"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po" vbProcedure="false">{#N/A,#N/A,FALSE,"Calc";#N/A,#N/A,FALSE,"Sensitivity";#N/A,#N/A,FALSE,"LT Earn.Dil.";#N/A,#N/A,FALSE,"Dil. AVP"}</definedName>
    <definedName function="false" hidden="true" name="poi" vbProcedure="false">{"assumption 50 50",#N/A,TRUE,"Merger";"has gets cash",#N/A,TRUE,"Merger";"accretion dilution",#N/A,TRUE,"Merger";"comparison credit stats",#N/A,TRUE,"Merger";"pf credit stats",#N/A,TRUE,"Merger";"pf sheets",#N/A,TRUE,"Merger"}</definedName>
    <definedName function="false" hidden="true" name="pool" vbProcedure="false">{#N/A,#N/A,FALSE,"pl";#N/A,#N/A,FALSE,"bs";#N/A,#N/A,FALSE,"fundflow"}</definedName>
    <definedName function="false" hidden="true" name="pp" vbProcedure="false">{"Header",#N/A,TRUE,"Summary";"ProjectInfo",#N/A,TRUE,"Total Value"}</definedName>
    <definedName function="false" hidden="true" name="PPAR" vbProcedure="false">{#N/A,#N/A,TRUE,"Header Data";#N/A,#N/A,TRUE,"Line Items"}</definedName>
    <definedName function="false" hidden="true" name="ppp" vbProcedure="false">{"FCB_ALL",#N/A,FALSE,"FCB"}</definedName>
    <definedName function="false" hidden="true" name="PREF_DIVID" vbProcedure="false">"PREF_DIVID"</definedName>
    <definedName function="false" hidden="true" name="PREF_STOCK" vbProcedure="false">"PREF_STOCK"</definedName>
    <definedName function="false" hidden="true" name="PREPAID_EXPEN" vbProcedure="false">"PREPAID_EXPEN"</definedName>
    <definedName function="false" hidden="true" name="PRETAX_INC_10K" vbProcedure="false">"PRETAX_INC_10K"</definedName>
    <definedName function="false" hidden="true" name="PRETAX_INC_10Q" vbProcedure="false">"PRETAX_INC_10Q"</definedName>
    <definedName function="false" hidden="true" name="PRETAX_INC_10Q1" vbProcedure="false">"PRETAX_INC_10Q1"</definedName>
    <definedName function="false" hidden="true" name="PRICE_OVER_EPS_EST" vbProcedure="false">"PRICE_OVER_EPS_EST"</definedName>
    <definedName function="false" hidden="true" name="PRICE_OVER_EPS_EST_1" vbProcedure="false">"PRICE_OVER_EPS_EST_1"</definedName>
    <definedName function="false" hidden="true" name="PRICE_OVER_LTM_EPS" vbProcedure="false">"PRICE_OVER_LTM_EPS"</definedName>
    <definedName function="false" hidden="true" name="PrintBuyer" vbProcedure="false">{#N/A,"DR",FALSE,"increm pf";#N/A,"MAMSI",FALSE,"increm pf";#N/A,"MAXI",FALSE,"increm pf";#N/A,"PCAM",FALSE,"increm pf";#N/A,"PHSV",FALSE,"increm pf";#N/A,"SIE",FALSE,"increm pf"}</definedName>
    <definedName function="false" hidden="true" name="produa" vbProcedure="false">{"'Trend_Total'!$A$7:$V$10","'Trend_Total'!$A$1:$V$4"}</definedName>
    <definedName function="false" hidden="true" name="product_set" vbProcedure="false">{"'Trend_Total'!$A$7:$V$10","'Trend_Total'!$A$1:$V$4"}</definedName>
    <definedName function="false" hidden="true" name="profit" vbProcedure="false">{"profit",#N/A,FALSE,"Aerospace";"profit",#N/A,FALSE,"Engines";"profit",#N/A,FALSE,"AES";"profit",#N/A,FALSE,"ES";"profit",#N/A,FALSE,"CAS";"profit",#N/A,FALSE,"ATSC";"profit",#N/A,FALSE,"FMT";"profit",#N/A,FALSE,"Aero Other";"profit",#N/A,FALSE,"Judgement"}</definedName>
    <definedName function="false" hidden="true" name="profit1" vbProcedure="false">{"profit",#N/A,FALSE,"Aerospace";"profit",#N/A,FALSE,"Engines";"profit",#N/A,FALSE,"AES";"profit",#N/A,FALSE,"ES";"profit",#N/A,FALSE,"CAS";"profit",#N/A,FALSE,"ATSC";"profit",#N/A,FALSE,"FMT";"profit",#N/A,FALSE,"Aero Other";"profit",#N/A,FALSE,"Judgement"}</definedName>
    <definedName function="false" hidden="true" name="PROPERTY_GROSS" vbProcedure="false">"PROPERTY_GROSS"</definedName>
    <definedName function="false" hidden="true" name="PROPERTY_NET" vbProcedure="false">"PROPERTY_NET"</definedName>
    <definedName function="false" hidden="true" name="prout" vbProcedure="false">{"comp1",#N/A,FALSE,"COMPS";"footnotes",#N/A,FALSE,"COMPS"}</definedName>
    <definedName function="false" hidden="true" name="prout1" vbProcedure="false">{"comp1",#N/A,FALSE,"COMPS";"footnotes",#N/A,FALSE,"COMPS"}</definedName>
    <definedName function="false" hidden="true" name="PRO_FORMA_BASIC_EPS" vbProcedure="false">"PRO_FORMA_BASIC_EPS"</definedName>
    <definedName function="false" hidden="true" name="PRO_FORMA_DILUT_EPS" vbProcedure="false">"PRO_FORMA_DILUT_EPS"</definedName>
    <definedName function="false" hidden="true" name="PRO_FORMA_NET_INC" vbProcedure="false">"PRO_FORMA_NET_INC"</definedName>
    <definedName function="false" hidden="true" name="PUB_FileID" vbProcedure="false">"L10003649.xls"</definedName>
    <definedName function="false" hidden="true" name="PUB_UserID" vbProcedure="false">"MAYERX"</definedName>
    <definedName function="false" hidden="true" name="q" vbProcedure="false">{#N/A,#N/A,FALSE,"Output";#N/A,#N/A,FALSE,"Cover Sheet";#N/A,#N/A,FALSE,"Current Mkt. Projections"}</definedName>
    <definedName function="false" hidden="true" name="q87564231" vbProcedure="false">{0,0,0,0;0,"",0,0;0,0,0,0;0,0,0,0;0,0,0,0;0,0,0,0}</definedName>
    <definedName function="false" hidden="true" name="qaw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QAZ" vbProcedure="false">{#N/A,#N/A,FALSE,"CMN_FE"}</definedName>
    <definedName function="false" hidden="true" name="Qdfdv" vbProcedure="false">{"quarterly",#N/A,FALSE,"Income Statement";#N/A,#N/A,FALSE,"print segment";#N/A,#N/A,FALSE,"Balance Sheet";#N/A,#N/A,FALSE,"Annl Inc";#N/A,#N/A,FALSE,"Cash Flow"}</definedName>
    <definedName function="false" hidden="true" name="Qdwrn.Earnings_.Model."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Qdwrn.handout." vbProcedure="false">{"quarterly",#N/A,FALSE,"Income Statement New CPB";"annual",#N/A,FALSE,"Income Statement New CPB";"cash flow",#N/A,FALSE,"Cash Flow";"balance",#N/A,FALSE,"Balance Sheet";"seg",#N/A,FALSE,"New Segment Breakout"}</definedName>
    <definedName function="false" hidden="true" name="Qdwrn.market._.share." vbProcedure="false">{#N/A,#N/A,FALSE,"Bestfoods";#N/A,#N/A,FALSE,"Campbell";#N/A,#N/A,FALSE,"ConAgra";#N/A,#N/A,FALSE,"Healthy Choice";#N/A,#N/A,FALSE,"Int'l Home Foods";#N/A,#N/A,FALSE,"General Mills";#N/A,#N/A,FALSE,"Heinz";#N/A,#N/A,FALSE,"Kellogg";#N/A,#N/A,FALSE,"Kraft";#N/A,#N/A,FALSE,"Nabisco";#N/A,#N/A,FALSE,"Quaker Oats";#N/A,#N/A,FALSE,"Sara Lee";#N/A,#N/A,FALSE,"print summary"}</definedName>
    <definedName function="false" hidden="true" name="qq" vbProcedure="false">{#N/A,#N/A,FALSE,"CBE";#N/A,#N/A,FALSE,"SWK"}</definedName>
    <definedName function="false" hidden="true" name="qqqqq" vbProcedure="false">{#N/A,#N/A,FALSE,"CMN_FE"}</definedName>
    <definedName function="false" hidden="true" name="qqqqqqqq" vbProcedure="false">{#N/A,#N/A,FALSE,"NEW FORMAT "}</definedName>
    <definedName function="false" hidden="true" name="QQQQQQQQQ" vbProcedure="false">{#N/A,#N/A,FALSE,"CMN_FE"}</definedName>
    <definedName function="false" hidden="true" name="QRYCOUNT" vbProcedure="false">1</definedName>
    <definedName function="false" hidden="true" name="QRYNEXT" vbProcedure="false">9</definedName>
    <definedName function="false" hidden="true" name="QRYSOURCE1" vbProcedure="false">"IW P&amp;L Data"</definedName>
    <definedName function="false" hidden="true" name="QRYSOURCE2" vbProcedure="false">"IW P&amp;L Data"</definedName>
    <definedName function="false" hidden="true" name="QRYSOURCE3" vbProcedure="false">"IW P&amp;L Data"</definedName>
    <definedName function="false" hidden="true" name="QRYSOURCE4" vbProcedure="false">"IW P&amp;L Data"</definedName>
    <definedName function="false" hidden="true" name="QRYSOURCE5" vbProcedure="false">"IW P&amp;L Data"</definedName>
    <definedName function="false" hidden="true" name="QRYSOURCE6" vbProcedure="false">"IW P&amp;L Data"</definedName>
    <definedName function="false" hidden="true" name="QRYSOURCE7" vbProcedure="false">"IW Sales Data"</definedName>
    <definedName function="false" hidden="true" name="QRYSOURCE8" vbProcedure="false">"IW P&amp;L Data"</definedName>
    <definedName function="false" hidden="true" name="QSDQS" vbProcedure="false">#REF!</definedName>
    <definedName function="false" hidden="true" name="question" vbProcedure="false">{"BS_YEARLY",#N/A,FALSE,"BS";"BS_Y1",#N/A,FALSE,"BS";"BS_Y2",#N/A,FALSE,"BS";"BS_Y3",#N/A,FALSE,"BS";"BS_Y4",#N/A,FALSE,"BS";"BS_Y5",#N/A,FALSE,"BS";"BS_Y6",#N/A,FALSE,"BS"}</definedName>
    <definedName function="false" hidden="true" name="QUICK_RATIO" vbProcedure="false">"QUICK_RATIO"</definedName>
    <definedName function="false" hidden="true" name="QWE" vbProcedure="false">{#N/A,#N/A,FALSE,"CMN_FE"}</definedName>
    <definedName function="false" hidden="true" name="qx" vbProcedure="false">{"Build1",#N/A,FALSE,"Buildup";"Build2",#N/A,FALSE,"Buildup";"Build3",#N/A,FALSE,"Buildup"}</definedName>
    <definedName function="false" hidden="true" name="RangeChange" vbProcedure="false">#N/A</definedName>
    <definedName function="false" hidden="true" name="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true" name="rb" vbProcedure="false">{"summary",#N/A,FALSE,"Summary";"transaction",#N/A,FALSE,"Transaction";"sales",#N/A,FALSE,"Sales";"sales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function="false" hidden="true" name="RD" vbProcedure="false">{"CF_YEARLY",#N/A,FALSE,"CF";"CF_Y1",#N/A,FALSE,"CF";"CF_Y2",#N/A,FALSE,"CF";"CF_Y3",#N/A,FALSE,"CF";"CF_Y4",#N/A,FALSE,"CF";"CF_Y5",#N/A,FALSE,"CF";"CF_Y6",#N/A,FALSE,"CF"}</definedName>
    <definedName function="false" hidden="true" name="re" vbProcedure="false">{"profit",#N/A,FALSE,"Aero V prior";"profit",#N/A,FALSE,"Eng V Prior";"profit",#N/A,FALSE,"AES V Prior";"profit",#N/A,FALSE,"ES V Prior";"profit",#N/A,FALSE,"CAS V Prior";"profit",#N/A,FALSE,"ATSC V Prior";"profit",#N/A,FALSE,"FMT V Prior";"profit",#N/A,FALSE,"Aero Other V Prior";"profit",#N/A,FALSE,"Judge V Prior"}</definedName>
    <definedName function="false" hidden="true" name="rebate" vbProcedure="false">{"CF_YEARLY",#N/A,FALSE,"CF";"CF_Y1",#N/A,FALSE,"CF";"CF_Y2",#N/A,FALSE,"CF";"CF_Y3",#N/A,FALSE,"CF";"CF_Y4",#N/A,FALSE,"CF";"CF_Y5",#N/A,FALSE,"CF";"CF_Y6",#N/A,FALSE,"CF"}</definedName>
    <definedName function="false" hidden="true" name="red" vbProcedure="false">{"fdsup://Directions/FactSet Auditing Viewer?action=AUDIT_VALUE&amp;DB=129&amp;ID1=53245710&amp;VALUEID=05376&amp;SDATE=2008&amp;PERIODTYPE=ANN_STD&amp;window=popup_no_bar&amp;width=385&amp;height=120&amp;START_MAXIMIZED=FALSE&amp;creator=factset&amp;display_string=Audit"}</definedName>
    <definedName function="false" hidden="true" name="REDEEM_PREF_STOCK" vbProcedure="false">"REDEEM_PREF_STOCK"</definedName>
    <definedName function="false" hidden="true" name="RedefinePrintTableRange" vbProcedure="false">#REF!</definedName>
    <definedName function="false" hidden="true" name="redo" vbProcedure="false">{#N/A,#N/A,FALSE,"ACQ_GRAPHS";#N/A,#N/A,FALSE,"T_1 GRAPHS";#N/A,#N/A,FALSE,"T_2 GRAPHS";#N/A,#N/A,FALSE,"COMB_GRAPHS"}</definedName>
    <definedName function="false" hidden="true" name="RegisteredUsers" vbProcedure="false">{"'Customer Support Trends'!$A$1:$AB$13"}</definedName>
    <definedName function="false" hidden="true" name="RegisteredUsers2" vbProcedure="false">{"'Customer Support Trends'!$A$1:$AB$13"}</definedName>
    <definedName function="false" hidden="true" name="rename" vbProcedure="false">{"PL_YEARLY",#N/A,FALSE,"PL";"PL_Y1",#N/A,FALSE,"PL";"PL_Y2",#N/A,FALSE,"PL";"PL_Y3",#N/A,FALSE,"PL";"PL_Y4",#N/A,FALSE,"PL";"PL_Y5",#N/A,FALSE,"PL";"PL_Y6",#N/A,FALSE,"PL"}</definedName>
    <definedName function="false" hidden="true" name="Rene" vbProcedure="false">{"'Customer Support Trends'!$A$1:$AB$13"}</definedName>
    <definedName function="false" hidden="true" name="Rene2" vbProcedure="false">{"'Customer Support Trends'!$A$1:$AB$13"}</definedName>
    <definedName function="false" hidden="true" name="rene_registered3" vbProcedure="false">{"'Customer Support Trends'!$A$1:$AB$13"}</definedName>
    <definedName function="false" hidden="true" name="rene_registeredusers2" vbProcedure="false">{"'Customer Support Trends'!$A$1:$AB$13"}</definedName>
    <definedName function="false" hidden="true" name="rep" vbProcedure="false">{#N/A,#N/A,FALSE,"COVER";#N/A,#N/A,FALSE,"VALUATION";#N/A,#N/A,FALSE,"FORECAST";#N/A,#N/A,FALSE,"FY ANALYSIS ";#N/A,#N/A,FALSE," HY ANALYSIS"}</definedName>
    <definedName function="false" hidden="true" name="RESEARCH_DEV" vbProcedure="false">"RESEARCH_DEV"</definedName>
    <definedName function="false" hidden="true" name="Reset3" vbProcedure="false">{#N/A,#N/A,FALSE,"Aging Summary";#N/A,#N/A,FALSE,"Ratio Analysis";#N/A,#N/A,FALSE,"Test 120 Day Accts";#N/A,#N/A,FALSE,"Tickmarks"}</definedName>
    <definedName function="false" hidden="true" name="RETAINED_EARN" vbProcedure="false">"RETAINED_EARN"</definedName>
    <definedName function="false" hidden="true" name="RETURN_ASSETS" vbProcedure="false">"RETURN_ASSETS"</definedName>
    <definedName function="false" hidden="true" name="RETURN_EQUITY" vbProcedure="false">"RETURN_EQUITY"</definedName>
    <definedName function="false" hidden="true" name="RETURN_INVESTMENT" vbProcedure="false">"RETURN_INVESTMENT"</definedName>
    <definedName function="false" hidden="true" name="REVENUE_10K" vbProcedure="false">"REVENUE_10K"</definedName>
    <definedName function="false" hidden="true" name="REVENUE_10Q" vbProcedure="false">"REVENUE_10Q"</definedName>
    <definedName function="false" hidden="true" name="REVENUE_10Q1" vbProcedure="false">"REVENUE_10Q1"</definedName>
    <definedName function="false" hidden="true" name="REVENUE_EST" vbProcedure="false">"REVENUE_EST"</definedName>
    <definedName function="false" hidden="true" name="REVENUE_EST_1" vbProcedure="false">"REVENUE_EST_1"</definedName>
    <definedName function="false" hidden="true" name="REVENUE_GROWTH_1" vbProcedure="false">"REVENUE_GROWTH_1"</definedName>
    <definedName function="false" hidden="true" name="REVENUE_GROWTH_2" vbProcedure="false">"REVENUE_GROWTH_2"</definedName>
    <definedName function="false" hidden="true" name="REZTEZRT" vbProcedure="false">#REF!</definedName>
    <definedName function="false" hidden="true" name="rf" vbProcedure="false">{"PL_YEARLY",#N/A,FALSE,"PL";"PL_Y1",#N/A,FALSE,"PL";"PL_Y2",#N/A,FALSE,"PL";"PL_Y3",#N/A,FALSE,"PL";"PL_Y4",#N/A,FALSE,"PL";"PL_Y5",#N/A,FALSE,"PL";"PL_Y6",#N/A,FALSE,"PL"}</definedName>
    <definedName function="false" hidden="true" name="rftt" vbProcedure="false">{"HUBAN","COMPANIES",TRUE}</definedName>
    <definedName function="false" hidden="true" name="RH" vbProcedure="false">#REF!</definedName>
    <definedName function="false" hidden="true" name="rhbezr" vbProcedure="false">{0}</definedName>
    <definedName function="false" hidden="true" name="RiskAfterRecalcMacro" vbProcedure="false">""</definedName>
    <definedName function="false" hidden="true" name="RiskAfterSimMacro" vbProcedure="false">""</definedName>
    <definedName function="false" hidden="true" name="RiskBeforeRecalcMacro" vbProcedure="false">""</definedName>
    <definedName function="false" hidden="true" name="RiskBeforeSimMacro" vbProcedure="false">""</definedName>
    <definedName function="false" hidden="true" name="RiskMultipleCPUSupportEnabled" vbProcedure="false">TRUE()</definedName>
    <definedName function="false" hidden="true" name="rm" vbProcedure="false">{"Build1",#N/A,FALSE,"Buildup";"Build2",#N/A,FALSE,"Buildup";"Build3",#N/A,FALSE,"Buildup"}</definedName>
    <definedName function="false" hidden="true" name="rOSTOV" vbProcedure="false">{"comp1",#N/A,FALSE,"COMPS";"footnotes",#N/A,FALSE,"COMPS"}</definedName>
    <definedName function="false" hidden="true" name="RPTCOUNT" vbProcedure="false">4</definedName>
    <definedName function="false" hidden="true" name="RPTID" vbProcedure="false">6</definedName>
    <definedName function="false" hidden="true" name="RPTNEXT" vbProcedure="false">5</definedName>
    <definedName function="false" hidden="true" name="RPTQRY1" vbProcedure="false">6</definedName>
    <definedName function="false" hidden="true" name="RPTQRY2" vbProcedure="false">6</definedName>
    <definedName function="false" hidden="true" name="RPTQRY3" vbProcedure="false">7</definedName>
    <definedName function="false" hidden="true" name="RPTQRY4" vbProcedure="false">8</definedName>
    <definedName function="false" hidden="true" name="rqwe"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rr" vbProcedure="false">{"Header",#N/A,TRUE,"Summary";"ProjectInfo",#N/A,TRUE,"Total Value"}</definedName>
    <definedName function="false" hidden="true" name="rt" vbProcedure="false">{"casespecific",#N/A,FALSE,"Assumptions"}</definedName>
    <definedName function="false" hidden="true" name="rthrfgndrg" vbProcedure="false">{0}</definedName>
    <definedName function="false" hidden="true" name="rtmdfhtgs" vbProcedure="false">{#N/A,#N/A,TRUE,"Summary";#N/A,#N/A,TRUE,"Detail"}</definedName>
    <definedName function="false" hidden="true" name="rty" vbProcedure="false">{#N/A,#N/A,TRUE,"Pro Forma";#N/A,#N/A,TRUE,"PF_Bal";#N/A,#N/A,TRUE,"PF_INC";#N/A,#N/A,TRUE,"CBE";#N/A,#N/A,TRUE,"SWK"}</definedName>
    <definedName function="false" hidden="true" name="RTYERTYERT"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Rwvu.Sumnpv." vbProcedure="false">#REF!</definedName>
    <definedName function="false" hidden="true" name="rx" vbProcedure="false">{"summary",#N/A,FALSE,"Summary";"transaction",#N/A,FALSE,"Transaction";"sales",#N/A,FALSE,"Sales";"sales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function="false" hidden="true" name="ry"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RYKITIUYI"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RYKYFU"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rynjynj" vbProcedure="false">{0}</definedName>
    <definedName function="false" hidden="true" name="RYUKRYUK"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sa" vbProcedure="false">{"sales",#N/A,FALSE,"Sales";"sales existing",#N/A,FALSE,"Sales";"sales rd1",#N/A,FALSE,"Sales";"sales rd2",#N/A,FALSE,"Sales"}</definedName>
    <definedName function="false" hidden="true" name="SABEXrevision2" vbProcedure="false">231</definedName>
    <definedName function="false" hidden="true" name="sadd_1" vbProcedure="false">{"DCF","UPSIDE CASE",FALSE,"Sheet1";"DCF","BASE CASE",FALSE,"Sheet1";"DCF","DOWNSIDE CASE",FALSE,"Sheet1"}</definedName>
    <definedName function="false" hidden="true" name="sadfds" vbProcedure="false">{"'Trend_Total'!$A$7:$V$10","'Trend_Total'!$A$1:$V$4"}</definedName>
    <definedName function="false" hidden="true" name="saEvsv" vbProcedure="false">#REF!</definedName>
    <definedName function="false" hidden="true" name="Sales_Realisation" vbProcedure="false">{#N/A,#N/A,FALSE,"CMN_FE"}</definedName>
    <definedName function="false" hidden="true" name="Sap" vbProcedure="false">"5BNZGW11CRHM63TY6VORMDT5J"</definedName>
    <definedName function="false" hidden="true" name="SAPBEXdnldView" vbProcedure="false">"3WAOCZRTFKKSBHB9LW0O7BI9C"</definedName>
    <definedName function="false" hidden="true" name="SAPBEXhrIndnt" vbProcedure="false">"Wide"</definedName>
    <definedName function="false" hidden="true" name="SAPBEXrevision" vbProcedure="false">3</definedName>
    <definedName function="false" hidden="true" name="SAPBEXsysID" vbProcedure="false">"BP1"</definedName>
    <definedName function="false" hidden="true" name="SAPBEXwbID" vbProcedure="false">"3PKM9WWW3YEIOM997WQ8480EK"</definedName>
    <definedName function="false" hidden="true" name="SAPEXrevision3" vbProcedure="false">231</definedName>
    <definedName function="false" hidden="true" name="sapexrevision4" vbProcedure="false">4</definedName>
    <definedName function="false" hidden="true" name="sapexwbid4" vbProcedure="false">"3N5E41CVNKXCIZ2S8I4UWT2K0"</definedName>
    <definedName function="false" hidden="true" name="SAPID" vbProcedure="false">"BWP"</definedName>
    <definedName function="false" hidden="true" name="SAPsysID" vbProcedure="false">"708C5W7SBKP804JT78WJ0JNKI"</definedName>
    <definedName function="false" hidden="true" name="SAPwbID" vbProcedure="false">"ARS"</definedName>
    <definedName function="false" hidden="true" name="sbgsdgfgbb" vbProcedure="false">#REF!</definedName>
    <definedName function="false" hidden="true" name="scott" vbProcedure="false">{"sales",#N/A,FALSE,"Sales";"sales existing",#N/A,FALSE,"Sales";"sales rd1",#N/A,FALSE,"Sales";"sales rd2",#N/A,FALSE,"Sales"}</definedName>
    <definedName function="false" hidden="true" name="scotta" vbProcedure="false">{"sales",#N/A,FALSE,"Sales";"sales existing",#N/A,FALSE,"Sales";"sales rd1",#N/A,FALSE,"Sales";"sales rd2",#N/A,FALSE,"Sales"}</definedName>
    <definedName function="false" hidden="true" name="sd" vbProcedure="false">40826.6396527778</definedName>
    <definedName function="false" hidden="true" name="sddkvsdv" vbProcedure="false">{0}</definedName>
    <definedName function="false" hidden="true" name="sdf" vbProcedure="false">{#N/A,#N/A,FALSE,"Calc";#N/A,#N/A,FALSE,"Sensitivity";#N/A,#N/A,FALSE,"LT Earn.Dil.";#N/A,#N/A,FALSE,"Dil. AVP"}</definedName>
    <definedName function="false" hidden="true" name="sdfasdfasdf"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sdfasfd" vbProcedure="false">{"fdsup://directions/FAT Viewer?action=UPDATE&amp;creator=factset&amp;DYN_ARGS=TRUE&amp;DOC_NAME=FAT:FQL_AUDITING_CLIENT_TEMPLATE.FAT&amp;display_string=Audit&amp;VAR:KEY=HAZMHKFKRU&amp;VAR:QUERY=UkdGX0dST1NTX01HTihBTk4sLTFBWSwsLCwsLE5PQVVESVQp&amp;WINDOW=FIRST_POPUP&amp;HEIGHT=450&amp;WIDTH=","450&amp;START_MAXIMIZED=FALSE&amp;VAR:CALENDAR=US&amp;VAR:SYMBOL=CFN&amp;VAR:INDEX=0"}</definedName>
    <definedName function="false" hidden="true" name="sdfg" vbProcedure="fals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function="false" hidden="true" name="sdfgdsf" vbProcedure="false">#REF!</definedName>
    <definedName function="false" hidden="true" name="SDFGFG" vbProcedure="false">#REF!</definedName>
    <definedName function="false" hidden="true" name="SDFGHFRTH"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sdfgsdg" vbProcedure="false">{#N/A,#N/A,TRUE,"Cover";#N/A,#N/A,TRUE,"Corrections";#N/A,#N/A,TRUE,"Tariffs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function="false" hidden="true" name="sdfjsdvnsdf" vbProcedure="false">{0}</definedName>
    <definedName function="false" hidden="true" name="sdfsafer"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SDFS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sdfsdf" vbProcedure="false">{#N/A,#N/A,FALSE,"AHF"}</definedName>
    <definedName function="false" hidden="true" name="sdfsdfsfw" vbProcedure="false">{"fdsup://directions/FAT Viewer?action=UPDATE&amp;creator=factset&amp;DYN_ARGS=TRUE&amp;DOC_NAME=FAT:FQL_AUDITING_CLIENT_TEMPLATE.FAT&amp;display_string=Audit&amp;VAR:KEY=KPKHOLUDMB&amp;VAR:QUERY=RkZfRUJJVERBX09QRVIoQ0FMLDIwMDksLCwsVVNEKQ==&amp;WINDOW=FIRST_POPUP&amp;HEIGHT=450&amp;WIDTH=450&amp;","START_MAXIMIZED=FALSE&amp;VAR:CALENDAR=US&amp;VAR:SYMBOL=ABCO&amp;VAR:INDEX=0"}</definedName>
    <definedName function="false" hidden="true" name="sdgdfghfhgfjhgfjhjjjg" vbProcedure="false">{"general",#N/A,FALSE,"Assumptions"}</definedName>
    <definedName function="false" hidden="true" name="sdghgfrer"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sdgsdrg"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sdjkryjry" vbProcedure="false">{0}</definedName>
    <definedName function="false" hidden="true" name="sdkasdkak"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sdsdksdks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sdsjdsjdj"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SDTGHSERTH"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sdvsfdvfdsb" vbProcedure="false">#REF!</definedName>
    <definedName function="false" hidden="true" name="se" vbProcedure="false">{"consolidated",#N/A,FALSE,"Sheet1";"cms",#N/A,FALSE,"Sheet1";"fse",#N/A,FALSE,"Sheet1"}</definedName>
    <definedName function="false" hidden="true" name="second" vbProcedure="false">{"PL_YEARLY",#N/A,FALSE,"PL";"PL_Y1",#N/A,FALSE,"PL";"PL_Y2",#N/A,FALSE,"PL";"PL_Y3",#N/A,FALSE,"PL";"PL_Y4",#N/A,FALSE,"PL";"PL_Y5",#N/A,FALSE,"PL";"PL_Y6",#N/A,FALSE,"PL"}</definedName>
    <definedName function="false" hidden="true" name="sencount" vbProcedure="false">1</definedName>
    <definedName function="false" hidden="true" name="seth" vbProcedure="false">{#N/A,#N/A,TRUE,"Cover Repl";#N/A,#N/A,TRUE,"P&amp;L";#N/A,#N/A,TRUE,"P&amp;L (2)";#N/A,#N/A,TRUE,"BS";#N/A,#N/A,TRUE,"Depreciation";#N/A,#N/A,TRUE,"GRAPHS";#N/A,#N/A,TRUE,"DCF EBITDA Multiple";#N/A,#N/A,TRUE,"DCF Perpetual Growth"}</definedName>
    <definedName function="false" hidden="true" name="sethgd" vbProcedure="false">{#N/A,#N/A,TRUE,"Cover";#N/A,#N/A,TRUE,"Tariffs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function="false" hidden="true" name="sfbgsfbgsfbg" vbProcedure="false">#REF!</definedName>
    <definedName function="false" hidden="true" name="SFDGDSG" vbProcedure="false">#REF!</definedName>
    <definedName function="false" hidden="true" name="SFHSF"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sfsdfsf" vbProcedure="false">{"First Page",#N/A,FALSE,"Surfactants LBO";"Second Page",#N/A,FALSE,"Surfactants LBO"}</definedName>
    <definedName function="false" hidden="true" name="sfsf"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share" vbProcedure="false">{"BS_YEARLY",#N/A,FALSE,"BS";"BS_Y1",#N/A,FALSE,"BS";"BS_Y2",#N/A,FALSE,"BS";"BS_Y3",#N/A,FALSE,"BS";"BS_Y4",#N/A,FALSE,"BS";"BS_Y5",#N/A,FALSE,"BS";"BS_Y6",#N/A,FALSE,"BS"}</definedName>
    <definedName function="false" hidden="true" name="shareA" vbProcedure="false">{"BS_YEARLY",#N/A,FALSE,"BS";"BS_Y1",#N/A,FALSE,"BS";"BS_Y2",#N/A,FALSE,"BS";"BS_Y3",#N/A,FALSE,"BS";"BS_Y4",#N/A,FALSE,"BS";"BS_Y5",#N/A,FALSE,"BS";"BS_Y6",#N/A,FALSE,"BS"}</definedName>
    <definedName function="false" hidden="true" name="SHARESOUTSTANDING" vbProcedure="false">"SHARESOUTSTANDING"</definedName>
    <definedName function="false" hidden="true" name="shet"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true" name="shirley" vbProcedure="false">{#N/A,#N/A,FALSE,"MKTSUM95";#N/A,#N/A,FALSE,"MKTADM95";#N/A,#N/A,FALSE,"MKTD&amp;C95";#N/A,#N/A,FALSE,"MKTPRD95";#N/A,#N/A,FALSE,"MKTCHL95"}</definedName>
    <definedName function="false" hidden="true" name="shit" vbProcedure="false">{"fdsup://directions/FAT Viewer?action=UPDATE&amp;creator=factset&amp;DYN_ARGS=TRUE&amp;DOC_NAME=FAT:FQL_AUDITING_CLIENT_TEMPLATE.FAT&amp;display_string=Audit&amp;VAR:KEY=LQDGFOBOHG&amp;VAR:QUERY=RkZfRU5UUlBSX1ZBTF9EQUlMWSg0MDIyMSwsLCwsJ0RJTCcp&amp;WINDOW=FIRST_POPUP&amp;HEIGHT=450&amp;WIDTH=","450&amp;START_MAXIMIZED=FALSE&amp;VAR:CALENDAR=US&amp;VAR:SYMBOL=AMAG&amp;VAR:INDEX=0"}</definedName>
    <definedName function="false" hidden="true" name="SHORT_TERM_INVEST" vbProcedure="false">"SHORT_TERM_INVEST"</definedName>
    <definedName function="false" hidden="true" name="shsgsdrgwer" vbProcedure="false">{#N/A,#N/A,TRUE,"Summary";#N/A,#N/A,TRUE,"Detail"}</definedName>
    <definedName function="false" hidden="true" name="sicor" vbProcedure="false">{#N/A,#N/A,FALSE,"Qtr Results";#N/A,#N/A,FALSE,"Same Hospital";#N/A,#N/A,FALSE,"Quarterly Earnings Model";#N/A,#N/A,FALSE,"Annual Model"}</definedName>
    <definedName function="false" hidden="true" name="SID" vbProcedure="false">"Cpavan"</definedName>
    <definedName function="false" hidden="true" name="Sinead" vbProcedure="false">{"sales",#N/A,FALSE,"Sales";"sales existing",#N/A,FALSE,"Sales";"sales rd1",#N/A,FALSE,"Sales";"sales rd2",#N/A,FALSE,"Sales"}</definedName>
    <definedName function="false" hidden="true" name="Sinead2" vbProcedure="false">{"sales",#N/A,FALSE,"Sales";"sales existing",#N/A,FALSE,"Sales";"sales rd1",#N/A,FALSE,"Sales";"sales rd2",#N/A,FALSE,"Sales"}</definedName>
    <definedName function="false" hidden="true" name="sjtrhtr" vbProcedure="false">{#N/A,#N/A,TRUE,"Summary";#N/A,#N/A,TRUE,"Detail"}</definedName>
    <definedName function="false" hidden="true" name="sjtrjsfhgf" vbProcedure="false">{#N/A,#N/A,TRUE,"Summary";#N/A,#N/A,TRUE,"Detail"}</definedName>
    <definedName function="false" hidden="true" name="skldkdkdkdkdk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sldfksdf"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solver_cvg" vbProcedure="false">0.001</definedName>
    <definedName function="false" hidden="true" name="solver_drv" vbProcedure="false">1</definedName>
    <definedName function="false" hidden="true" name="solver_est" vbProcedure="false">1</definedName>
    <definedName function="false" hidden="true" name="solver_itr" vbProcedure="false">100</definedName>
    <definedName function="false" hidden="true" name="solver_lin" vbProcedure="false">0</definedName>
    <definedName function="false" hidden="true" name="solver_neg" vbProcedure="false">2</definedName>
    <definedName function="false" hidden="true" name="solver_num" vbProcedure="false">0</definedName>
    <definedName function="false" hidden="true" name="solver_nwt" vbProcedure="false">1</definedName>
    <definedName function="false" hidden="true" name="solver_pre" vbProcedure="false">0.000001</definedName>
    <definedName function="false" hidden="true" name="solver_rel1" vbProcedure="false">2</definedName>
    <definedName function="false" hidden="true" name="solver_rel2" vbProcedure="false">1</definedName>
    <definedName function="false" hidden="true" name="solver_rel3" vbProcedure="false">1</definedName>
    <definedName function="false" hidden="true" name="solver_rel4" vbProcedure="false">4</definedName>
    <definedName function="false" hidden="true" name="solver_rel5" vbProcedure="false">4</definedName>
    <definedName function="false" hidden="true" name="solver_rel6" vbProcedure="false">4</definedName>
    <definedName function="false" hidden="true" name="solver_rhs1" vbProcedure="false">15</definedName>
    <definedName function="false" hidden="true" name="solver_rhs2" vbProcedure="false">15</definedName>
    <definedName function="false" hidden="true" name="solver_rhs3" vbProcedure="false">15</definedName>
    <definedName function="false" hidden="true" name="solver_scl" vbProcedure="false">2</definedName>
    <definedName function="false" hidden="true" name="solver_sho" vbProcedure="false">2</definedName>
    <definedName function="false" hidden="true" name="solver_tim" vbProcedure="false">100</definedName>
    <definedName function="false" hidden="true" name="solver_tmp" vbProcedure="false">15</definedName>
    <definedName function="false" hidden="true" name="solver_tol" vbProcedure="false">0.05</definedName>
    <definedName function="false" hidden="true" name="solver_typ" vbProcedure="false">3</definedName>
    <definedName function="false" hidden="true" name="solver_val" vbProcedure="false">0.6</definedName>
    <definedName function="false" hidden="true" name="something" vbProcedure="false">{"fdsup://Directions/FactSet Auditing Viewer?action=AUDIT_VALUE&amp;DB=129&amp;ID1=71708110&amp;VALUEID=05376&amp;SDATE=2007&amp;PERIODTYPE=ANN_STD&amp;window=popup_no_bar&amp;width=385&amp;height=120&amp;START_MAXIMIZED=FALSE&amp;creator=factset&amp;display_string=Audit"}</definedName>
    <definedName function="false" hidden="true" name="Spo" vbProcedure="false">{"comps",#N/A,FALSE,"comps";"notes",#N/A,FALSE,"comps"}</definedName>
    <definedName function="false" hidden="true" name="Sporer" vbProcedure="false">{"comps",#N/A,FALSE,"comps";"notes",#N/A,FALSE,"comps"}</definedName>
    <definedName function="false" hidden="true" name="SPWD" vbProcedure="false">"pepsico"</definedName>
    <definedName function="false" hidden="true" name="sr45jnrygnj" vbProcedure="false">{0}</definedName>
    <definedName function="false" hidden="true" name="SRTHER"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srtnjrnj" vbProcedure="false">{0}</definedName>
    <definedName function="false" hidden="true" name="srygnjsr4" vbProcedure="false">{0}</definedName>
    <definedName function="false" hidden="true" name="sryj" vbProcedure="false">{0}</definedName>
    <definedName function="false" hidden="true" name="ss" vbProcedure="false">{"away stand alones",#N/A,FALSE,"Target"}</definedName>
    <definedName function="false" hidden="true" name="sss" vbProcedure="false">41919.4331134259</definedName>
    <definedName function="false" hidden="true" name="ssss" vbProcedure="false">40311.6133217593</definedName>
    <definedName function="false" hidden="true" name="sssss" vbProcedure="false">40919.5580555556</definedName>
    <definedName function="false" hidden="true" name="STATE" vbProcedure="false">"STATE"</definedName>
    <definedName function="false" hidden="true" name="Stats" vbProcedure="false">{#N/A,#N/A,TRUE,"Pro Forma";#N/A,#N/A,TRUE,"PF_Bal";#N/A,#N/A,TRUE,"PF_INC";#N/A,#N/A,TRUE,"CBE";#N/A,#N/A,TRUE,"SWK"}</definedName>
    <definedName function="false" hidden="true" name="STOCK_BASED" vbProcedure="false">"STOCK_BASED"</definedName>
    <definedName function="false" hidden="true" name="strhgd" vbProcedure="false">{#N/A,#N/A,TRUE,"Cover";#N/A,#N/A,TRUE,"Macro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function="false" hidden="true" name="subpart" vbProcedure="false">{#N/A,#N/A,FALSE,"Summary";#N/A,#N/A,FALSE,"Fed.State Prov";#N/A,#N/A,FALSE,"Foreign Prov";#N/A,#N/A,FALSE,"Thera Fgrn";#N/A,#N/A,FALSE,"CCD Fgrn";#N/A,#N/A,FALSE,"Biocine Fgrn";#N/A,#N/A,FALSE,"Vision Fgrn";#N/A,#N/A,FALSE,"Frgn vs Dom"}</definedName>
    <definedName function="false" hidden="true" name="SUMM." vbProcedure="false">{#N/A,#N/A,FALSE,"SUMMARY"}</definedName>
    <definedName function="false" hidden="true" name="Summary_IS"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SV_AUTO_CONN_CATALOG" vbProcedure="false">"cbay"</definedName>
    <definedName function="false" hidden="true" name="SV_AUTO_CONN_SERVER" vbProcedure="false">"NEW-NET-SAGE01"</definedName>
    <definedName function="false" hidden="true" name="SV_AUTO_CONN_SERVER_1" vbProcedure="false">"cym-sage"</definedName>
    <definedName function="false" hidden="true" name="SV_ENCPT_AUTO_CONN_PASSWORD" vbProcedure="false">"083096084083070073122110066066068123033094122051117"</definedName>
    <definedName function="false" hidden="true" name="SV_ENCPT_AUTO_CONN_PASSWORD_1" vbProcedure="false">"083096084083070073122110066066068123085124058114036"</definedName>
    <definedName function="false" hidden="true" name="SV_ENCPT_AUTO_CONN_USER" vbProcedure="false">"095094088070084089098104103051052050085124108114"</definedName>
    <definedName function="false" hidden="true" name="SV_ENCPT_LOGON_PWD" vbProcedure="false">"078104085088070"</definedName>
    <definedName function="false" hidden="true" name="SV_ENCPT_LOGON_USER" vbProcedure="false">"095094088070084071069078075078"</definedName>
    <definedName function="false" hidden="true" name="SV_ENCPT_LOGON_USER_1" vbProcedure="false">"095094088070084090079072087089073080"</definedName>
    <definedName function="false" hidden="true" name="sw" vbProcedure="false">{"Build1",#N/A,FALSE,"Buildup";"Build2",#N/A,FALSE,"Buildup";"Build3",#N/A,FALSE,"Buildup"}</definedName>
    <definedName function="false" hidden="true" name="Swvu.BiPolar." vbProcedure="false">#REF!</definedName>
    <definedName function="false" hidden="true" name="Swvu.Sumnpv." vbProcedure="false">#REF!</definedName>
    <definedName function="false" hidden="true" name="szdfkasfka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Tables" vbProcedure="false">{"PAGE1",#N/A,FALSE,"Consolidation";"PAGE2",#N/A,FALSE,"Consolidation";"PAGE3",#N/A,FALSE,"Consolidation";"PAGE4",#N/A,FALSE,"Consolidation";"PAGE5",#N/A,FALSE,"Consolidation";"PAGE6",#N/A,FALSE,"Consolidation";"PAGE7",#N/A,FALSE,"Consolidation"}</definedName>
    <definedName function="false" hidden="true" name="tar" vbProcedure="false">{"Header",#N/A,TRUE,"Summary";"ProjectInfo",#N/A,TRUE,"Total Value"}</definedName>
    <definedName function="false" hidden="true" name="TDGJTJ"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Temp" vbProcedure="false">{#N/A,#N/A,FALSE,"MKTSUM95";#N/A,#N/A,FALSE,"MKTADM95";#N/A,#N/A,FALSE,"MKTD&amp;C95";#N/A,#N/A,FALSE,"MKTPRD95";#N/A,#N/A,FALSE,"MKTCHL95"}</definedName>
    <definedName function="false" hidden="true" name="temp1" vbProcedure="false">{#N/A,#N/A,FALSE,"MKTSUM95";#N/A,#N/A,FALSE,"MKTADM95";#N/A,#N/A,FALSE,"MKTD&amp;C95";#N/A,#N/A,FALSE,"MKTPRD95";#N/A,#N/A,FALSE,"MKTCHL95"}</definedName>
    <definedName function="false" hidden="true" name="test" vbProcedure="false">{"PL_YEARLY",#N/A,FALSE,"PL";"PL_Y1",#N/A,FALSE,"PL";"PL_Y2",#N/A,FALSE,"PL";"PL_Y3",#N/A,FALSE,"PL";"PL_Y4",#N/A,FALSE,"PL";"PL_Y5",#N/A,FALSE,"PL";"PL_Y6",#N/A,FALSE,"PL"}</definedName>
    <definedName function="false" hidden="true" name="TEST1" vbProcedure="false">{#N/A,#N/A,FALSE,"Consolidated Financials";#N/A,#N/A,FALSE,"US Mkt";#N/A,#N/A,FALSE,"Eur Mkt"}</definedName>
    <definedName function="false" hidden="true" name="test2" vbProcedure="false">{"BalSht_byMonthPlan",#N/A,FALSE,"Legal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function="false" hidden="true" name="test3" vbProcedure="false">{"FCST_byMonth",#N/A,FALSE,"Legal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function="false" hidden="true" name="test4" vbProcedure="false">{"Annual",#N/A,FALSE,"FTS";"Divisional",#N/A,FALSE,"FTS";"Balance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function="false" hidden="true" name="test5" vbProcedure="fals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function="false" hidden="true" name="test6" vbProcedure="false">{"Annual",#N/A,FALSE,"FTS";"Divisional",#N/A,FALSE,"FTS";"Balance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function="false" hidden="true" name="TextRefCopyRangeCount" vbProcedure="false">3</definedName>
    <definedName function="false" hidden="true" name="tf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thyter"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tnmjzertjnez" vbProcedure="false">{0}</definedName>
    <definedName function="false" hidden="true" name="TopRankDefaultDistForRange" vbProcedure="false">0</definedName>
    <definedName function="false" hidden="true" name="TopRankDefaultMaxChange" vbProcedure="false">0.1</definedName>
    <definedName function="false" hidden="true" name="TopRankDefaultMinChange" vbProcedure="false">-0.1</definedName>
    <definedName function="false" hidden="true" name="TopRankDefaultMultiGroupSize" vbProcedure="false">2</definedName>
    <definedName function="false" hidden="true" name="TopRankDefaultMultiStepsPerInput" vbProcedure="false">2</definedName>
    <definedName function="false" hidden="true" name="TopRankDefaultRangeType" vbProcedure="false">0</definedName>
    <definedName function="false" hidden="true" name="TopRankDefaultStepsPerInput" vbProcedure="false">5</definedName>
    <definedName function="false" hidden="true" name="TopRankDetailByInputReport" vbProcedure="false">FALSE()</definedName>
    <definedName function="false" hidden="true" name="TopRankMaxInputsPerGraph" vbProcedure="false">10</definedName>
    <definedName function="false" hidden="true" name="TopRankMultiWayReport" vbProcedure="false">FALSE()</definedName>
    <definedName function="false" hidden="true" name="TopRankNumberOfRuns" vbProcedure="false">1</definedName>
    <definedName function="false" hidden="true" name="TopRankOnlyInputsOverThreshold" vbProcedure="false">TRUE()</definedName>
    <definedName function="false" hidden="true" name="TopRankOnlyTopRanking" vbProcedure="false">TRUE()</definedName>
    <definedName function="false" hidden="true" name="TopRankOutputDetailReport" vbProcedure="false">FALSE()</definedName>
    <definedName function="false" hidden="true" name="TopRankOutputsAsPercentChange" vbProcedure="false">FALSE()</definedName>
    <definedName function="false" hidden="true" name="TopRankOverwriteExisting" vbProcedure="false">FALSE()</definedName>
    <definedName function="false" hidden="true" name="TopRankPauseOnError" vbProcedure="false">FALSE()</definedName>
    <definedName function="false" hidden="true" name="TopRankPerformPrecedentScanAddOutput" vbProcedure="false">FALSE()</definedName>
    <definedName function="false" hidden="true" name="TopRankPerformPrecedentScanAtStart" vbProcedure="false">FALSE()</definedName>
    <definedName function="false" hidden="true" name="TopRankPrecedentScanType" vbProcedure="false">1</definedName>
    <definedName function="false" hidden="true" name="TopRankReportAllOutputCells" vbProcedure="false">TRUE()</definedName>
    <definedName function="false" hidden="true" name="TopRankReportsInExistingWorkbook" vbProcedure="false">TRUE()</definedName>
    <definedName function="false" hidden="true" name="TopRankReportsInExistingWorkbookName" vbProcedure="false">"Active Workbook"</definedName>
    <definedName function="false" hidden="true" name="TopRankReportsInNewWorkbook" vbProcedure="false">FALSE()</definedName>
    <definedName function="false" hidden="true" name="TopRankSensitivityGraphs" vbProcedure="false">FALSE()</definedName>
    <definedName function="false" hidden="true" name="TopRankSingleWorkbookAllResults" vbProcedure="false">FALSE()</definedName>
    <definedName function="false" hidden="true" name="TopRankSpiderGraphs" vbProcedure="false">FALSE()</definedName>
    <definedName function="false" hidden="true" name="TopRankTornadoGraphs" vbProcedure="false">TRUE()</definedName>
    <definedName function="false" hidden="true" name="TopRankUpdateDisplay" vbProcedure="false">FALSE()</definedName>
    <definedName function="false" hidden="true" name="TOTAL_ASSETS" vbProcedure="false">"TOTAL_ASSETS"</definedName>
    <definedName function="false" hidden="true" name="TOTAL_CASH_DIVID" vbProcedure="false">"TOTAL_CASH_DIVID"</definedName>
    <definedName function="false" hidden="true" name="TOTAL_CASH_FINAN" vbProcedure="false">"TOTAL_CASH_FINAN"</definedName>
    <definedName function="false" hidden="true" name="TOTAL_CASH_INVEST" vbProcedure="false">"TOTAL_CASH_INVEST"</definedName>
    <definedName function="false" hidden="true" name="TOTAL_CASH_OPER" vbProcedure="false">"TOTAL_CASH_OPER"</definedName>
    <definedName function="false" hidden="true" name="TOTAL_COMMON" vbProcedure="false">"TOTAL_COMMON"</definedName>
    <definedName function="false" hidden="true" name="TOTAL_CURRENT_ASSETS" vbProcedure="false">"TOTAL_CURRENT_ASSETS"</definedName>
    <definedName function="false" hidden="true" name="TOTAL_CURRENT_LIAB" vbProcedure="false">"TOTAL_CURRENT_LIAB"</definedName>
    <definedName function="false" hidden="true" name="TOTAL_DEBT" vbProcedure="false">"TOTAL_DEBT"</definedName>
    <definedName function="false" hidden="true" name="TOTAL_DEBT_OVER_EBITDA" vbProcedure="false">"TOTAL_DEBT_OVER_EBITDA"</definedName>
    <definedName function="false" hidden="true" name="TOTAL_DEBT_OVER_TOTAL_BV" vbProcedure="false">"TOTAL_DEBT_OVER_TOTAL_BV"</definedName>
    <definedName function="false" hidden="true" name="TOTAL_DEBT_OVER_TOTAL_CAP" vbProcedure="false">"TOTAL_DEBT_OVER_TOTAL_CAP"</definedName>
    <definedName function="false" hidden="true" name="TOTAL_EQUITY" vbProcedure="false">"TOTAL_EQUITY"</definedName>
    <definedName function="false" hidden="true" name="TOTAL_INTEREST_EXP" vbProcedure="false">"TOTAL_INTEREST_EXP"</definedName>
    <definedName function="false" hidden="true" name="TOTAL_INVENTORY" vbProcedure="false">"TOTAL_INVENTORY"</definedName>
    <definedName function="false" hidden="true" name="TOTAL_LIAB" vbProcedure="false">"TOTAL_LIAB"</definedName>
    <definedName function="false" hidden="true" name="TOTAL_LIAB_SHAREHOLD" vbProcedure="false">"TOTAL_LIAB_SHAREHOLD"</definedName>
    <definedName function="false" hidden="true" name="TOTAL_LONG_DEBT" vbProcedure="false">"TOTAL_LONG_DEBT"</definedName>
    <definedName function="false" hidden="true" name="TOTAL_OPER_EXPEN" vbProcedure="false">"TOTAL_OPER_EXPEN"</definedName>
    <definedName function="false" hidden="true" name="TOTAL_RECEIV" vbProcedure="false">"TOTAL_RECEIV"</definedName>
    <definedName function="false" hidden="true" name="TOTAL_REVENUE" vbProcedure="false">"TOTAL_REVENUE"</definedName>
    <definedName function="false" hidden="true" name="total_rpt" vbProcedure="false">{#N/A,#N/A,FALSE,"RESULTS";#N/A,#N/A,FALSE,"DECISION_TREE_2.0a";#N/A,#N/A,FALSE,"ASSUMPTIONS";#N/A,#N/A,FALSE,"CASH_FLOW";#N/A,#N/A,FALSE,"LICENSOR_CASH_FLOWS";#N/A,#N/A,FALSE,"DRUG_DEVELOPMENT";#N/A,#N/A,FALSE,"HQ_HEADCOUNT";#N/A,#N/A,FALSE,"MARKETING_&amp;_SELLING";#N/A,#N/A,FALSE,"CAPITAL_EXPENDITURES";#N/A,#N/A,FALSE,"MILESTONES";#N/A,#N/A,FALSE,"WORKING_CAPITAL"}</definedName>
    <definedName function="false" hidden="true" name="TOTAL_SPECIAL" vbProcedure="false">"TOTAL_SPECIAL"</definedName>
    <definedName function="false" hidden="true" name="tr" vbProcedure="false">{#N/A,#N/A,TRUE,"Summary";#N/A,#N/A,TRUE,"Detail"}</definedName>
    <definedName function="false" hidden="true" name="TRADE_AR" vbProcedure="false">"TRADE_AR"</definedName>
    <definedName function="false" hidden="true" name="TREASURY_STOCK" vbProcedure="false">"TREASURY_STOCK"</definedName>
    <definedName function="false" hidden="true" name="treeList" vbProcedure="false">"01000000000000000000000000000000000000000000000000000000000000000000000000000000000000000000000000000000000000000000000000000000000000000000000000000000000000000000000000000000000000000000000000000000"</definedName>
    <definedName function="false" hidden="true" name="trmp" vbProcedure="false">{#N/A,#N/A,FALSE,"A"}</definedName>
    <definedName function="false" hidden="true" name="TRTRTRT"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trywer" vbProcedure="false">{#N/A,#N/A,TRUE,"Summary";#N/A,#N/A,TRUE,"Detail"}</definedName>
    <definedName function="false" hidden="true" name="TS" vbProcedure="false">{"PL_YEARLY",#N/A,FALSE,"PL";"PL_Y1",#N/A,FALSE,"PL";"PL_Y2",#N/A,FALSE,"PL";"PL_Y3",#N/A,FALSE,"PL";"PL_Y4",#N/A,FALSE,"PL";"PL_Y5",#N/A,FALSE,"PL";"PL_Y6",#N/A,FALSE,"PL"}</definedName>
    <definedName function="false" hidden="true" name="tt" vbProcedure="false">{"Header",#N/A,TRUE,"Summary";"ProjectInfo",#N/A,TRUE,"Total Value"}</definedName>
    <definedName function="false" hidden="true" name="TUILKYU"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TYERERAGR"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TYHTRS"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tymtym" vbProcedure="false">{#N/A,#N/A,TRUE,"Summary";#N/A,#N/A,TRUE,"Detail"}</definedName>
    <definedName function="false" hidden="true" name="tyu" vbProcedure="false">{"consolidated",#N/A,FALSE,"Sheet1";"cms",#N/A,FALSE,"Sheet1";"fse",#N/A,FALSE,"Sheet1"}</definedName>
    <definedName function="false" hidden="true" name="tyy" vbProcedure="false">{"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function="false" hidden="true" name="u" vbProcedure="false">{#N/A,#N/A,FALSE,"Calc";#N/A,#N/A,FALSE,"Sensitivity";#N/A,#N/A,FALSE,"LT Earn.Dil.";#N/A,#N/A,FALSE,"Dil. AVP"}</definedName>
    <definedName function="false" hidden="true" name="ugyi" vbProcedure="false">{#N/A,#N/A,FALSE,"output";#N/A,#N/A,FALSE,"contrib";#N/A,#N/A,FALSE,"profile";#N/A,#N/A,FALSE,"comps"}</definedName>
    <definedName function="false" hidden="true" name="uh" vbProcedure="false">#REF!</definedName>
    <definedName function="false" hidden="true" name="UILI"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umy" vbProcedure="false">{"comps",#N/A,FALSE,"comps";"notes",#N/A,FALSE,"comps"}</definedName>
    <definedName function="false" hidden="true" name="UNI_FILT_OFFSPEC" vbProcedure="false">2</definedName>
    <definedName function="false" hidden="true" name="UNI_FILT_ONSPEC" vbProcedure="false">1</definedName>
    <definedName function="false" hidden="true" name="UNI_NOTHING" vbProcedure="false">0</definedName>
    <definedName function="false" hidden="true" name="UNI_PRES_FILTER" vbProcedure="false">1</definedName>
    <definedName function="false" hidden="true" name="UNI_PRES_HEADINGS" vbProcedure="false">16</definedName>
    <definedName function="false" hidden="true" name="UNI_PRES_INVERT" vbProcedure="false">2</definedName>
    <definedName function="false" hidden="true" name="UNI_PRES_MATRIX" vbProcedure="false">4</definedName>
    <definedName function="false" hidden="true" name="UNI_PRES_MERGED" vbProcedure="false">8</definedName>
    <definedName function="false" hidden="true" name="UNI_PRES_OUTLIERS" vbProcedure="false">32</definedName>
    <definedName function="false" hidden="true" name="UNI_RET_ATTRIB" vbProcedure="false">64</definedName>
    <definedName function="false" hidden="true" name="UNI_RET_CONF" vbProcedure="false">32</definedName>
    <definedName function="false" hidden="true" name="UNI_RET_DESC" vbProcedure="false">4</definedName>
    <definedName function="false" hidden="true" name="UNI_RET_EQUIP" vbProcedure="false">1</definedName>
    <definedName function="false" hidden="true" name="UNI_RET_OFFSPEC" vbProcedure="false">512</definedName>
    <definedName function="false" hidden="true" name="UNI_RET_ONSPEC" vbProcedure="false">256</definedName>
    <definedName function="false" hidden="true" name="UNI_RET_PROP" vbProcedure="false">32</definedName>
    <definedName function="false" hidden="true" name="UNI_RET_PROPDESC" vbProcedure="false">64</definedName>
    <definedName function="false" hidden="true" name="UNI_RET_SMPLPNT" vbProcedure="false">4</definedName>
    <definedName function="false" hidden="true" name="UNI_RET_SPECMAX" vbProcedure="false">2048</definedName>
    <definedName function="false" hidden="true" name="UNI_RET_SPECMIN" vbProcedure="false">1024</definedName>
    <definedName function="false" hidden="true" name="UNI_RET_TAG" vbProcedure="false">1</definedName>
    <definedName function="false" hidden="true" name="UNI_RET_TESTTIME" vbProcedure="false">128</definedName>
    <definedName function="false" hidden="true" name="UNI_RET_TIME" vbProcedure="false">8</definedName>
    <definedName function="false" hidden="true" name="UNI_RET_UNIT" vbProcedure="false">2</definedName>
    <definedName function="false" hidden="true" name="UNI_RET_VALUE" vbProcedure="false">16</definedName>
    <definedName function="false" hidden="true" name="UNREALIZED_GAIN" vbProcedure="false">"UNREALIZED_GAIN"</definedName>
    <definedName function="false" hidden="true" name="UNUSUAL_EXP" vbProcedure="false">"UNUSUAL_EXP"</definedName>
    <definedName function="false" hidden="true" name="URGENT" vbProcedure="false">{#N/A,#N/A,FALSE,"AHF"}</definedName>
    <definedName function="false" hidden="true" name="US_GAAP" vbProcedure="false">"US_GAAP"</definedName>
    <definedName function="false" hidden="true" name="uti"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uu" vbProcedure="false">{"Header",#N/A,TRUE,"Summary";"ProjectInfo",#N/A,TRUE,"Total Value"}</definedName>
    <definedName function="false" hidden="true" name="v" vbProcedure="false">{#N/A,#N/A,FALSE,"Output";#N/A,#N/A,FALSE,"Cover Sheet";#N/A,#N/A,FALSE,"Current Mkt. Projections"}</definedName>
    <definedName function="false" hidden="true" name="vf" vbProcedure="false">{"sales",#N/A,FALSE,"Sales";"sales existing",#N/A,FALSE,"Sales";"sales rd1",#N/A,FALSE,"Sales";"sales rd2",#N/A,FALSE,"Sales"}</definedName>
    <definedName function="false" hidden="true" name="VFBNFGH"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visits" vbProcedure="false">{"'Customer Support Trends'!$A$1:$AB$13"}</definedName>
    <definedName function="false" hidden="true" name="vistis2" vbProcedure="false">{"'Customer Support Trends'!$A$1:$AB$13"}</definedName>
    <definedName function="false" hidden="true" name="VNu"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VOLUME" vbProcedure="false">"VOLUME"</definedName>
    <definedName function="false" hidden="true" name="vrnn"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vv" vbProcedure="false">{"Header",#N/A,TRUE,"Summary";"ProjectInfo",#N/A,TRUE,"Total Value"}</definedName>
    <definedName function="false" hidden="true" name="vvv" vbProcedure="false">{#N/A,#N/A,FALSE,"Cover";#N/A,#N/A,FALSE,"Sum";#N/A,#N/A,FALSE,"Valsum";#N/A,#N/A,FALSE,"Online ass";#N/A,#N/A,FALSE,"Online DCF";#N/A,#N/A,FALSE,"TradDCF";#N/A,#N/A,FALSE,"Comb";#N/A,#N/A,FALSE,"LBO"}</definedName>
    <definedName function="false" hidden="true" name="w" vbProcedure="false">{"comp1",#N/A,FALSE,"COMPS";"footnotes",#N/A,FALSE,"COMPS"}</definedName>
    <definedName function="false" hidden="true" name="w4er"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name="WACC" vbProcedure="false">{#N/A,#N/A,TRUE,"Pro Forma";#N/A,#N/A,TRUE,"PF_Bal";#N/A,#N/A,TRUE,"PF_INC";#N/A,#N/A,TRUE,"CBE";#N/A,#N/A,TRUE,"SWK"}</definedName>
    <definedName function="false" hidden="true" name="WACC2" vbProcedure="false">{#N/A,#N/A,FALSE,"Aging Summary";#N/A,#N/A,FALSE,"Ratio Analysis";#N/A,#N/A,FALSE,"Test 120 Day Accts";#N/A,#N/A,FALSE,"Tickmarks"}</definedName>
    <definedName function="false" hidden="true" name="waw" vbProcedure="false">{#N/A,#N/A,FALSE,"ASIA"}</definedName>
    <definedName function="false" hidden="true" name="wb" vbProcedure="false">{"sales",#N/A,FALSE,"Sales";"sales existing",#N/A,FALSE,"Sales";"sales rd1",#N/A,FALSE,"Sales";"sales rd2",#N/A,FALSE,"Sales"}</definedName>
    <definedName function="false" hidden="true" name="wc" vbProcedure="false">{"Build1",#N/A,FALSE,"Buildup";"Build2",#N/A,FALSE,"Buildup";"Build3",#N/A,FALSE,"Buildup"}</definedName>
    <definedName function="false" hidden="true" name="wd" vbProcedure="false">{"BS_YEARLY",#N/A,FALSE,"BS";"BS_Y1",#N/A,FALSE,"BS";"BS_Y2",#N/A,FALSE,"BS";"BS_Y3",#N/A,FALSE,"BS";"BS_Y4",#N/A,FALSE,"BS";"BS_Y5",#N/A,FALSE,"BS";"BS_Y6",#N/A,FALSE,"BS"}</definedName>
    <definedName function="false" hidden="true" name="web" vbProcedure="false">{#N/A,#N/A,FALSE,"Taxblinc";#N/A,#N/A,FALSE,"Rsvsacls"}</definedName>
    <definedName function="false" hidden="true" name="we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weds"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wedtwo"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WEE" vbProcedure="false">{#N/A,#N/A,FALSE,"SUMMARY"}</definedName>
    <definedName function="false" hidden="true" name="wef"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name="wefaff" vbProcedure="false">{#N/A,#N/A,FALSE,"Assum";#N/A,#N/A,FALSE,"IS";#N/A,#N/A,FALSE,"Op-BS";#N/A,#N/A,FALSE,"BSCF";#N/A,#N/A,FALSE,"Brad_IS";#N/A,#N/A,FALSE,"Brad_BSCF";#N/A,#N/A,FALSE,"Nick_IS";#N/A,#N/A,FALSE,"Nick_BSCF";#N/A,#N/A,FALSE,"Mobile_IS";#N/A,#N/A,FALSE,"Mobile_BSCF";#N/A,#N/A,FALSE,"Syn+Elim";#N/A,#N/A,FALSE,"Ratings"}</definedName>
    <definedName function="false" hidden="true" name="wefavawv" vbProcedure="false">{"fdsup://directions/FAT Viewer?action=UPDATE&amp;creator=factset&amp;DYN_ARGS=TRUE&amp;DOC_NAME=FAT:FQL_AUDITING_CLIENT_TEMPLATE.FAT&amp;display_string=Audit&amp;VAR:KEY=ENQZMFWXSL&amp;VAR:QUERY=RkZfRVBTX0RJTF9CRUZfVU5VU1VBTChMVE0sLCwsVVNEKQ==&amp;WINDOW=FIRST_POPUP&amp;HEIGHT=450&amp;WIDTH=","450&amp;START_MAXIMIZED=FALSE&amp;VAR:CALENDAR=US&amp;VAR:SYMBOL=ABCO&amp;VAR:INDEX=0"}</definedName>
    <definedName function="false" hidden="true" name="wefd"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name="wefsdfasdf" vbProcedure="false">{"equity comps",#N/A,FALSE,"CS Comps";"equity comps",#N/A,FALSE,"PS Comps";"equity comps",#N/A,FALSE,"GIC_Comps";"equity comps",#N/A,FALSE,"GIC2_Comps";"debt comps",#N/A,FALSE,"CS Comps";"debt comps",#N/A,FALSE,"PS Comps";"debt comps",#N/A,FALSE,"GIC_Comps";"debt comps",#N/A,FALSE,"GIC2_Comps"}</definedName>
    <definedName function="false" hidden="true" name="wertwet" vbProcedure="false">{#N/A,#N/A,FALSE,"Assumps";#N/A,#N/A,FALSE,"Data";#N/A,#N/A,FALSE,"Data (2)";#N/A,#N/A,FALSE,"AcqyrP&amp;L";#N/A,#N/A,FALSE,"Acq+1P&amp;L";#N/A,#N/A,FALSE,"Acq+2P&amp;L";#N/A,#N/A,FALSE,"Cashflow";#N/A,#N/A,FALSE,"BalSheet";#N/A,#N/A,FALSE,"Bidder";#N/A,#N/A,FALSE,"Target";#N/A,#N/A,FALSE,"Tgtann";#N/A,#N/A,FALSE,"Topt";#N/A,#N/A,FALSE,"Disp";#N/A,#N/A,FALSE,"Dann";#N/A,#N/A,FALSE,"Syns"}</definedName>
    <definedName function="false" hidden="true" name="Westlake" vbProcedure="false">{#N/A,#N/A,FALSE,"A"}</definedName>
    <definedName function="false" hidden="true" name="wetwo"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what"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whatever" vbProcedure="false">{#N/A,#N/A,FALSE,"Australia";#N/A,#N/A,FALSE,"Austria";#N/A,#N/A,FALSE,"Belgium";#N/A,#N/A,FALSE,"Canada";#N/A,#N/A,FALSE,"France";#N/A,#N/A,FALSE,"Germany";#N/A,#N/A,FALSE,"Hong Kong";#N/A,#N/A,FALSE,"Italy";#N/A,#N/A,FALSE,"Japan";#N/A,#N/A,FALSE,"Korea";#N/A,#N/A,FALSE,"Mexico";#N/A,#N/A,FALSE,"Poland";#N/A,#N/A,FALSE,"Spain";#N/A,#N/A,FALSE,"Switzerland";#N/A,#N/A,FALSE,"UK"}</definedName>
    <definedName function="false" hidden="true" name="whatthehell" vbProcedure="false">{"'Trend_Total'!$A$7:$V$10","'Trend_Total'!$A$1:$V$4"}</definedName>
    <definedName function="false" hidden="true" name="wn" vbProcedure="false">{"summary",#N/A,FALSE,"Summary";"transaction",#N/A,FALSE,"Transaction";"sales",#N/A,FALSE,"Sales";"sales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function="false" hidden="true" name="Wockhardt" vbProcedure="false">{#N/A,#N/A,TRUE,"Cover Repl";#N/A,#N/A,TRUE,"P&amp;L";#N/A,#N/A,TRUE,"P&amp;L (2)";#N/A,#N/A,TRUE,"BS";#N/A,#N/A,TRUE,"Depreciation";#N/A,#N/A,TRUE,"GRAPHS";#N/A,#N/A,TRUE,"DCF EBITDA Multiple";#N/A,#N/A,TRUE,"DCF Perpetual Growth"}</definedName>
    <definedName function="false" hidden="true" name="wrn"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wrn.1." vbProcedure="false">{#N/A,#N/A,FALSE,"Calc";#N/A,#N/A,FALSE,"Sensitivity";#N/A,#N/A,FALSE,"LT Earn.Dil.";#N/A,#N/A,FALSE,"Dil. AVP"}</definedName>
    <definedName function="false" hidden="true" name="wrn.1.1" vbProcedure="false">{#N/A,#N/A,FALSE,"Calc";#N/A,#N/A,FALSE,"Sensitivity";#N/A,#N/A,FALSE,"LT Earn.Dil.";#N/A,#N/A,FALSE,"Dil. AVP"}</definedName>
    <definedName function="false" hidden="true" name="wrn.1.1.2" vbProcedure="false">{#N/A,#N/A,FALSE,"Calc";#N/A,#N/A,FALSE,"Sensitivity";#N/A,#N/A,FALSE,"LT Earn.Dil.";#N/A,#N/A,FALSE,"Dil. AVP"}</definedName>
    <definedName function="false" hidden="true" name="wrn.1.1.3" vbProcedure="false">{#N/A,#N/A,FALSE,"Calc";#N/A,#N/A,FALSE,"Sensitivity";#N/A,#N/A,FALSE,"LT Earn.Dil.";#N/A,#N/A,FALSE,"Dil. AVP"}</definedName>
    <definedName function="false" hidden="true" name="wrn.1.2" vbProcedure="false">{#N/A,#N/A,FALSE,"Calc";#N/A,#N/A,FALSE,"Sensitivity";#N/A,#N/A,FALSE,"LT Earn.Dil.";#N/A,#N/A,FALSE,"Dil. AVP"}</definedName>
    <definedName function="false" hidden="true" name="wrn.1.3" vbProcedure="false">{#N/A,#N/A,FALSE,"Calc";#N/A,#N/A,FALSE,"Sensitivity";#N/A,#N/A,FALSE,"LT Earn.Dil.";#N/A,#N/A,FALSE,"Dil. AVP"}</definedName>
    <definedName function="false" hidden="true" name="wrn.10QINFO." vbProcedure="false">{#N/A,#N/A,FALSE,"INCOME STATEMENT";#N/A,#N/A,FALSE,"10Q CASH FLOW";#N/A,#N/A,FALSE,"SUPPLEMENTAL INFORMATION";#N/A,#N/A,FALSE,"BALANCE SHEET";#N/A,#N/A,FALSE,"STIS996";#N/A,#N/A,FALSE,"STBS996"}</definedName>
    <definedName function="false" hidden="true" name="WRN.2." vbProcedure="false">{#N/A,#N/A,FALSE,"Calc";#N/A,#N/A,FALSE,"Sensitivity";#N/A,#N/A,FALSE,"LT Earn.Dil.";#N/A,#N/A,FALSE,"Dil. AVP"}</definedName>
    <definedName function="false" hidden="true" name="wrn.2._.pagers." vbProcedure="false">{"Cover",#N/A,FALSE,"Cover";"Summary",#N/A,FALSE,"Summarpage"}</definedName>
    <definedName function="false" hidden="true" name="wrn.3._.pages." vbProcedure="false">{"Finished Goods",#N/A,FALSE,"FG Production-pg1";"Paste",#N/A,FALSE,"FG Production-pg1";"Total Plant",#N/A,FALSE,"FG Production-pg1"}</definedName>
    <definedName function="false" hidden="true" name="wrn.3._.Scenarios." vbProcedure="false">{"full model","100% Stock",FALSE,"PROFORMA";"full model","50/50",FALSE,"PROFORMA";"full model","100% Cash",FALSE,"PROFORMA"}</definedName>
    <definedName function="false" hidden="true" name="wrn.3cases." vbProcedure="false">{#N/A,"Base",FALSE,"Dividend";#N/A,"Conservative",FALSE,"Dividend";#N/A,"Downside",FALSE,"Dividend"}</definedName>
    <definedName function="false" hidden="true" name="wrn.50._.50." vbProcedure="false">{"assumption 50 50",#N/A,TRUE,"Merger";"has gets cash",#N/A,TRUE,"Merger";"accretion dilution",#N/A,TRUE,"Merger";"comparison credit stats",#N/A,TRUE,"Merger";"pf credit stats",#N/A,TRUE,"Merger";"pf sheets",#N/A,TRUE,"Merger"}</definedName>
    <definedName function="false" hidden="true" name="wrn.50_.501" vbProcedure="false">{"assumption 50 50",#N/A,TRUE,"Merger";"has gets cash",#N/A,TRUE,"Merger";"accretion dilution",#N/A,TRUE,"Merger";"comparison credit stats",#N/A,TRUE,"Merger";"pf credit stats",#N/A,TRUE,"Merger";"pf sheets",#N/A,TRUE,"Merger"}</definedName>
    <definedName function="false" hidden="true" name="wrn.703." vbProcedure="false">{"Cover",#N/A,FALSE,"Cover";"pag 1",#N/A,FALSE,"PAGE 1";"pag 2",#N/A,FALSE,"PAGE 2";"pag 3",#N/A,FALSE,"PAGE 3";#N/A,#N/A,FALSE,"PAGE 3A";"pag 4 consol",#N/A,FALSE,"PAGE 4 - Consol";"pag 4 Eth Fel",#N/A,FALSE,"PAGE 4-Domestic";"pag 4 Eth",#N/A,FALSE,"PAGE 4-Domestic";"pag 4 Fel",#N/A,FALSE,"PAGE 4-Domestic";"pag 4 IR&amp;D",#N/A,FALSE,"PAGE 4-IR&amp;D";"pag 4 Area VII",#N/A,FALSE,"PAGE 4-Area VII";"pag 5",#N/A,FALSE,"PAGE5";"pag 6",#N/A,FALSE,"PAGE 6";"pag 7 combined",#N/A,FALSE,"PAGE 7";"pag 7 Eth",#N/A,FALSE,"PAGE 7";"pag 7 Fel",#N/A,FALSE,"PAGE 7";"pag 8 combined",#N/A,FALSE,"PAGE 8";"pag 8 Eth",#N/A,FALSE,"PAGE 8";"pag 8 Fel",#N/A,FALSE,"PAGE 8";"pag 9 combined",#N/A,FALSE,"PAGE 9";"pag 9 Eth",#N/A,FALSE,"PAGE 9";"pag 9 Fel",#N/A,FALSE,"PAGE 9";"pag 9A combined",#N/A,FALSE,"PAGE 9A";"pag 9A Eth",#N/A,FALSE,"PAGE 9A";"pag 9A Fel/",#N/A,FALSE,"PAGE 9A";"Pag 9A Mkt Intern",#N/A,FALSE,"PAGE 9A";"Pag 9A Interna.",#N/A,FALSE,"PAGE 9A";"PAG 10 combined",#N/A,FALSE,"PAGE 10";"pag 10 Eth",#N/A,FALSE,"PAGE 10";"pag 10 Fel",#N/A,FALSE,"PAGE 10";"pag 11 combined",#N/A,FALSE,"PAGE 11";"pag 11 Eth",#N/A,FALSE,"PAGE 11";"pag 11 Fel",#N/A,FALSE,"PAGE 11";"pag 12 combined",#N/A,FALSE,"PAGE 12";"pag 12 Eth",#N/A,FALSE,"PAGE 12";"pag 12 Fel",#N/A,FALSE,"PAGE 12";"Pag 13 consol",#N/A,FALSE,"PAGE 13 - Consol";"pag 13 consol Eth",#N/A,FALSE,"PAGE 13 - Consol";"pag 13 consol Fel",#N/A,FALSE,"PAGE 13 - Consol";"pag 13 Gen combined",#N/A,FALSE,"PAGE 13 - Gen";"pag 13 gen Eth",#N/A,FALSE,"PAGE 13 - Gen";"pag 13 gen Fel",#N/A,FALSE,"PAGE 13 - Gen";"pag 13 HR combined",#N/A,FALSE,"PAGE 13 - HR";"pag 13 HR Eth",#N/A,FALSE,"PAGE 13 - HR";"pag 13 HR Fel",#N/A,FALSE,"PAGE 13 - HR";"pag 13 MIS combined",#N/A,FALSE,"PAGE 13 - MIS";"pag 13 MIS Eth",#N/A,FALSE,"PAGE 13 - MIS";"pag 13 MIS Fel",#N/A,FALSE,"PAGE 13 - MIS";"pag 14",#N/A,FALSE,"PAGE 14";"pag 15",#N/A,FALSE,"PAGE 15";"pag 16",#N/A,FALSE,"PAGE 16";"pag 17",#N/A,FALSE,"PAGE 17";"17A",#N/A,FALSE,"PAGE 17 A";"pag 18",#N/A,FALSE,"PAGE 18";"pag 19",#N/A,FALSE,"PAGE 19";"pag 20",#N/A,FALSE,"PAGE 20";"pag 21",#N/A,FALSE,"PAGE 21";"pag 22",#N/A,FALSE,"PAGE 22";"pag 23",#N/A,FALSE,"PAGE 23";"Cash 1",#N/A,FALSE,"CF";"Cash 2",#N/A,FALSE,"CF";"Cash 3",#N/A,FALSE,"CF";"BS Detail Assets",#N/A,FALSE,"BS Detail - Assets";"BS Detail Liabilities",#N/A,FALSE,"BS Detail - Liabilities";"Hyperion Eth",#N/A,FALSE,"Hyperion - Domestic Ethical";"Hyperion Consumer",#N/A,FALSE,"Hyperion - Domestic Consumer";"Hyperion IR&amp;D",#N/A,FALSE,"Hyperion - IR&amp;D";"Hyperion Area VII",#N/A,FALSE,"Hyperion - Area VII";"Hyperion Interco",#N/A,FALSE,"Hyperion - Interco"}</definedName>
    <definedName function="false" hidden="true" name="wrn.95PROV." vbProcedure="false">{#N/A,#N/A,FALSE,"Taxblinc";#N/A,#N/A,FALSE,"Rsvsacls"}</definedName>
    <definedName function="false" hidden="true" name="wrn.96_model." vbProcedure="false">{"qtr_is_94_95",#N/A,FALSE,"MA";"ann_is_96",#N/A,FALSE,"MA";"seg_sales_96",#N/A,FALSE,"MA";"seg_inc_96",#N/A,FALSE,"MA";"divisional_91_95",#N/A,FALSE,"MA";"ann_bs_96",#N/A,FALSE,"MA";"ann_cf_96",#N/A,FALSE,"MA"}</definedName>
    <definedName function="false" hidden="true" name="wrn.Accretion." vbProcedure="false">{"Accretion",#N/A,FALSE,"Assum"}</definedName>
    <definedName function="false" hidden="true" name="wrn.ACK." vbProcedure="false">{"Annual",#N/A,FALSE,"ACK";"Margins",#N/A,FALSE,"ACK";"Q",#N/A,FALSE,"QTRS."}</definedName>
    <definedName function="false" hidden="true" name="wrn.AGE._.Financial._.Statements." vbProcedure="false">{#N/A,#N/A,TRUE,"Main"}</definedName>
    <definedName function="false" hidden="true" name="wrn.Aging._.and._.Trend._.Analysis." vbProcedure="false">{#N/A,#N/A,FALSE,"Aging Summary";#N/A,#N/A,FALSE,"Ratio Analysis";#N/A,#N/A,FALSE,"Test 120 Day Accts";#N/A,#N/A,FALSE,"Tickmarks"}</definedName>
    <definedName function="false" hidden="true" name="wrn.AGN._.MODELS." vbProcedure="false">{"QTRINC1",#N/A,FALSE,"QTRINC";"QTRINC2",#N/A,FALSE,"QTRINC";"QTRSALES",#N/A,FALSE,"QTRSALES";"ANNSALES",#N/A,FALSE,"ANNSALES";"CASHFLOW",#N/A,FALSE,"CASHFLOW"}</definedName>
    <definedName function="false" hidden="true" name="wrn.ahfstep." vbProcedure="false">{#N/A,#N/A,TRUE,"AHFSTEP"}</definedName>
    <definedName function="false" hidden="true" name="wrn.AHFYLD." vbProcedure="false">{#N/A,#N/A,FALSE,"AHF"}</definedName>
    <definedName function="false" hidden="true" name="wrn.AHP._.MODELS." vbProcedure="false">{"QTRINC",#N/A,FALSE,"QTRINC";"MARGIN",#N/A,FALSE,"MARGIN";"CASHFLOW",#N/A,FALSE,"CASHFLOW"}</definedName>
    <definedName function="false" hidden="true" name="wrn.ALAN." vbProcedure="false">{"CREDIT STATISTICS",#N/A,FALSE,"STATS";"CF_AND_IS",#N/A,FALSE,"PLAN";"DEBT SCHEDULE",#N/A,FALSE,"PLAN";"SUBSCRIBERS",#N/A,FALSE,"PLAN";"DETAIL_REV",#N/A,FALSE,"PLAN";"DETAIL_EXPENSE",#N/A,FALSE,"PLAN";"SALES_AND EXP_DRIVERS",#N/A,FALSE,"PLAN";"FIXED ASSETS",#N/A,FALSE,"PLAN";"DEPRECIATION SCHEDULE",#N/A,FALSE,"PLAN"}</definedName>
    <definedName function="false" hidden="true" name="wrn.Alex." vbProcedure="false">{#N/A,#N/A,FALSE,"TradeSumm";#N/A,#N/A,FALSE,"StatsSumm"}</definedName>
    <definedName function="false" hidden="true" name="wrn.ALL." vbProcedure="false">{"CS",#N/A,FALSE,"STATS";"Inc",#N/A,FALSE,"PLAN";"CASH F",#N/A,FALSE,"PLAN";"Bal S",#N/A,FALSE,"BALANCE SHEET";"Subs",#N/A,FALSE,"PLAN";"Dep",#N/A,FALSE,"PLAN";"Debt",#N/A,FALSE,"PLAN";"Sales",#N/A,FALSE,"PLAN";"FA",#N/A,FALSE,"PLAN";"Rev",#N/A,FALSE,"PLAN";"Exp",#N/A,FALSE,"PLAN"}</definedName>
    <definedName function="false" hidden="true" name="wrn.all._.comps." vbProcedure="false">{"equity comps",#N/A,FALSE,"CS Comps";"equity comps",#N/A,FALSE,"PS Comps";"equity comps",#N/A,FALSE,"GIC_Comps";"equity comps",#N/A,FALSE,"GIC2_Comps";"debt comps",#N/A,FALSE,"CS Comps";"debt comps",#N/A,FALSE,"PS Comps";"debt comps",#N/A,FALSE,"GIC_Comps";"debt comps",#N/A,FALSE,"GIC2_Comps"}</definedName>
    <definedName function="false" hidden="true" name="wrn.all._.comps.1" vbProcedure="false">{"equity comps",#N/A,FALSE,"CS Comps";"equity comps",#N/A,FALSE,"PS Comps";"equity comps",#N/A,FALSE,"GIC_Comps";"equity comps",#N/A,FALSE,"GIC2_Comps";"debt comps",#N/A,FALSE,"CS Comps";"debt comps",#N/A,FALSE,"PS Comps";"debt comps",#N/A,FALSE,"GIC_Comps";"debt comps",#N/A,FALSE,"GIC2_Comps"}</definedName>
    <definedName function="false" hidden="true" name="wrn.All._.Countries." vbProcedure="false">{#N/A,#N/A,FALSE,"Australia";#N/A,#N/A,FALSE,"Austria";#N/A,#N/A,FALSE,"Belgium";#N/A,#N/A,FALSE,"Canada";#N/A,#N/A,FALSE,"France";#N/A,#N/A,FALSE,"Germany";#N/A,#N/A,FALSE,"Hong Kong";#N/A,#N/A,FALSE,"Italy";#N/A,#N/A,FALSE,"Japan";#N/A,#N/A,FALSE,"Korea";#N/A,#N/A,FALSE,"Mexico";#N/A,#N/A,FALSE,"Poland";#N/A,#N/A,FALSE,"Spain";#N/A,#N/A,FALSE,"Switzerland";#N/A,#N/A,FALSE,"UK"}</definedName>
    <definedName function="false" hidden="true" name="wrn.ALL._.DEPT." vbProcedure="false">{#N/A,#N/A,FALSE,"220";#N/A,#N/A,FALSE,"230";#N/A,#N/A,FALSE,"240";#N/A,#N/A,FALSE,"245";#N/A,#N/A,FALSE,"260";#N/A,#N/A,FALSE,"270";#N/A,#N/A,FALSE,"410";#N/A,#N/A,FALSE,"415";#N/A,#N/A,FALSE,"420";#N/A,#N/A,FALSE,"430";#N/A,#N/A,FALSE,"435";#N/A,#N/A,FALSE,"440";#N/A,#N/A,FALSE,"445";#N/A,#N/A,FALSE,"450";#N/A,#N/A,FALSE,"451";#N/A,#N/A,FALSE,"452";#N/A,#N/A,FALSE,"453";#N/A,#N/A,FALSE,"455";#N/A,#N/A,FALSE,"460";#N/A,#N/A,FALSE,"470";#N/A,#N/A,FALSE,"475";#N/A,#N/A,FALSE,"480";#N/A,#N/A,FALSE,"610";#N/A,#N/A,FALSE,"620";#N/A,#N/A,FALSE,"710";#N/A,#N/A,FALSE,"750";#N/A,#N/A,FALSE,"760";#N/A,#N/A,FALSE,"765";#N/A,#N/A,FALSE,"770";#N/A,#N/A,FALSE,"780";#N/A,#N/A,FALSE,"790";#N/A,#N/A,FALSE,"810 ";#N/A,#N/A,FALSE,"820";#N/A,#N/A,FALSE,"825";#N/A,#N/A,FALSE,"835";#N/A,#N/A,FALSE,"840";#N/A,#N/A,FALSE,"845";#N/A,#N/A,FALSE,"850";#N/A,#N/A,FALSE,"851";#N/A,#N/A,FALSE,"852";#N/A,#N/A,FALSE,"855";#N/A,#N/A,FALSE,"860";#N/A,#N/A,FALSE,"861";#N/A,#N/A,FALSE,"865";#N/A,#N/A,FALSE,"870";#N/A,#N/A,FALSE,"890";#N/A,#N/A,FALSE,"1225";#N/A,#N/A,FALSE,"1410";#N/A,#N/A,FALSE,"1435";#N/A,#N/A,FALSE,"1465"}</definedName>
    <definedName function="false" hidden="true" name="wrn.All._.Details." vbProcedure="false">{#N/A,#N/A,TRUE,"Labor Variance";#N/A,#N/A,TRUE,"Direct Labor";#N/A,#N/A,TRUE,"Spoils &amp; Losses";#N/A,#N/A,TRUE,"Receiving";#N/A,#N/A,TRUE,"Utilities";#N/A,#N/A,TRUE,"Regular RM";#N/A,#N/A,TRUE,"Special RM";#N/A,#N/A,TRUE,"Exp on Cap";#N/A,#N/A,TRUE,"Capital Labor"}</definedName>
    <definedName function="false" hidden="true" name="wrn.ALL._.FS._.BS." vbProcedure="false">{"BS_YEARLY",#N/A,FALSE,"BS";"BS_Y1",#N/A,FALSE,"BS";"BS_Y2",#N/A,FALSE,"BS";"BS_Y3",#N/A,FALSE,"BS";"BS_Y4",#N/A,FALSE,"BS";"BS_Y5",#N/A,FALSE,"BS";"BS_Y6",#N/A,FALSE,"BS"}</definedName>
    <definedName function="false" hidden="true" name="wrn.ALL._.FS._.CF." vbProcedure="false">{"CF_YEARLY",#N/A,FALSE,"CF";"CF_Y1",#N/A,FALSE,"CF";"CF_Y2",#N/A,FALSE,"CF";"CF_Y3",#N/A,FALSE,"CF";"CF_Y4",#N/A,FALSE,"CF";"CF_Y5",#N/A,FALSE,"CF";"CF_Y6",#N/A,FALSE,"CF"}</definedName>
    <definedName function="false" hidden="true" name="wrn.ALL._.FS._.PL." vbProcedure="false">{"PL_YEARLY",#N/A,FALSE,"PL";"PL_Y1",#N/A,FALSE,"PL";"PL_Y2",#N/A,FALSE,"PL";"PL_Y3",#N/A,FALSE,"PL";"PL_Y4",#N/A,FALSE,"PL";"PL_Y5",#N/A,FALSE,"PL";"PL_Y6",#N/A,FALSE,"PL"}</definedName>
    <definedName function="false" hidden="true"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true" name="wrn.All._.Pages."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name="wrn.ALL._.SCHEDULES." vbProcedure="false">{#N/A,#N/A,FALSE,"CASH FLOW";#N/A,#N/A,FALSE,"CF-p2";#N/A,#N/A,FALSE,"CF-p3";#N/A,#N/A,FALSE,"CF-p4";#N/A,#N/A,FALSE,"CF-p5";#N/A,#N/A,FALSE,"CF-p6";#N/A,#N/A,FALSE,"CF-p7";#N/A,#N/A,FALSE,"CF-p8";#N/A,#N/A,FALSE,"CF-p9";#N/A,#N/A,FALSE,"CF-p10";#N/A,#N/A,FALSE,"CF-p11";#N/A,#N/A,FALSE,"CF-p12";#N/A,#N/A,FALSE,"BS-p13";#N/A,#N/A,FALSE,"BS-p14";#N/A,#N/A,FALSE,"BS-p15";#N/A,#N/A,FALSE,"BS-p16";#N/A,#N/A,FALSE,"BS-p17";#N/A,#N/A,FALSE,"BS-p18";#N/A,#N/A,FALSE,"BS-p19";#N/A,#N/A,FALSE,"BS-1(1)";#N/A,#N/A,FALSE,"BS-1(2)";#N/A,#N/A,FALSE,"BS-1(3)";#N/A,#N/A,FALSE,"EXCHANGE";#N/A,#N/A,FALSE,"ACQUISITIONS";#N/A,#N/A,FALSE,"DISPOSALS";#N/A,#N/A,FALSE,"OTHER INPUT (1)";#N/A,#N/A,FALSE,"OTHER INPUT (2)";#N/A,#N/A,FALSE,"P&amp;L CHECK";#N/A,#N/A,FALSE,"TM1 EXTRACTION";#N/A,#N/A,FALSE,"GSK format BS";#N/A,#N/A,FALSE,"GSK format CF"}</definedName>
    <definedName function="false" hidden="true" name="wrn.All._.Stock_10_12_14." vbProcedure="false">{"Has Gets","$10, All Stock, Purchase",FALSE,"Has Gets";"Has Gets","$10, All Stock, Pooling",FALSE,"Has Gets";"Has Gets","$12, All Stock, Purchase",FALSE,"Has Gets";"Has Gets","$12, All Stock, Pooling",FALSE,"Has Gets";"Has Gets","$14, All Stock, Purchase",FALSE,"Has Gets";"Has Gets","$14, All Stock, Pooling",FALSE,"Has Gets"}</definedName>
    <definedName function="false" hidden="true" name="wrn.allpages." vbProcedure="false">{#N/A,#N/A,TRUE,"Historicals";#N/A,#N/A,TRUE,"Charts";#N/A,#N/A,TRUE,"Forecasts"}</definedName>
    <definedName function="false" hidden="true" name="wrn.America._.Online." vbProcedure="false">{#N/A,#N/A,FALSE,"Intro";#N/A,#N/A,FALSE,"Inc. St.";#N/A,#N/A,FALSE,"CalYear";#N/A,#N/A,FALSE,"FYear";#N/A,#N/A,FALSE,"Subs";#N/A,#N/A,FALSE,"Other Revs";#N/A,#N/A,FALSE,"Deals";#N/A,#N/A,FALSE,"RevsYear";#N/A,#N/A,FALSE,"Balance";#N/A,#N/A,FALSE,"OpCashFlow";#N/A,#N/A,FALSE,"Val.";#N/A,#N/A,FALSE,"DCFVal"}</definedName>
    <definedName function="false" hidden="true" name="wrn.AMORTIZATION." vbProcedure="false">{"amortization",#N/A,FALSE,"Amort-Dep"}</definedName>
    <definedName function="false" hidden="true" name="wrn.AMTNOL." vbProcedure="false">{#N/A,#N/A,TRUE,"91AMTNOL";#N/A,#N/A,TRUE,"92AMTNOL";#N/A,#N/A,TRUE,"93AMTNOL"}</definedName>
    <definedName function="false" hidden="true" name="wrn.Annual._.Operating._.Earnings." vbProcedure="false">{"Annual 1996",#N/A,FALSE,"Ann-Op (Mng)";"Annual 1996",#N/A,FALSE,"Ann-Op (Rep)";"Operating Vs. Reported Earnings",#N/A,FALSE,"Rpt-Op Inc"}</definedName>
    <definedName function="false" hidden="true" name="wrn.Annual._.Operating._.Earnings1." vbProcedure="false">{"Annual 1996",#N/A,FALSE,"Ann-Op (Mng)";"Annual 1996",#N/A,FALSE,"Ann-Op (Rep)";"Operating Vs. Reported Earnings",#N/A,FALSE,"Rpt-Op Inc"}</definedName>
    <definedName function="false" hidden="true" name="wrn.Appendix." vbProcedure="false">{#N/A,#N/A,TRUE,"Lines";#N/A,#N/A,TRUE,"Stations";#N/A,#N/A,TRUE,"Cap. Expenses";#N/A,#N/A,TRUE,"Land";#N/A,#N/A,TRUE,"Cen Proces Sys";#N/A,#N/A,TRUE,"telecom";#N/A,#N/A,TRUE,"Other"}</definedName>
    <definedName function="false" hidden="true" name="wrn.appendix.1" vbProcedure="false">{#N/A,#N/A,TRUE,"Lines";#N/A,#N/A,TRUE,"Stations";#N/A,#N/A,TRUE,"Cap. Expenses";#N/A,#N/A,TRUE,"Land";#N/A,#N/A,TRUE,"Cen Proces Sys";#N/A,#N/A,TRUE,"telecom";#N/A,#N/A,TRUE,"Other"}</definedName>
    <definedName function="false" hidden="true" name="wrn.APPROPRIATION." vbProcedure="false">{"appropriation",#N/A,FALSE,"APPROP"}</definedName>
    <definedName function="false" hidden="true" name="WRN.ARCCYLD2003" vbProcedure="false">{#N/A,#N/A,FALSE,"ARCYLD"}</definedName>
    <definedName function="false" hidden="true" name="wrn.ARCSTEP." vbProcedure="false">{#N/A,#N/A,FALSE,"ARCSTEP"}</definedName>
    <definedName function="false" hidden="true" name="wrn.ARCYLD." vbProcedure="false">{#N/A,#N/A,FALSE,"ARCYLD"}</definedName>
    <definedName function="false" hidden="true" name="wrn.assumptions." vbProcedure="false">{"casespecific",#N/A,FALSE,"Assumptions"}</definedName>
    <definedName function="false" hidden="true" name="wrn.audit._.adjustments." vbProcedure="false">{#N/A,#N/A,TRUE,"Summary";#N/A,#N/A,TRUE,"Amort.";#N/A,#N/A,TRUE,"93TAX";#N/A,#N/A,TRUE,"93NOLCB";#N/A,#N/A,TRUE,"92TAX";#N/A,#N/A,TRUE,"92NOLCB";#N/A,#N/A,TRUE,"91TAX";#N/A,#N/A,TRUE,"91NOLCB";#N/A,#N/A,TRUE,"92AMTNOL";#N/A,#N/A,TRUE,"921120X"}</definedName>
    <definedName function="false" hidden="true" name="wrn.Auto._.Comp." vbProcedure="false">{#N/A,#N/A,FALSE,"Sheet1"}</definedName>
    <definedName function="false" hidden="true" name="wrn.away." vbProcedure="false">{"away stand alones",#N/A,FALSE,"Target"}</definedName>
    <definedName function="false" hidden="true" name="wrn.backup." vbProcedure="false">{"financials",#N/A,FALSE,"BASIC";"interest",#N/A,FALSE,"BASIC";"leasing and financing",#N/A,FALSE,"BASIC";"returns back up",#N/A,FALSE,"BASIC"}</definedName>
    <definedName function="false" hidden="true" name="wrn.BALANCE._.SHEET." vbProcedure="false">{#N/A,#N/A,FALSE,"BS-p18";#N/A,#N/A,FALSE,"BS-p13";#N/A,#N/A,FALSE,"BS-p14";#N/A,#N/A,FALSE,"BS-p15";#N/A,#N/A,FALSE,"BS-p16";#N/A,#N/A,FALSE,"BS-p17"}</definedName>
    <definedName function="false" hidden="true" name="wrn.BALANCE._.SHEET._.ALL." vbProcedure="false">{"balance sheet us",#N/A,FALSE,"Bal. Sht.- Work Cap";"balance sheet ex",#N/A,FALSE,"Bal. Sht.- Work Cap";"balance sheet ww",#N/A,FALSE,"Bal. Sht.- Work Cap"}</definedName>
    <definedName function="false" hidden="true" name="wrn.BALANCE._.SHEET._.EX._.US." vbProcedure="false">{"balance sheet ex",#N/A,FALSE,"Bal. Sht.- Work Cap"}</definedName>
    <definedName function="false" hidden="true" name="wrn.BALANCE._.SHEET._.US." vbProcedure="false">{"balance sheet us",#N/A,FALSE,"Bal. Sht.- Work Cap"}</definedName>
    <definedName function="false" hidden="true" name="wrn.BALANCE._.SHEET._.WW." vbProcedure="false">{"balance sheet ww",#N/A,FALSE,"Bal. Sht.- Work Cap"}</definedName>
    <definedName function="false" hidden="true" name="wrn.bank._.model." vbProcedure="false">{"banks",#N/A,FALSE,"BASIC"}</definedName>
    <definedName function="false" hidden="true" name="wrn.Basic." vbProcedure="false">{#N/A,#N/A,FALSE,"Cover";#N/A,#N/A,FALSE,"Assumptions";#N/A,#N/A,FALSE,"Acquirer";#N/A,#N/A,FALSE,"Target";#N/A,#N/A,FALSE,"Income Statement";#N/A,#N/A,FALSE,"Summary Tables"}</definedName>
    <definedName function="false" hidden="true" name="wrn.BasicModel." vbProcedure="false">{"MacroCo",#N/A,FALSE,"masmode";"IncomeS",#N/A,FALSE,"masmode";"BalanceS",#N/A,FALSE,"masmode";"CashF",#N/A,FALSE,"masmode";"Ratios",#N/A,FALSE,"masmode";"DebtFC",#N/A,FALSE,"masmode"}</definedName>
    <definedName function="false" hidden="true" name="wrn.Berre." vbProcedure="false">{#N/A,#N/A,FALSE,"BLE-1";#N/A,#N/A,FALSE,"BLE-2";#N/A,#N/A,FALSE,"T-5";#N/A,#N/A,FALSE,"BLE-3";#N/A,#N/A,FALSE,"T-6";#N/A,#N/A,FALSE,"BLE-4";#N/A,#N/A,FALSE,"T-7";#N/A,#N/A,FALSE,"BLE-5";#N/A,#N/A,FALSE,"T-8"}</definedName>
    <definedName function="false" hidden="true" name="wrn.Board._.Book." vbProcedure="false">{#N/A,#N/A,FALSE,"COVER PAGE";#N/A,#N/A,FALSE,"IS by Q";#N/A,#N/A,FALSE,"IS";#N/A,#N/A,FALSE,"BS-A";#N/A,#N/A,FALSE,"BS-L &amp; E";#N/A,#N/A,FALSE,"Cash Flow";#N/A,#N/A,FALSE,"Subs";#N/A,#N/A,FALSE,"Subs Pre Pay";#N/A,#N/A,FALSE,"IS ISP";#N/A,#N/A,FALSE,"Subs ISP";#N/A,#N/A,FALSE," IS ISP split";#N/A,#N/A,FALSE,"Covenants"}</definedName>
    <definedName function="false" hidden="true" name="wrn.Board._.Report." vbProcedure="false">{#N/A,#N/A,TRUE,"TABLE OF CONTENTS";#N/A,#N/A,TRUE,"SALES";#N/A,#N/A,TRUE,"GROSS MARGIN";#N/A,#N/A,TRUE,"INCOME STATEMENT";#N/A,#N/A,TRUE,"EARNINGS PER SHARE";#N/A,#N/A,TRUE,"SELECTED BALANCE SHEET DATA"}</definedName>
    <definedName function="false" hidden="true" name="wrn.brian." vbProcedure="false">{#N/A,#N/A,FALSE,"output";#N/A,#N/A,FALSE,"contrib";#N/A,#N/A,FALSE,"profile";#N/A,#N/A,FALSE,"comps"}</definedName>
    <definedName function="false" hidden="true" name="wrn.brisbane." vbProcedure="false">{#N/A,#N/A,FALSE,"LOAN";#N/A,#N/A,FALSE,"linereclass";#N/A,#N/A,FALSE,"softdraw"}</definedName>
    <definedName function="false" hidden="true" name="wrn.Budget._.and._.Resource._.Summary." vbProcedure="false">{#N/A,#N/A,FALSE,"Budget&amp;Res Sum"}</definedName>
    <definedName function="false" hidden="true" name="wrn.Buildups." vbProcedure="false">{"ACQ",#N/A,FALSE,"ACQUISITIONS";"ACQF",#N/A,FALSE,"ACQUISITIONS";"PF",#N/A,FALSE,"PROYECTOVILA";"PV",#N/A,FALSE,"PROYECTOVILA";"Fee Dev",#N/A,FALSE,"DEVELOPMENT GROWTH";"gd",#N/A,FALSE,"DEVELOPMENT GROWTH"}</definedName>
    <definedName function="false" hidden="true" name="wrn.CAG." vbProcedure="false">{#N/A,#N/A,FALSE,"CAG"}</definedName>
    <definedName function="false" hidden="true" name="wrn.CANCONS_WP." vbProcedure="false">{"Assets",#N/A,FALSE,"Assets 1";"Liabilities",#N/A,FALSE,"Liabs Cap 2";"Inc Stmt",#N/A,FALSE,"Inc Stmt 3";"I Co AR",#N/A,FALSE,"I Co AR 4";"I Co Invst",#N/A,FALSE,"I Co Invst 5";"I Co Sale",#N/A,FALSE,"I Co Sale 6";"Invnt Prof",#N/A,FALSE,"Invnt Prof 7";"JEs",#N/A,FALSE,"JEs 8";"FAs",#N/A,FALSE,"FAs 9";"Lease Etc",#N/A,FALSE,"Lease  Etc 10";"Leases",#N/A,FALSE,"Leases 11";#N/A,#N/A,FALSE,"Leases 12";#N/A,#N/A,FALSE,"I Co Exch 13";"KPI's",#N/A,FALSE,"KPIs"}</definedName>
    <definedName function="false" hidden="true" name="wrn.cash." vbProcedure="false">{"assumption cash",#N/A,TRUE,"Merger";"has gets cash",#N/A,TRUE,"Merger";"accretion dilution",#N/A,TRUE,"Merger";"comparison credit stats",#N/A,TRUE,"Merger";"pf credit stats",#N/A,TRUE,"Merger";"pf sheets",#N/A,TRUE,"Merger"}</definedName>
    <definedName function="false" hidden="true" name="wrn.CASH._.FLOW._.ALL." vbProcedure="false">{"cash flow ww",#N/A,FALSE,"Cash Flow";"cash flow ex",#N/A,FALSE,"Cash Flow";"cash flow us",#N/A,FALSE,"Cash Flow"}</definedName>
    <definedName function="false" hidden="true" name="wrn.CASH._.FLOW._.CONSOL." vbProcedure="false">{"CONSOL1",#N/A,FALSE,"CONS CF";"CONSOL2",#N/A,FALSE,"CONS CF"}</definedName>
    <definedName function="false" hidden="true" name="wrn.CASH._.FLOW._.CONSOL_WPs." vbProcedure="false">{"Consol WP",#N/A,FALSE,"CONS CF"}</definedName>
    <definedName function="false" hidden="true" name="wrn.CASH._.FLOW._.EX._.US." vbProcedure="false">{"cash flow ex",#N/A,FALSE,"Cash Flow"}</definedName>
    <definedName function="false" hidden="true" name="wrn.CASH._.FLOW._.INDIVIDUAL." vbProcedure="false">{"SAR1",#N/A,FALSE,"SAR";"SAR2",#N/A,FALSE,"SAR";"SAR3",#N/A,FALSE,"SAR";"SAL1",#N/A,FALSE,"SAL";"SAL2",#N/A,FALSE,"SAL";"SAL3",#N/A,FALSE,"SAL";"SBL1",#N/A,FALSE,"SBL";"SBL2",#N/A,FALSE,"SBL";"SBL3",#N/A,FALSE,"SBL";"SCI1",#N/A,FALSE,"SCI";"SCI2",#N/A,FALSE,"SCI";"SCI3",#N/A,FALSE,"SCI";"CHI1",#N/A,FALSE,"CHI";"CHI2",#N/A,FALSE,"CHI";"CHI3",#N/A,FALSE,"CHI";"SLC1",#N/A,FALSE,"SLC";"SLC2",#N/A,FALSE,"SLC";"SLC3",#N/A,FALSE,"SLC";"SCR1",#N/A,FALSE,"SCR";"SCR2",#N/A,FALSE,"SCR";"SCR3",#N/A,FALSE,"SCR";"SLE1",#N/A,FALSE,"SLE";"SLE2",#N/A,FALSE,"SLE";"SLE3",#N/A,FALSE,"SLE";"SFL1",#N/A,FALSE,"SFL";"SFL2",#N/A,FALSE,"SFL";"SFL3",#N/A,FALSE,"SFL";"STG1",#N/A,FALSE,"STG";"STG2",#N/A,FALSE,"STG";"STG3",#N/A,FALSE,"STG";"SHK1",#N/A,FALSE,"SHK";"SHK2",#N/A,FALSE,"SHK";"SHK3",#N/A,FALSE,"SHK";"SIP1",#N/A,FALSE,"SIP";"SIP2",#N/A,FALSE,"SIP";"SIP3",#N/A,FALSE,"SIP";"SIL1",#N/A,FALSE,"SIL";"SIL2",#N/A,FALSE,"SIL";"SIL3",#N/A,FALSE,"SIL";"SIT1",#N/A,FALSE,"SIT";"SIT2",#N/A,FALSE,"SIT";"SIT3",#N/A,FALSE,"SIT";"SLK1",#N/A,FALSE,"SLK";"SLK2",#N/A,FALSE,"SLK";"SLK3",#N/A,FALSE,"SLK";"SMX1",#N/A,FALSE,"SMX";"SMX2",#N/A,FALSE,"SMX";"SMX3",#N/A,FALSE,"SMX";"SML1",#N/A,FALSE,"SML";"SML2",#N/A,FALSE,"SML";"SML3",#N/A,FALSE,"SML";"SPK1",#N/A,FALSE,"SPK";"SPK2",#N/A,FALSE,"SPK";"SPK3",#N/A,FALSE,"SPK";"LSP1",#N/A,FALSE,"LSP";"LSP2",#N/A,FALSE,"LSP";"LSP3",#N/A,FALSE,"LSP";"SLP1",#N/A,FALSE,"SLP";"SLP2",#N/A,FALSE,"SLP";"SLP3",#N/A,FALSE,"SLP";"SPD1",#N/A,FALSE,"SPD";"SPD2",#N/A,FALSE,"SPD";"SPD3",#N/A,FALSE,"SPD";"SPL1",#N/A,FALSE,"SPL";"SPL2",#N/A,FALSE,"SPL";"SPL3",#N/A,FALSE,"SPL";"SSP1",#N/A,FALSE,"SSP";"SSP2",#N/A,FALSE,"SSP";"SSP3",#N/A,FALSE,"SSP";"SAF1",#N/A,FALSE,"SAF";"SAF2",#N/A,FALSE,"SAF";"SAF3",#N/A,FALSE,"SAF";"SLS1",#N/A,FALSE,"SLS";"SLS2",#N/A,FALSE,"SLS";"SLS3",#N/A,FALSE,"SLS";"STI1",#N/A,FALSE,"STI";"STI2",#N/A,FALSE,"STI";"STI3",#N/A,FALSE,"STI";"SLT1",#N/A,FALSE,"SLT";"SLT2",#N/A,FALSE,"SLT";"SLT3",#N/A,FALSE,"SLT";"SUK1",#N/A,FALSE,"SUK";"SUK2",#N/A,FALSE,"SUK";"SUK3",#N/A,FALSE,"SUK";"SLV1",#N/A,FALSE,"SLV";"SLV2",#N/A,FALSE,"SLV"}</definedName>
    <definedName function="false" hidden="true" name="wrn.CASH._.FLOW._.US." vbProcedure="false">{"cash flow us",#N/A,FALSE,"Cash Flow"}</definedName>
    <definedName function="false" hidden="true" name="wrn.CASH._.FLOW._.WW." vbProcedure="false">{"cash flow ww",#N/A,FALSE,"Cash Flow"}</definedName>
    <definedName function="false" hidden="true" name="wrn.Cash._.V._.LY." vbProcedure="false">{"cash",#N/A,FALSE,"Aerospace";"cash",#N/A,FALSE,"Engines";"cash",#N/A,FALSE,"AES";"cash",#N/A,FALSE,"ES";"cash",#N/A,FALSE,"CAS";"cash",#N/A,FALSE,"ATSC";"cash",#N/A,FALSE,"FMT";"cash",#N/A,FALSE,"Aero Other";"cash",#N/A,FALSE,"Judgement"}</definedName>
    <definedName function="false" hidden="true" name="wrn.Cash._.V._.Prior." vbProcedure="false">{"cash",#N/A,FALSE,"Aero V prior";"cash",#N/A,FALSE,"Eng V Prior";"cash",#N/A,FALSE,"AES V Prior";"cash",#N/A,FALSE,"ES V Prior";"cash",#N/A,FALSE,"CAS V Prior";"cash",#N/A,FALSE,"ATSC V Prior";"cash",#N/A,FALSE,"FMT V Prior";"cash",#N/A,FALSE,"Aero Other V Prior";"cash",#N/A,FALSE,"Judge V Prior"}</definedName>
    <definedName function="false" hidden="true" name="wrn.Chiron._.IRS._.Audit." vbProcedure="false">{#N/A,#N/A,FALSE,"Summary";#N/A,#N/A,FALSE,"1991";#N/A,#N/A,FALSE,"91 AMT";#N/A,#N/A,FALSE,"1992";#N/A,#N/A,FALSE,"92 AMT";#N/A,#N/A,FALSE,"1993";#N/A,#N/A,FALSE,"93 AMT"}</definedName>
    <definedName function="false" hidden="true" name="wrn.Cillas." vbProcedure="false">{#N/A,#N/A,FALSE,"High Level";#N/A,#N/A,FALSE,"Position Summaries";#N/A,#N/A,FALSE,"Position Listing"}</definedName>
    <definedName function="false" hidden="true" name="wrn.CMN_FE_1." vbProcedure="false">{#N/A,#N/A,FALSE,"CMN_FE"}</definedName>
    <definedName function="false" hidden="true" name="wrn.CMN_FE_2." vbProcedure="false">{#N/A,#N/A,FALSE,"CMN_FE"}</definedName>
    <definedName function="false" hidden="true" name="wrn.CMN_FE_3." vbProcedure="false">{#N/A,#N/A,FALSE,"CMN_FE"}</definedName>
    <definedName function="false" hidden="true" name="wrn.cns" vbProcedure="false">{"Annual",#N/A,FALSE,"FTS";"Divisional",#N/A,FALSE,"FTS";"Balance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function="false" hidden="true" name="wrn.COMBINED." vbProcedure="false">{#N/A,#N/A,FALSE,"INPUTS";#N/A,#N/A,FALSE,"PROFORMA BSHEET";#N/A,#N/A,FALSE,"COMBINED";#N/A,#N/A,FALSE,"HIGH YIELD";#N/A,#N/A,FALSE,"COMB_GRAPHS"}</definedName>
    <definedName function="false" hidden="true" name="wrn.Complete." vbProcedure="false">{#N/A,#N/A,TRUE,"DCF Summary";#N/A,#N/A,TRUE,"Casema";#N/A,#N/A,TRUE,"UK";#N/A,#N/A,TRUE,"RCF";#N/A,#N/A,TRUE,"Intercable CZ";#N/A,#N/A,TRUE,"Interkabel P";#N/A,#N/A,TRUE,"LBO-Total";#N/A,#N/A,TRUE,"LBO-Casema"}</definedName>
    <definedName function="false" hidden="true" name="wrn.COMPLETE._.REPORT." vbProcedure="false">{#N/A,#N/A,FALSE,"Intro";#N/A,#N/A,FALSE,"Para";#N/A,#N/A,FALSE,"Summary";#N/A,#N/A,FALSE,"Major";#N/A,#N/A,FALSE,"PL";#N/A,#N/A,FALSE,"BS";#N/A,#N/A,FALSE,"CF";#N/A,#N/A,FALSE,"Ratio";#N/A,#N/A,FALSE,"Evaluate";#N/A,#N/A,FALSE,"NPV";#N/A,#N/A,FALSE,"Option";#N/A,#N/A,FALSE,"GSale";#N/A,#N/A,FALSE,"Sample";#N/A,#N/A,FALSE,"COGS";#N/A,#N/A,FALSE,"Rebate";#N/A,#N/A,FALSE,"Deduction";#N/A,#N/A,FALSE,"SP";#N/A,#N/A,FALSE,"RD"}</definedName>
    <definedName function="false" hidden="true" name="wrn.comps." vbProcedure="false">{"comps",#N/A,FALSE,"comps";"notes",#N/A,FALSE,"comps"}</definedName>
    <definedName function="false" hidden="true" name="wrn.Comps1_Printing." vbProcedure="false">{"comps1_1",#N/A,FALSE,"Comps1";"comps1_2",#N/A,FALSE,"Comps1";"comps1_3",#N/A,FALSE,"Comps1";"comps1_4",#N/A,FALSE,"Comps1";"comps1_5",#N/A,FALSE,"Comps1"}</definedName>
    <definedName function="false" hidden="true" name="wrn.Comps2_Printing." vbProcedure="false">{"comps2_1",#N/A,FALSE,"Comps2";"comps2_2",#N/A,FALSE,"Comps2";"comps2_3",#N/A,FALSE,"Comps2";"comps2_4",#N/A,FALSE,"Comps2";"comps2_5",#N/A,FALSE,"Comps2"}</definedName>
    <definedName function="false" hidden="true" name="wrn.CONSOL." vbProcedure="false">{#N/A,#N/A,FALSE,"INCOME STATEMENT";#N/A,#N/A,FALSE,"10Q CASH FLOW";#N/A,#N/A,FALSE,"SUPPLEMENTAL INFORMATION";#N/A,#N/A,FALSE,"BALANCE SHEET";#N/A,#N/A,FALSE,"STIS996";#N/A,#N/A,FALSE,"STBS996";#N/A,#N/A,FALSE,"CONSOL. INC. STMT";#N/A,#N/A,FALSE,"consol cash flow";#N/A,#N/A,FALSE,"CASH FLOW";#N/A,#N/A,FALSE,"sales rec";#N/A,#N/A,FALSE,"FOOT";#N/A,#N/A,FALSE,"INVENTORY"}</definedName>
    <definedName function="false" hidden="true" name="wrn.CONSOLIDATION." vbProcedure="false">{"PAGE1",#N/A,FALSE,"Consolidation";"PAGE2",#N/A,FALSE,"Consolidation";"PAGE3",#N/A,FALSE,"Consolidation";"PAGE4",#N/A,FALSE,"Consolidation";"PAGE5",#N/A,FALSE,"Consolidation";"PAGE6",#N/A,FALSE,"Consolidation";"PAGE7",#N/A,FALSE,"Consolidation"}</definedName>
    <definedName function="false" hidden="true" name="wrn.cooper." vbProcedure="false">{#N/A,#N/A,TRUE,"Pro Forma";#N/A,#N/A,TRUE,"PF_Bal";#N/A,#N/A,TRUE,"PF_INC";#N/A,#N/A,TRUE,"CBE";#N/A,#N/A,TRUE,"SWK"}</definedName>
    <definedName function="false" hidden="true" name="wrn.CORR." vbProcedure="false">{"INCSTMT1",#N/A,FALSE,"COR";"INCSTMT2",#N/A,FALSE,"COR"}</definedName>
    <definedName function="false" hidden="true" name="wrn.COST._.OF._.GOODS._.SOLD." vbProcedure="false">{"cogs",#N/A,FALSE,"Cost Of Goods Sold"}</definedName>
    <definedName function="false" hidden="true" name="wrn.CPB." vbProcedure="false">{#N/A,#N/A,FALSE,"CPB"}</definedName>
    <definedName function="false" hidden="true" name="wrn.Credit._.Summary." vbProcedure="false">{#N/A,#N/A,FALSE,"Credit Summary"}</definedName>
    <definedName function="false" hidden="true" name="wrn.CS_SCHEDULE." vbProcedure="false">{"RATIO",#N/A,FALSE,"sch._cs";"FB",#N/A,FALSE,"sch._cs";"SP_MILL_MIX_150PRESS",#N/A,FALSE,"sch._cs"}</definedName>
    <definedName function="false" hidden="true" name="wrn.CS_SCH_2." vbProcedure="false">{"SP_MILL_MIX_150PRESS",#N/A,FALSE,"sch._cs";"SP_OTHERS",#N/A,FALSE,"sch._cs";"BP",#N/A,FALSE,"sch._cs";"KILN_SHAFT_SHUTTLE_L/UNL_BELL_CC",#N/A,FALSE,"sch._cs";"CHK_BTK_GPP_L/UNL-BP",#N/A,FALSE,"sch._cs"}</definedName>
    <definedName function="false" hidden="true" name="wrn.daily." vbProcedure="false">{#N/A,#N/A,FALSE,"Major v. River";#N/A,#N/A,FALSE,"Large Operators";#N/A,#N/A,FALSE,"Smaller Operators";#N/A,#N/A,FALSE,"Equip. Supply";#N/A,#N/A,FALSE,"EBITDA"}</definedName>
    <definedName function="false" hidden="true" name="wrn.Darwin." vbProcedure="false">{#N/A,#N/A,FALSE,"Title";#N/A,#N/A,FALSE,"Assumptions";#N/A,#N/A,FALSE,"Bidder";#N/A,#N/A,FALSE,"Target";#N/A,#N/A,FALSE,"Curr";#N/A,#N/A,FALSE,"Prosp";#N/A,#N/A,FALSE,"Prosp+1";#N/A,#N/A,FALSE,"Summary";#N/A,#N/A,FALSE,"Debtsched";#N/A,#N/A,FALSE,"Sensitivities"}</definedName>
    <definedName function="false" hidden="true" name="wrn.Data." vbProcedure="false">{#N/A,#N/A,FALSE,"Comps"}</definedName>
    <definedName function="false" hidden="true" name="wrn.datapak." vbProcedure="false">{#N/A,#N/A,FALSE,"Status of Projects";#N/A,#N/A,FALSE,"CEA-TEC";#N/A,#N/A,FALSE,"U-Constr.";#N/A,#N/A,FALSE,"summary";#N/A,#N/A,FALSE,"PPP-3 yrs"}</definedName>
    <definedName function="false" hidden="true" name="wrn.DAVEB." vbProcedure="false">{#N/A,#N/A,FALSE,"480";#N/A,#N/A,FALSE,"710";#N/A,#N/A,FALSE,"750";#N/A,#N/A,FALSE,"760";#N/A,#N/A,FALSE,"770";#N/A,#N/A,FALSE,"780";#N/A,#N/A,FALSE,"870";#N/A,#N/A,FALSE,"620"}</definedName>
    <definedName function="false" hidden="true" name="wrn.dcf." vbProcedure="false">{"mgmt forecast",#N/A,FALSE,"Mgmt Forecast";"dcf table",#N/A,FALSE,"Mgmt Forecast";"sensitivity",#N/A,FALSE,"Mgmt Forecast";"table inputs",#N/A,FALSE,"Mgmt Forecast";"calculations",#N/A,FALSE,"Mgmt Forecast"}</definedName>
    <definedName function="false" hidden="true" name="wrn.DCF._.Only." vbProcedure="false">{#N/A,#N/A,FALSE,"DCF Summary";#N/A,#N/A,FALSE,"Casema";#N/A,#N/A,FALSE,"Casema NoTel";#N/A,#N/A,FALSE,"UK";#N/A,#N/A,FALSE,"RCF";#N/A,#N/A,FALSE,"Intercable CZ";#N/A,#N/A,FALSE,"Interkabel P"}</definedName>
    <definedName function="false" hidden="true" name="wrn.DCF._.Valuation." vbProcedure="false">{"value box",#N/A,TRUE,"DPL Inc. Fin Statements";"unlevered free cash flows",#N/A,TRUE,"DPL Inc. Fin Statements"}</definedName>
    <definedName function="false" hidden="true" name="wrn.DEPRECIATION." vbProcedure="false">{"depreciation",#N/A,FALSE,"Amort-Dep"}</definedName>
    <definedName function="false" hidden="true" name="wrn.detail." vbProcedure="false">{#N/A,#N/A,FALSE,"TOTAL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function="false" hidden="true" name="wrn.Detailed._.Maturity._.of._.Program." vbProcedure="false">{#N/A,#N/A,FALSE,"MATURITY"}</definedName>
    <definedName function="false" hidden="true" name="wrn.detail_US." vbProcedure="false">{"summary1",#N/A,FALSE,"K";"summary2",#N/A,FALSE,"K";"USmarket",#N/A,FALSE,"K";"USearnings",#N/A,FALSE,"K"}</definedName>
    <definedName function="false" hidden="true" name="wrn.DG" vbProcedure="false">{"Annual",#N/A,FALSE,"FTS";"Divisional",#N/A,FALSE,"FTS";"Balance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function="false" hidden="true" name="wrn.DG." vbProcedure="false">{"Annual",#N/A,FALSE,"PETC";"Balance Sheet",#N/A,FALSE,"PETC";"Funds Flow",#N/A,FALSE,"PETC";"Quarterly Earnings",#N/A,FALSE,"PETC";"Quarterly Margins",#N/A,FALSE,"PETC";"Ratio Analysis",#N/A,FALSE,"PETC";"Q Sales",#N/A,FALSE,"PETC";"Unit Analysis",#N/A,FALSE,"PETC";"Inventory Analysis",#N/A,FALSE,"PETC";"Valuation",#N/A,FALSE,"PETC";"Comps",#N/A,FALSE,"PETC"}</definedName>
    <definedName function="false" hidden="true" name="wrn.dil_anal." vbProcedure="false">{"hiden",#N/A,FALSE,"14";"hidden",#N/A,FALSE,"16";"hidden",#N/A,FALSE,"18";"hidden",#N/A,FALSE,"20"}</definedName>
    <definedName function="false" hidden="true" name="wrn.dil_anal.1" vbProcedure="false">{"hiden",#N/A,FALSE,"14";"hidden",#N/A,FALSE,"16";"hidden",#N/A,FALSE,"18";"hidden",#N/A,FALSE,"20"}</definedName>
    <definedName function="false" hidden="true" name="wrn.djall." vbProcedure="false">{"djcash",#N/A,FALSE,"DJann";"djinc",#N/A,FALSE,"DJann";"djtaxes",#N/A,FALSE,"DJann";"djbuspub",#N/A,FALSE,"DJann";"djwall",#N/A,FALSE,"DJann";"djcompprs",#N/A,FALSE,"DJann";"djteler",#N/A,FALSE,"DJann"}</definedName>
    <definedName function="false" hidden="true" name="wrn.document." vbProcedure="false">{"consolidated",#N/A,FALSE,"Sheet1";"cms",#N/A,FALSE,"Sheet1";"fse",#N/A,FALSE,"Sheet1"}</definedName>
    <definedName function="false" hidden="true" name="wrn.document.1" vbProcedure="false">{"comp",#N/A,FALSE,"SPEC";"footnotes",#N/A,FALSE,"SPEC"}</definedName>
    <definedName function="false" hidden="true" name="wrn.documentaero." vbProcedure="false">{"comps2",#N/A,FALSE,"AERO";"footnotes",#N/A,FALSE,"AERO"}</definedName>
    <definedName function="false" hidden="true" name="wrn.documentaero.1" vbProcedure="false">{"comps2",#N/A,FALSE,"AERO";"footnotes",#N/A,FALSE,"AERO"}</definedName>
    <definedName function="false" hidden="true" name="wrn.documenthand." vbProcedure="false">{"comps",#N/A,FALSE,"HANDPACK";"footnotes",#N/A,FALSE,"HANDPACK"}</definedName>
    <definedName function="false" hidden="true" name="wrn.documenthand.1" vbProcedure="false">{"comps",#N/A,FALSE,"HANDPACK";"footnotes",#N/A,FALSE,"HANDPACK"}</definedName>
    <definedName function="false" hidden="true" name="wrn.Dom." vbProcedure="false">{"Dom_qty",#N/A,FALSE,"Domestic";"Dom_sell",#N/A,FALSE,"Domestic";"Dom_misc",#N/A,FALSE,"Domestic"}</definedName>
    <definedName function="false" hidden="true" name="wrn.DOMINIC." vbProcedure="false">{#N/A,#N/A,FALSE,"445";#N/A,#N/A,FALSE,"825";#N/A,#N/A,FALSE,"840";#N/A,#N/A,FALSE,"890"}</definedName>
    <definedName function="false" hidden="true" name="wrn.Earnings._.Model."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wrn.ecpall." vbProcedure="false">{"ecpcash",#N/A,FALSE,"ECPann";"ecpinc",#N/A,FALSE,"ECPann";"ecpindia",#N/A,FALSE,"ECPann";"ecpmun",#N/A,FALSE,"ECPann";"ecpphoenix",#N/A,FALSE,"ECPann";"ecpothe",#N/A,FALSE,"ECPann";"ecpbalsht",#N/A,FALSE,"ECPann"}</definedName>
    <definedName function="false" hidden="true" name="wrn.ENTER._.INPUT._.SCHEDULES." vbProcedure="false">{#N/A,#N/A,FALSE,"EXCHANGE";#N/A,#N/A,FALSE,"ACQUISITIONS";#N/A,#N/A,FALSE,"DISPOSALS";#N/A,#N/A,FALSE,"OTHER INPUT (1)";#N/A,#N/A,FALSE,"OTHER INPUT (2)";#N/A,#N/A,FALSE,"P&amp;L CHECK";#N/A,#N/A,FALSE,"TM1 EXTRACTION"}</definedName>
    <definedName function="false" hidden="true" name="wrn.equity._.comps." vbProcedure="false">{"equity comps",#N/A,FALSE,"CS Comps";"equity comps",#N/A,FALSE,"PS Comps";"equity comps",#N/A,FALSE,"GIC_Comps";"equity comps",#N/A,FALSE,"GIC2_Comps"}</definedName>
    <definedName function="false" hidden="true" name="wrn.equity._.comps.1" vbProcedure="false">{"equity comps",#N/A,FALSE,"CS Comps";"equity comps",#N/A,FALSE,"PS Comps";"equity comps",#N/A,FALSE,"GIC_Comps";"equity comps",#N/A,FALSE,"GIC2_Comps"}</definedName>
    <definedName function="false" hidden="true" name="wrn.ETH." vbProcedure="false">{"AnnMarg.",#N/A,FALSE,"ETHAN";"Q",#N/A,FALSE,"Qtrs."}</definedName>
    <definedName function="false" hidden="true" name="wrn.Everything." vbProcedure="false">{#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function="false" hidden="true" name="wrn.EXEC._.SUMM._.ALL." vbProcedure="false">{"exec sum us",#N/A,FALSE,"Exec Sum";"exec sum ex",#N/A,FALSE,"Exec Sum";"exec sum ww",#N/A,FALSE,"Exec Sum"}</definedName>
    <definedName function="false" hidden="true" name="wrn.EXEC._.SUMM._.EX._.US." vbProcedure="false">{"exec sum ex",#N/A,FALSE,"Exec Sum"}</definedName>
    <definedName function="false" hidden="true" name="wrn.EXEC._.SUMM._.US." vbProcedure="false">{"exec sum us",#N/A,FALSE,"Exec Sum"}</definedName>
    <definedName function="false" hidden="true" name="wrn.EXEC._.SUMM._.WW." vbProcedure="false">{"exec sum ww",#N/A,FALSE,"Exec Sum"}</definedName>
    <definedName function="false" hidden="true" name="wrn.execsum." vbProcedure="false">{"execsum",#N/A,FALSE,"ExecSum";"finstatement",#N/A,FALSE,"Fin_St"}</definedName>
    <definedName function="false" hidden="true" name="wrn.Exp." vbProcedure="false">{"Exp_qty",#N/A,FALSE,"Export";"Exp_sell",#N/A,FALSE,"Export";"Exp_misc",#N/A,FALSE,"Export"}</definedName>
    <definedName function="false" hidden="true" name="wrn.ExpCompSet." vbProcedure="false">{"ExpCompSet",#N/A,FALSE,"Export Comp. Sets"}</definedName>
    <definedName function="false" hidden="true" name="wrn.External." vbProcedure="false">{"External_Annual_Income",#N/A,FALSE,"External";"External_Quarterly_Income",#N/A,FALSE,"External"}</definedName>
    <definedName function="false" hidden="true" name="wrn.fb." vbProcedure="false">{"AnnMarg",#N/A,FALSE,"FALCON";"Q",#N/A,FALSE,"Qtrs."}</definedName>
    <definedName function="false" hidden="true" name="wrn.fcb" vbProcedure="false">{"FCB_ALL",#N/A,FALSE,"FCB"}</definedName>
    <definedName function="false" hidden="true" name="wrn.FCB." vbProcedure="false">{"FCB_ALL",#N/A,FALSE,"FCB"}</definedName>
    <definedName function="false" hidden="true" name="wrn.fcb._dcf" vbProcedure="false">{"FCB_ALL",#N/A,FALSE,"FCB"}</definedName>
    <definedName function="false" hidden="true" name="wrn.fcb2" vbProcedure="false">{"FCB_ALL",#N/A,FALSE,"FCB"}</definedName>
    <definedName function="false" hidden="true" name="wrn.fcb2_dcf" vbProcedure="false">{"FCB_ALL",#N/A,FALSE,"FCB"}</definedName>
    <definedName function="false" hidden="true" name="wrn.FCT." vbProcedure="false">{"FCT,1,2,3",#N/A,FALSE,"FCT";"FCT,4,5,6",#N/A,FALSE,"FCT";"FCT,7",#N/A,FALSE,"FCT";"FCT,8",#N/A,FALSE,"FCT"}</definedName>
    <definedName function="false" hidden="true" name="wrn.Ferro._1" vbProcedure="false">{"matt","zero",FALSE,"CS First Boston Merger Model";"matt","twenty",FALSE,"CS First Boston Merger Model";"matt","forty",FALSE,"CS First Boston Merger Model";"matt","sixty",FALSE,"CS First Boston Merger Model";"matt","eighty",FALSE,"CS First Boston Merger Model";"matt","hundred",FALSE,"CS First Boston Merger Model"}</definedName>
    <definedName function="false" hidden="true" name="wrn.Final._.Report." vbProcedure="false">{"Finished Goods",#N/A,TRUE,"FG Production-pg1";"pg2 Finished Goods",#N/A,TRUE,"FG pg2";"pg4 Finished Goods",#N/A,TRUE,"Pg 4";"Paste",#N/A,TRUE,"FG Production-pg1";"pg2 Paste",#N/A,TRUE,"FG pg2";"pg4 Paste",#N/A,TRUE,"Pg 4";"pg3 Finished Goods",#N/A,TRUE,"FG - KPIs pg3";"Total Plant",#N/A,TRUE,"FG Production-pg1";"pg2 Cannery Total",#N/A,TRUE,"FG pg2";"pg4 Total",#N/A,TRUE,"Pg 4"}</definedName>
    <definedName function="false" hidden="true" name="wrn.Finanalysis." vbProcedure="false">{"finana",#N/A,FALSE,"Fin"}</definedName>
    <definedName function="false" hidden="true" name="wrn.Financial." vbProcedure="false">{#N/A,#N/A,FALSE,"Cumulative";#N/A,#N/A,FALSE,"1997";#N/A,#N/A,FALSE,"1996";#N/A,#N/A,FALSE,"1995";#N/A,#N/A,FALSE,"1994";#N/A,#N/A,FALSE,"1993";#N/A,#N/A,FALSE,"1992"}</definedName>
    <definedName function="false" hidden="true" name="wrn.Financial._.Statements." vbProcedure="false">{#N/A,#N/A,FALSE,"PL";#N/A,#N/A,FALSE,"BS";#N/A,#N/A,FALSE,"CF"}</definedName>
    <definedName function="false" hidden="true" name="wrn.FINANCIAL._.SUMMARY._.ALL." vbProcedure="false">{"fin sum us",#N/A,FALSE,"Financial Summ";"fin sum ex",#N/A,FALSE,"Financial Summ";"fin sum ww",#N/A,FALSE,"Financial Summ"}</definedName>
    <definedName function="false" hidden="true" name="wrn.FINANCIAL._.SUMMARY._.EX._.US." vbProcedure="false">{"fin sum ex",#N/A,FALSE,"Financial Summ"}</definedName>
    <definedName function="false" hidden="true" name="wrn.FINANCIAL._.SUMMARY._.US." vbProcedure="false">{"fin sum us",#N/A,FALSE,"Financial Summ"}</definedName>
    <definedName function="false" hidden="true" name="wrn.FINANCIAL._.SUMMARY._.WW." vbProcedure="false">{"fin sum ww",#N/A,FALSE,"Financial Summ"}</definedName>
    <definedName function="false" hidden="true" name="wrn.financials." vbProcedure="false">{"income",#N/A,FALSE,"K";"cashflow",#N/A,FALSE,"K";"balances",#N/A,FALSE,"K";"ratios",#N/A,FALSE,"K"}</definedName>
    <definedName function="false" hidden="true" name="wrn.Financials._.Assumptions." vbProcedure="false">{#N/A,#N/A,FALSE,"Financials";#N/A,#N/A,FALSE,"Main";#N/A,#N/A,FALSE,"Assumptions"}</definedName>
    <definedName function="false" hidden="true" name="wrn.Financials_long." vbProcedure="false">{"IS",#N/A,FALSE,"Financials2 (Expanded)";"bsa",#N/A,FALSE,"Financials2 (Expanded)";"BS",#N/A,FALSE,"Financials2 (Expanded)";"CF",#N/A,FALSE,"Financials2 (Expanded)"}</definedName>
    <definedName function="false" hidden="true" name="wrn.finstat." vbProcedure="false">{"ass",#N/A,FALSE,"finstat";"inc",#N/A,FALSE,"finstat";"bs",#N/A,FALSE,"finstat";"cf",#N/A,FALSE,"finstat";"ratios",#N/A,FALSE,"finstat"}</definedName>
    <definedName function="false" hidden="true" name="wrn.for._.TenneT." vbProcedure="false">{#N/A,#N/A,TRUE,"Cover";#N/A,#N/A,TRUE,"Corrections";#N/A,#N/A,TRUE,"Tariffs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function="false" hidden="true" name="wrn.for._.TenneT.1" vbProcedure="false">{#N/A,#N/A,TRUE,"Cover";#N/A,#N/A,TRUE,"Corrections";#N/A,#N/A,TRUE,"Tariffs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function="false" hidden="true" name="wrn.FORECAST." vbProcedure="false">{"BS1",#N/A,FALSE,"BS 1";"CF1",#N/A,FALSE,"CF 1";"BS2",#N/A,FALSE,"5Yr-BS2";"CF2",#N/A,FALSE,"5Yr-CF2";"AR",#N/A,FALSE,"Assumptions";"INVTR",#N/A,FALSE,"Assumptions";"FAs",#N/A,FALSE,"Assumptions";"OTH_ASST",#N/A,FALSE,"Assumptions";"JEs",#N/A,FALSE,"Assumptions";"ICO_AR",#N/A,FALSE,"Assumptions";"ICO_LOAN",#N/A,FALSE,"Assumptions";"ICO_AP",#N/A,FALSE,"Assumptions";"CL",#N/A,FALSE,"Assumptions";"ACC_TAX",#N/A,FALSE,"Assumptions";"DEF_TAX",#N/A,FALSE,"Assumptions";"LT_LIABS",#N/A,FALSE,"Assumptions"}</definedName>
    <definedName function="false" hidden="true" name="wrn.Forecast._.Q1." vbProcedure="false">{"cover a","1q",FALSE,"Cover";"Op Earn Mgd Q1",#N/A,FALSE,"Op-Earn (Mng)";"Op Earn Rpt Q1",#N/A,FALSE,"Op-Earn (Rpt)";"Loans",#N/A,FALSE,"Loans";"Credit Costs",#N/A,FALSE,"CCosts";"Net Interest Margin",#N/A,FALSE,"Margin";"Nonint Income",#N/A,FALSE,"NonII";"Nonint Exp",#N/A,FALSE,"NonIE";"Valuation",#N/A,FALSE,"Valuation"}</definedName>
    <definedName function="false" hidden="true" name="wrn.Forecast._.Q2." vbProcedure="false">{"cover a","2q",FALSE,"Cover";"Op Earn Mgd Q2",#N/A,FALSE,"Op-Earn (Mng)";"Op Earn Rpt Q2",#N/A,FALSE,"Op-Earn (Rpt)";"Loans",#N/A,FALSE,"Loans";"Credit Costs",#N/A,FALSE,"CCosts";"Net Interest Margin",#N/A,FALSE,"Margin";"Nonint Income",#N/A,FALSE,"NonII";"Nonint Exp",#N/A,FALSE,"NonIE";"Valuation",#N/A,FALSE,"Valuation"}</definedName>
    <definedName function="false" hidden="true" name="wrn.Forecast._.Q2a." vbProcedure="false">{"cover a","2q",FALSE,"Cover";"Op Earn Mgd Q2",#N/A,FALSE,"Op-Earn (Mng)";"Op Earn Rpt Q2",#N/A,FALSE,"Op-Earn (Rpt)";"Loans",#N/A,FALSE,"Loans";"Credit Costs",#N/A,FALSE,"CCosts";"Net Interest Margin",#N/A,FALSE,"Margin";"Nonint Income",#N/A,FALSE,"NonII";"Nonint Exp",#N/A,FALSE,"NonIE";"Valuation",#N/A,FALSE,"Valuation"}</definedName>
    <definedName function="false" hidden="true" name="wrn.Forecast._.Q3." vbProcedure="false">{"cover a","3q",FALSE,"Cover";"Op Earn Mgd Q3",#N/A,FALSE,"Op-Earn (Mng)";"Op Earn Rpt Q3",#N/A,FALSE,"Op-Earn (Rpt)";"Loans",#N/A,FALSE,"Loans";"Credit Costs",#N/A,FALSE,"CCosts";"Net Interest Margin",#N/A,FALSE,"Margin";"Nonint Income",#N/A,FALSE,"NonII";"Nonint Exp",#N/A,FALSE,"NonIE";"Valuation",#N/A,FALSE,"Valuation"}</definedName>
    <definedName function="false" hidden="true" name="wrn.Forecast._.Q4." vbProcedure="false">{"cover a","4q",FALSE,"Cover";"Op Earn Mgd Q4",#N/A,FALSE,"Op-Earn (Mng)";"Op Earn Rpt Q4",#N/A,FALSE,"Op-Earn (Rpt)";"Loans",#N/A,FALSE,"Loans";"Credit Costs",#N/A,FALSE,"CCosts";"Net Interest Margin",#N/A,FALSE,"Margin";"Nonint Income",#N/A,FALSE,"NonII";"Nonint Exp",#N/A,FALSE,"NonIE";"Valuation",#N/A,FALSE,"Valuation"}</definedName>
    <definedName function="false" hidden="true" name="wrn.Forecast._.Q4a" vbProcedure="false">{"cover a","4q",FALSE,"Cover";"Op Earn Mgd Q4",#N/A,FALSE,"Op-Earn (Mng)";"Op Earn Rpt Q4",#N/A,FALSE,"Op-Earn (Rpt)";"Loans",#N/A,FALSE,"Loans";"Credit Costs",#N/A,FALSE,"CCosts";"Net Interest Margin",#N/A,FALSE,"Margin";"Nonint Income",#N/A,FALSE,"NonII";"Nonint Exp",#N/A,FALSE,"NonIE";"Valuation",#N/A,FALSE,"Valuation"}</definedName>
    <definedName function="false" hidden="true" name="wrn.Fortune._.Input." vbProcedure="false">{#N/A,#N/A,FALSE,"VALHIST";#N/A,#N/A,FALSE,"ROIC";#N/A,#N/A,FALSE,"Segments";#N/A,#N/A,FALSE,"INPUT"}</definedName>
    <definedName function="false" hidden="true" name="wrn.Fortune._.Report." vbProcedure="false">{#N/A,#N/A,FALSE,"IS98";#N/A,#N/A,FALSE,"Qtrly_IS";#N/A,#N/A,FALSE,"CF98"}</definedName>
    <definedName function="false" hidden="true" name="wrn.FOUR._.CASES._1" vbProcedure="false">{"MODEL","ALL STOCK",FALSE,"CS First Boston Merger Model";"MODEL","ALL CASH",FALSE,"CS First Boston Merger Model";"MODEL","ALL CASH WITH EQUITY OFFERING",FALSE,"CS First Boston Merger Model";"MODEL","HALF CASH/HALF STOCK",FALSE,"CS First Boston Merger Model"}</definedName>
    <definedName function="false" hidden="true" name="wrn.FRANK." vbProcedure="false">{#N/A,#N/A,FALSE,"850";#N/A,#N/A,FALSE,"852"}</definedName>
    <definedName function="false" hidden="true" name="wrn.Friendly." vbProcedure="false">{#N/A,#N/A,TRUE,"Julio";#N/A,#N/A,TRUE,"Agosto";#N/A,#N/A,TRUE,"BHCo";#N/A,#N/A,TRUE,"Abril";#N/A,#N/A,TRUE,"Pro Forma"}</definedName>
    <definedName function="false" hidden="true" name="wrn.FTS." vbProcedure="false">{"Annual",#N/A,FALSE,"FTS";"Divisional",#N/A,FALSE,"FTS";"Balance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function="false" hidden="true" name="wrn.Full._.Monty." vbProcedure="false">{"ROIC",#N/A,FALSE,"ROIC";"Graphs",#N/A,FALSE,"TY analysis";"fcf",#N/A,FALSE,"FCF";"Matrix_2004",#N/A,FALSE,"MATRIX(2004)";"matrix_2008",#N/A,FALSE,"MATRIX(2008)";"FS_Condensed",#N/A,FALSE,"Financial Statements2";"TAXES",#N/A,FALSE,"Taxes";"DEBT_INVEST",#N/A,FALSE,"Debt&amp;Investment Schedule";"Main_menu",#N/A,FALSE,"Main Menu"}</definedName>
    <definedName function="false" hidden="true" name="wrn.Full._.Report." vbProcedure="false">{#N/A,#N/A,FALSE,"COVER";#N/A,#N/A,FALSE,"VALUATION";#N/A,#N/A,FALSE,"FORECAST";#N/A,#N/A,FALSE,"FY ANALYSIS ";#N/A,#N/A,FALSE," HY ANALYSIS"}</definedName>
    <definedName function="false" hidden="true" name="wrn.FUZ_REP." vbProcedure="false">{"FUZ_INC_A",#N/A,FALSE,"NOBE";"FUZ_INC_Q",#N/A,FALSE,"NOBE";"FUZ_BAL_A",#N/A,FALSE,"NOBE";"FUZ_CASH_A",#N/A,FALSE,"NOBE";"FUZ_PROD_A",#N/A,FALSE,"NOBE"}</definedName>
    <definedName function="false" hidden="true" name="wrn.fuz_report." vbProcedure="false">{"fuz_inc_a",#N/A,FALSE,"BKS";"fuz_inc_q",#N/A,FALSE,"BKS";"fuz_bal_a",#N/A,FALSE,"BKS";"fuz_cash_a",#N/A,FALSE,"BKS";"fuz_prod_a",#N/A,FALSE,"BKS";"fuz_div_a",#N/A,FALSE,"BKS";"fuz_div2_a",#N/A,FALSE,"BKS"}</definedName>
    <definedName function="false" hidden="true" name="wrn.FY97SBP." vbProcedure="false">{#N/A,#N/A,FALSE,"FY97";#N/A,#N/A,FALSE,"FY98";#N/A,#N/A,FALSE,"FY99";#N/A,#N/A,FALSE,"FY00";#N/A,#N/A,FALSE,"FY01"}</definedName>
    <definedName function="false" hidden="true" name="wrn.GCIall." vbProcedure="false">{"gcicash",#N/A,FALSE,"GCIINC";"gciinc",#N/A,FALSE,"GCIINC";"gciexclusa",#N/A,FALSE,"GCIINC";"usatdy",#N/A,FALSE,"GCIINC"}</definedName>
    <definedName function="false" hidden="true" name="wrn.Genentech._.Model." vbProcedure="false">{#N/A,#N/A,FALSE,"Inc";#N/A,#N/A,FALSE,"Prod";#N/A,#N/A,FALSE,"QInc";#N/A,#N/A,FALSE,"QProd"}</definedName>
    <definedName function="false" hidden="true" name="wrn.GENERAL._.INPUT._.SCREEN." vbProcedure="false">{"General Input",#N/A,FALSE,"General Input"}</definedName>
    <definedName function="false" hidden="true" name="wrn.Genzyme._.model." vbProcedure="false">{#N/A,#N/A,FALSE,"Inc";#N/A,#N/A,FALSE,"QInc";#N/A,#N/A,FALSE,"Pro";#N/A,#N/A,FALSE,"QPro"}</definedName>
    <definedName function="false" hidden="true" name="wrn.GIS." vbProcedure="false">{#N/A,#N/A,FALSE,"GIS"}</definedName>
    <definedName function="false" hidden="true" name="wrn.GRAPHS." vbProcedure="false">{#N/A,#N/A,FALSE,"ACQ_GRAPHS";#N/A,#N/A,FALSE,"T_1 GRAPHS";#N/A,#N/A,FALSE,"T_2 GRAPHS";#N/A,#N/A,FALSE,"COMB_GRAPHS"}</definedName>
    <definedName function="false" hidden="true" name="wrn.GSK._.FORMAT." vbProcedure="false">{#N/A,#N/A,FALSE,"GSK format BS";#N/A,#N/A,FALSE,"GSK format CF"}</definedName>
    <definedName function="false" hidden="true" name="wrn.handout." vbProcedure="false">{"quarterly",#N/A,FALSE,"Income Statement";#N/A,#N/A,FALSE,"print segment";#N/A,#N/A,FALSE,"Balance Sheet";#N/A,#N/A,FALSE,"Annl Inc";#N/A,#N/A,FALSE,"Cash Flow"}</definedName>
    <definedName function="false" hidden="true" name="wrn.Historical._.Cost._.PWC." vbProcedure="false">{#N/A,#N/A,TRUE,"Cover His PWC";#N/A,#N/A,TRUE,"P&amp;L";#N/A,#N/A,TRUE,"BS";#N/A,#N/A,TRUE,"Depreciation";#N/A,#N/A,TRUE,"GRAPHS";#N/A,#N/A,TRUE,"DCF EBITDA Multiple";#N/A,#N/A,TRUE,"DCF Perpetual Growth"}</definedName>
    <definedName function="false" hidden="true" name="wrn.Historical._.Cost._.PWC.1" vbProcedure="false">{#N/A,#N/A,TRUE,"Cover His PWC";#N/A,#N/A,TRUE,"P&amp;L";#N/A,#N/A,TRUE,"BS";#N/A,#N/A,TRUE,"Depreciation";#N/A,#N/A,TRUE,"GRAPHS";#N/A,#N/A,TRUE,"DCF EBITDA Multiple";#N/A,#N/A,TRUE,"DCF Perpetual Growth"}</definedName>
    <definedName function="false" hidden="true" name="wrn.Historical._.Cost._.TenneT." vbProcedure="false">{#N/A,#N/A,TRUE,"Cover His T";#N/A,#N/A,TRUE,"P&amp;L";#N/A,#N/A,TRUE,"BS";#N/A,#N/A,TRUE,"Depreciation";#N/A,#N/A,TRUE,"GRAPHS";#N/A,#N/A,TRUE,"DCF EBITDA Multiple";#N/A,#N/A,TRUE,"DCF Perpetual Growth"}</definedName>
    <definedName function="false" hidden="true" name="wrn.Historical._.Cost._.TenneT.1" vbProcedure="false">{#N/A,#N/A,TRUE,"Cover His T";#N/A,#N/A,TRUE,"P&amp;L";#N/A,#N/A,TRUE,"BS";#N/A,#N/A,TRUE,"Depreciation";#N/A,#N/A,TRUE,"GRAPHS";#N/A,#N/A,TRUE,"DCF EBITDA Multiple";#N/A,#N/A,TRUE,"DCF Perpetual Growth"}</definedName>
    <definedName function="false" hidden="true" name="wrn.HNZ." vbProcedure="false">{#N/A,#N/A,FALSE,"HNZ"}</definedName>
    <definedName function="false" hidden="true" name="wrn.HRT." vbProcedure="false">{"HRT",#N/A,FALSE,"HRT"}</definedName>
    <definedName function="false" hidden="true" name="wrn.Hyg._.Acq." vbProcedure="false">{#N/A,#N/A,FALSE,"main";#N/A,#N/A,FALSE,"100% Cash";#N/A,#N/A,FALSE,"100% Stock"}</definedName>
    <definedName function="false" hidden="true" name="wrn.IGT._.Model." vbProcedure="false">{#N/A,#N/A,TRUE,"IGT";#N/A,#N/A,TRUE,"IGTSLOT"}</definedName>
    <definedName function="false" hidden="true" name="wrn.inc." vbProcedure="false">{"inc",#N/A,FALSE,"finstat"}</definedName>
    <definedName function="false" hidden="true" name="wrn.income." vbProcedure="false">{"6_Page 4-Income C+I",#N/A,FALSE,"FCT";"7_Page 4-Income C",#N/A,FALSE,"FCT";"8_Page 4-Income E",#N/A,FALSE,"FCT";"9_Page 4-Income F",#N/A,FALSE,"FCT";"10_Page 4-Income B",#N/A,FALSE,"FCT";"11_Page 4-Income Int",#N/A,FALSE,"FCT"}</definedName>
    <definedName function="false" hidden="true" name="wrn.Income._.Statement." vbProcedure="false">{#N/A,#N/A,FALSE,"Report Print"}</definedName>
    <definedName function="false" hidden="true" name="wrn.Indexes." vbProcedure="false">{"pg3 Finished Goods",#N/A,FALSE,"FG - KPIs pg3"}</definedName>
    <definedName function="false" hidden="true" name="wrn.Individual._.Pract._.Summaries." vbProcedure="false">{#N/A,"BA",TRUE,"PracTemplate";#N/A,"Custom",TRUE,"PracTemplate";#N/A,"BI",TRUE,"PracTemplate";#N/A,"SupplyChain",TRUE,"PracTemplate";#N/A,"Web",TRUE,"PracTemplate";#N/A,"ClientSvcs",TRUE,"PracTemplate";#N/A,"CRM",TRUE,"PracTemplate";#N/A,"LA",TRUE,"PracTemplate";#N/A,"Seattle",TRUE,"PracTemplate";#N/A,"ASP",TRUE,"PracTemplate";#N/A,"Resale",TRUE,"PracTemplate"}</definedName>
    <definedName function="false" hidden="true" name="wrn.INDONESIA._.OUTLKOOK." vbProcedure="false">{#N/A,#N/A,FALSE,"ASIA"}</definedName>
    <definedName function="false" hidden="true" name="wrn.Industry.xls." vbProcedure="false">{#N/A,#N/A,FALSE,"Earnings";#N/A,#N/A,FALSE,"Overview";#N/A,#N/A,FALSE,"Summary";#N/A,#N/A,FALSE,"Summary II";#N/A,#N/A,FALSE,"R&amp;D";#N/A,#N/A,FALSE,"R&amp;D Forecast";#N/A,#N/A,FALSE,"Tax Adj";#N/A,#N/A,FALSE,"Goodwill";#N/A,#N/A,FALSE,"FX ";#N/A,#N/A,FALSE,"Consolidation";#N/A,#N/A,FALSE,"Provisions"}</definedName>
    <definedName function="false" hidden="true" name="wrn.Input._.Print._.Area." vbProcedure="false">{#N/A,#N/A,FALSE,"inputs";#N/A,#N/A,FALSE,"inputs"}</definedName>
    <definedName function="false" hidden="true" name="wrn.INPUT._.SCHEDULES." vbProcedure="false">{#N/A,#N/A,FALSE,"EXCHANGE";#N/A,#N/A,FALSE,"ACQUISITIONS";#N/A,#N/A,FALSE,"DISPOSALS";#N/A,#N/A,FALSE,"OTHER INPUT (1)";#N/A,#N/A,FALSE,"OTHER INPUT (2)";#N/A,#N/A,FALSE,"P&amp;L CHECK";#N/A,#N/A,FALSE,"TM1 EXTRACTION"}</definedName>
    <definedName function="false" hidden="true" name="wrn.Intercia." vbProcedure="false">{"pag. 1",#N/A,FALSE,"Plan1";"pag. 2",#N/A,FALSE,"Plan1"}</definedName>
    <definedName function="false" hidden="true" name="wrn.Intercom." vbProcedure="false">{#N/A,#N/A,FALSE,"BRAZIL0899 "}</definedName>
    <definedName function="false" hidden="true" name="wrn.International._.Totals." vbProcedure="false">{"International Total",#N/A,FALSE,"Sheet1";"Mexico (5)",#N/A,FALSE,"Sheet1";"Mexico (37)",#N/A,FALSE,"Sheet1";"Puerto Rico (10)",#N/A,FALSE,"Sheet1"}</definedName>
    <definedName function="false" hidden="true" name="wrn.Introduction." vbProcedure="false">{#N/A,#N/A,TRUE,"Cover";#N/A,#N/A,TRUE,"Valuation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function="false" hidden="true" name="wrn.Introduction.1" vbProcedure="false">{#N/A,#N/A,TRUE,"Cover";#N/A,#N/A,TRUE,"Valuation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function="false" hidden="true" name="wrn.IS._.DETAIL._.ALL." vbProcedure="false">{"is detail ww",#N/A,FALSE,"IS DETAIL";"is detail ex",#N/A,FALSE,"IS DETAIL";"is detail us",#N/A,FALSE,"IS DETAIL"}</definedName>
    <definedName function="false" hidden="true" name="wrn.IS._.DETAIL._.EX._.US." vbProcedure="false">{"is detail ex",#N/A,FALSE,"IS DETAIL"}</definedName>
    <definedName function="false" hidden="true" name="wrn.IS._.DETAIL._.US." vbProcedure="false">{"is detail us",#N/A,FALSE,"IS DETAIL"}</definedName>
    <definedName function="false" hidden="true" name="wrn.IS._.DETAIL._.WW." vbProcedure="false">{"is detail ww",#N/A,FALSE,"IS DETAIL"}</definedName>
    <definedName function="false" hidden="true" name="wrn.IS._.SUMMARY._.ALL." vbProcedure="false">{"is sum ww",#N/A,FALSE,"IS SUM";"is sum ex",#N/A,FALSE,"IS SUM";"is sum us",#N/A,FALSE,"IS SUM"}</definedName>
    <definedName function="false" hidden="true" name="wrn.IS._.SUMMARY._.EX._.US." vbProcedure="false">{"is sum ex",#N/A,FALSE,"IS SUM"}</definedName>
    <definedName function="false" hidden="true" name="wrn.IS._.SUMMARY._.US." vbProcedure="false">{"is sum us",#N/A,FALSE,"IS SUM"}</definedName>
    <definedName function="false" hidden="true" name="wrn.IS._.SUMMARY._.WW." vbProcedure="false">{"is sum ww",#N/A,FALSE,"IS SUM"}</definedName>
    <definedName function="false" hidden="true" name="wrn.JERRY." vbProcedure="false">{#N/A,#N/A,FALSE,"610"}</definedName>
    <definedName function="false" hidden="true" name="wrn.Journal._.Entry." vbProcedure="false">{#N/A,#N/A,TRUE,"Header Data";#N/A,#N/A,TRUE,"Line Items"}</definedName>
    <definedName function="false" hidden="true" name="wrn.K." vbProcedure="false">{#N/A,#N/A,FALSE,"K"}</definedName>
    <definedName function="false" hidden="true" name="wrn.K3._.Annual." vbProcedure="false">{"K3Cash",#N/A,FALSE,"Ann";"K3Income",#N/A,FALSE,"Ann";"K3Educ",#N/A,FALSE,"Ann";"K3media",#N/A,FALSE,"Ann";"K3Info",#N/A,FALSE,"Ann";"K3Valuation",#N/A,FALSE,"Ann"}</definedName>
    <definedName function="false" hidden="true" name="wrn.K3._.Quarterly." vbProcedure="false">{"K3 first",#N/A,FALSE,"Qtr.";"K3 second",#N/A,FALSE,"Qtr.";"K3 Third",#N/A,FALSE,"Qtr.";"K3 Fourth",#N/A,FALSE,"Qtr.";"K3 Full",#N/A,FALSE,"Qtr."}</definedName>
    <definedName function="false" hidden="true" name="wrn.Kaken._.Financial._.Model." vbProcedure="false">{#N/A,#N/A,TRUE,"Product cashflow";#N/A,#N/A,TRUE,"Deal cashflow";#N/A,#N/A,TRUE,"Forecast Summary";#N/A,#N/A,TRUE,"Sales Forecast Tinea's";#N/A,#N/A,TRUE,"Sales Forecast Seb Derm";#N/A,#N/A,TRUE,"Sales Forecast Onychomycosis";#N/A,#N/A,TRUE,"R and D Costs"}</definedName>
    <definedName function="false" hidden="true" name="wrn.kick._.off." vbProcedure="false">{"kick off",#N/A,TRUE,"4. Budget"}</definedName>
    <definedName function="false" hidden="true" name="wrn.Kleinwort._.Benson._.Tables." vbProcedure="false">{#N/A,#N/A,FALSE,"Forecast - Gulf";#N/A,#N/A,FALSE,"Forecast, NYH";#N/A,#N/A,FALSE,"PR-Vol";#N/A,#N/A,FALSE,"PR-Comp";#N/A,#N/A,FALSE,"PR-OpExp";#N/A,#N/A,FALSE,"PR-Adj";#N/A,#N/A,FALSE,"PR-DCF";#N/A,#N/A,FALSE,"Crude,St. Croix";#N/A,#N/A,FALSE,"SC-Vol";#N/A,#N/A,FALSE,"SC-Comp";#N/A,#N/A,FALSE,"SC-OpExp";#N/A,#N/A,FALSE,"SC-Adj";#N/A,#N/A,FALSE,"SC-DCF";#N/A,#N/A,FALSE,"SL-DCF"}</definedName>
    <definedName function="false" hidden="true" name="wrn.kriall." vbProcedure="false">{"kricash",#N/A,FALSE,"INC";"kriinc",#N/A,FALSE,"INC";"krimiami",#N/A,FALSE,"INC";"kriother",#N/A,FALSE,"INC";"kripapers",#N/A,FALSE,"INC"}</definedName>
    <definedName function="false" hidden="true" name="wrn.Ligand._.Model." vbProcedure="false">{#N/A,#N/A,FALSE,"Inc";#N/A,#N/A,FALSE,"QInc";#N/A,#N/A,FALSE,"Pro";#N/A,#N/A,FALSE,"QPro"}</definedName>
    <definedName function="false" hidden="true" name="wrn.Lodging." vbProcedure="false">{#N/A,#N/A,FALSE,"EPS";#N/A,#N/A,FALSE,"EBITDA"}</definedName>
    <definedName function="false" hidden="true" name="wrn.magicrep." vbProcedure="false">{"sub1",#N/A,FALSE,"Subs";"pac1",#N/A,FALSE,"Packages";"rev1",#N/A,FALSE,"2. Revenues"}</definedName>
    <definedName function="false" hidden="true" name="wrn.Main._.Report._.All._.Sections." vbProcedure="false">{"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function="false" hidden="true" name="wrn.market." vbProcedure="false">{#N/A,#N/A,FALSE,"C-12";#N/A,#N/A,FALSE,"T-7";#N/A,#N/A,FALSE,"T-8";#N/A,#N/A,FALSE,"T-9";#N/A,#N/A,FALSE,"T-10";#N/A,#N/A,FALSE,"T-11";#N/A,#N/A,FALSE,"C-13";#N/A,#N/A,FALSE,"T-12"}</definedName>
    <definedName function="false" hidden="true" name="wrn.market._.share." vbProcedure="false">{#N/A,#N/A,FALSE,"Bestfoods";#N/A,#N/A,FALSE,"Campbell";#N/A,#N/A,FALSE,"ConAgra";#N/A,#N/A,FALSE,"Healthy Choice";#N/A,#N/A,FALSE,"Int'l Home Foods";#N/A,#N/A,FALSE,"General Mills";#N/A,#N/A,FALSE,"Heinz";#N/A,#N/A,FALSE,"Kellogg";#N/A,#N/A,FALSE,"Kraft";#N/A,#N/A,FALSE,"Nabisco";#N/A,#N/A,FALSE,"Quaker Oats";#N/A,#N/A,FALSE,"Sara Lee";#N/A,#N/A,FALSE,"print summary"}</definedName>
    <definedName function="false" hidden="true" name="wrn.Marketing." vbProcedure="false">{#N/A,#N/A,FALSE,"MKTSUM95";#N/A,#N/A,FALSE,"MKTADM95";#N/A,#N/A,FALSE,"MKTD&amp;C95";#N/A,#N/A,FALSE,"MKTPRD95";#N/A,#N/A,FALSE,"MKTCHL95"}</definedName>
    <definedName function="false" hidden="true" name="wrn.MARKETING._.SUMMARY." vbProcedure="false">{"Marketing Summary",#N/A,FALSE,"Marketing Spending"}</definedName>
    <definedName function="false" hidden="true" name="wrn.Marketing1" vbProcedure="false">{#N/A,#N/A,FALSE,"MKTSUM95";#N/A,#N/A,FALSE,"MKTADM95";#N/A,#N/A,FALSE,"MKTD&amp;C95";#N/A,#N/A,FALSE,"MKTPRD95";#N/A,#N/A,FALSE,"MKTCHL95"}</definedName>
    <definedName function="false" hidden="true" name="wrn.Master_Income." vbProcedure="false">{"Annual_Income",#N/A,FALSE,"Master Model";"Quarterly_Income",#N/A,FALSE,"Master Model"}</definedName>
    <definedName function="false" hidden="true" name="wrn.Matt._.Suster." vbProcedure="false">{"Matt Suster",#N/A,FALSE,"480 Status Analysis"}</definedName>
    <definedName function="false" hidden="true" name="wrn.May._.21." vbProcedure="false">{#N/A,#N/A,TRUE,"Cover";#N/A,#N/A,TRUE,"Tariffs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function="false" hidden="true" name="wrn.May._.21.1" vbProcedure="false">{#N/A,#N/A,TRUE,"Cover";#N/A,#N/A,TRUE,"Tariffs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function="false" hidden="true" name="wrn.MCCRK." vbProcedure="false">{#N/A,#N/A,FALSE,"MCCRK"}</definedName>
    <definedName function="false" hidden="true" name="wrn.memo." vbProcedure="false">{#N/A,#N/A,TRUE,"financial";#N/A,#N/A,TRUE,"plants"}</definedName>
    <definedName function="false" hidden="true" name="wrn.merger." vbProcedure="false">{"assumption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function="false" hidden="true" name="wrn.mhpall." vbProcedure="false">{"mhpcash",#N/A,FALSE,"MHPNEWX";"mhpinc",#N/A,FALSE,"MHPNEWX";"mhptax",#N/A,FALSE,"MHPNEWX";"mhpbroad",#N/A,FALSE,"MHPNEWX";"mhpeduc",#N/A,FALSE,"MHPNEWX";"mhpfin",#N/A,FALSE,"MHPNEWX";"mhpinfo",#N/A,FALSE,"MHPNEWX"}</definedName>
    <definedName function="false" hidden="true" name="wrn.MILES." vbProcedure="false">{#N/A,#N/A,FALSE,"1225";#N/A,#N/A,FALSE,"1240";#N/A,#N/A,FALSE,"1410";#N/A,#N/A,FALSE,"1435";#N/A,#N/A,FALSE,"1465"}</definedName>
    <definedName function="false" hidden="true" name="wrn.mirBellagio." vbProcedure="false">{#N/A,#N/A,FALSE,"MIR";#N/A,#N/A,FALSE,"NYNY"}</definedName>
    <definedName function="false" hidden="true" name="wrn.MISC." vbProcedure="false">{"OTHERASSETS",#N/A,FALSE,"Other";"GOODWILL",#N/A,FALSE,"Goodwill"}</definedName>
    <definedName function="false" hidden="true" name="wrn.MOBIL." vbProcedure="false">{"quarter",#N/A,FALSE,"MOB"}</definedName>
    <definedName function="false" hidden="true" name="wrn.Model." vbProcedure="false">{"DCF",#N/A,FALSE,"DCF"}</definedName>
    <definedName function="false" hidden="true" name="wrn.MODELS." vbProcedure="false">{"QTR1",#N/A,FALSE,"WLA";"QTR2",#N/A,FALSE,"WLA";"QTRSALES1",#N/A,FALSE,"QTRSALES";"QTRSALES2",#N/A,FALSE,"QTRSALES";"QTRSALES3",#N/A,FALSE,"QTRSALES";"ANNSALES1",#N/A,FALSE,"ANNSALES";"ANNSALES2",#N/A,FALSE,"ANNSALES";"ANNSALES3",#N/A,FALSE,"ANNSALES";"SEGSMARGIN",#N/A,FALSE,"SEGS-MARGIN";"CASHFLOW",#N/A,FALSE,"CASHFLOW";"NEWPRODS",#N/A,FALSE,"NEWPRODS"}</definedName>
    <definedName function="false" hidden="true" name="wrn.Mohawk._.Input." vbProcedure="false">{#N/A,#N/A,FALSE,"ROIC";#N/A,#N/A,FALSE,"INPUT"}</definedName>
    <definedName function="false" hidden="true" name="wrn.Mohawk._.Report." vbProcedure="false">{#N/A,#N/A,FALSE,"IS94";#N/A,#N/A,FALSE,"Qtrly_IS";#N/A,#N/A,FALSE,"CF98";#N/A,#N/A,FALSE,"VALHIST"}</definedName>
    <definedName function="false" hidden="true" name="wrn.Monotherapy." vbProcedure="false">{"mono",#N/A,FALSE,"Mono-therapy"}</definedName>
    <definedName function="false" hidden="true" name="wrn.Monthly." vbProcedure="false">{"Month End Performance",#N/A,FALSE,"Report";"Site Talk Times",#N/A,FALSE,"Report"}</definedName>
    <definedName function="false" hidden="true" name="wrn.monthlyunits." vbProcedure="false">{"monthlyunits",#N/A,FALSE,"openings"}</definedName>
    <definedName function="false" hidden="true" name="wrn.MORRIS." vbProcedure="false">{#N/A,#N/A,FALSE,"845"}</definedName>
    <definedName function="false" hidden="true" name="wrn.M_File_Print_Out."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true" name="wrn.N.O.L.." vbProcedure="false">{#N/A,#N/A,FALSE,"91NOLCB";#N/A,#N/A,FALSE,"92NOLCB";#N/A,#N/A,FALSE,"93NOLCB"}</definedName>
    <definedName function="false" hidden="true" name="wrn.NA." vbProcedure="false">{#N/A,#N/A,FALSE,"NA"}</definedName>
    <definedName function="false" hidden="true" name="wrn.NET._.TRADE._.SALES." vbProcedure="false">{"Net Trade Sales",#N/A,FALSE,"Net Trade Sales"}</definedName>
    <definedName function="false" hidden="true" name="wrn.new." vbProcedure="false">{#N/A,#N/A,FALSE,"Impl";#N/A,#N/A,FALSE,"sum";#N/A,#N/A,FALSE,"cat";#N/A,#N/A,FALSE,"cum";#N/A,#N/A,FALSE,"varity";#N/A,#N/A,FALSE,"ddc";#N/A,#N/A,FALSE,"man";#N/A,#N/A,FALSE,"metra";#N/A,#N/A,FALSE,"volvo"}</definedName>
    <definedName function="false" hidden="true" name="wrn.NEW._.FORMAT." vbProcedure="false">{#N/A,#N/A,FALSE,"NEW FORMAT "}</definedName>
    <definedName function="false" hidden="true" name="wrn.newoutput_1" vbProcedure="false">{"DCF","UPSIDE CASE",FALSE,"Sheet1";"DCF","BASE CASE",FALSE,"Sheet1";"DCF","DOWNSIDE CASE",FALSE,"Sheet1"}</definedName>
    <definedName function="false" hidden="true" name="wrn.northpoint." vbProcedure="false">{#N/A,#N/A,FALSE,"softdraw";#N/A,#N/A,FALSE,"linereclass";"northpint loan",#N/A,FALSE,"LOAN"}</definedName>
    <definedName function="false" hidden="true" name="wrn.nytaann." vbProcedure="false">{"nytacash",#N/A,FALSE,"GLOBEINC";"nytainc",#N/A,FALSE,"GLOBEINC";"nytanyt",#N/A,FALSE,"GLOBEINC";"nytareg",#N/A,FALSE,"GLOBEINC";"nytaglobe",#N/A,FALSE,"GLOBEINC";"nytapprttl",#N/A,FALSE,"GLOBEINC"}</definedName>
    <definedName function="false" hidden="true" name="wrn.OH._.ABSORPTION." vbProcedure="false">{"OH ABS FG",#N/A,FALSE,"OH ABS VAR";"OH ABS PASTE",#N/A,FALSE,"OH ABS VAR";"OH ABS TOTAL",#N/A,FALSE,"OH ABS VAR"}</definedName>
    <definedName function="false" hidden="true" name="wrn.one." vbProcedure="false">{"page1",#N/A,FALSE,"A";"page2",#N/A,FALSE,"A"}</definedName>
    <definedName function="false" hidden="true" name="wrn.OP._.SUMMARY." vbProcedure="false">{"OP SUM FG",#N/A,FALSE,"OPER SMRY";"OP SUM PASTE",#N/A,FALSE,"OPER SMRY";"OP SUM TOTAL",#N/A,FALSE,"OPER SMRY"}</definedName>
    <definedName function="false" hidden="true" name="wrn.OP._.SUMMARY2." vbProcedure="false">{"OP SUM FG",#N/A,FALSE,"OPER SMRY";"OP SUM PASTE",#N/A,FALSE,"OPER SMRY";"OP SUM TOTAL",#N/A,FALSE,"OPER SMRY"}</definedName>
    <definedName function="false" hidden="true" name="wrn.OUTPUT." vbProcedure="false">{"DCF","UPSIDE CASE",FALSE,"Sheet1";"DCF","BASE CASE",FALSE,"Sheet1";"DCF","DOWNSIDE CASE",FALSE,"Sheet1"}</definedName>
    <definedName function="false" hidden="true" name="wrn.OUTPUT._.SCHEDULES." vbProcedure="false">{#N/A,#N/A,FALSE,"CASH FLOW";#N/A,#N/A,FALSE,"CF-p2";#N/A,#N/A,FALSE,"CF-p3";#N/A,#N/A,FALSE,"CF-p4";#N/A,#N/A,FALSE,"CF-p5";#N/A,#N/A,FALSE,"CF-p6";#N/A,#N/A,FALSE,"CF-p7";#N/A,#N/A,FALSE,"CF-p8";#N/A,#N/A,FALSE,"CF-p9";#N/A,#N/A,FALSE,"CF-p10";#N/A,#N/A,FALSE,"CF-p11";#N/A,#N/A,FALSE,"CF-p12";#N/A,#N/A,FALSE,"BS-p13";#N/A,#N/A,FALSE,"BS-p14";#N/A,#N/A,FALSE,"BS-p15";#N/A,#N/A,FALSE,"BS-p16";#N/A,#N/A,FALSE,"BS-p17";#N/A,#N/A,FALSE,"BS-p18";#N/A,#N/A,FALSE,"BS-p19"}</definedName>
    <definedName function="false" hidden="true" name="wrn.OUTPUT._1" vbProcedure="false">{"DCF","UPSIDE CASE",FALSE,"Sheet1";"DCF","BASE CASE",FALSE,"Sheet1";"DCF","DOWNSIDE CASE",FALSE,"Sheet1"}</definedName>
    <definedName function="false" hidden="true" name="wrn.Page._.2." vbProcedure="false">{"pg2 Finished Goods",#N/A,FALSE,"FG pg2";"Pg2 Paste",#N/A,FALSE,"FG pg2";"pg2 Cannery Total",#N/A,FALSE,"FG pg2"}</definedName>
    <definedName function="false" hidden="true" name="wrn.PAYBACK." vbProcedure="false">{"payback",#N/A,FALSE,"TV_Payback"}</definedName>
    <definedName function="false" hidden="true" name="wrn.perimeter._.comp." vbProcedure="false">{#N/A,#N/A,TRUE,"comp";#N/A,#N/A,TRUE,"notes"}</definedName>
    <definedName function="false" hidden="true" name="wrn.persrep." vbProcedure="false">{"volu1",#N/A,FALSE,"Volumes";"headcount",#N/A,FALSE,"Headcount";"emprpt",#N/A,FALSE,"Output"}</definedName>
    <definedName function="false" hidden="true" name="wrn.PETC." vbProcedure="false">{"Annual",#N/A,FALSE,"PETC";"Balance Sheet",#N/A,FALSE,"PETC";"Funds Flow",#N/A,FALSE,"PETC";"Quarterly Earnings",#N/A,FALSE,"PETC";"Quarterly Margins",#N/A,FALSE,"PETC";"Ratio Analysis",#N/A,FALSE,"PETC";"Q Sales",#N/A,FALSE,"PETC";"Unit Analysis",#N/A,FALSE,"PETC";"Inventory Analysis",#N/A,FALSE,"PETC";"Valuation",#N/A,FALSE,"PETC";"Comps",#N/A,FALSE,"PETC"}</definedName>
    <definedName function="false" hidden="true" name="wrn.Petit." vbProcedure="false">{#N/A,#N/A,FALSE,"PC-1";#N/A,#N/A,FALSE,"PC-2";#N/A,#N/A,FALSE,"T-9";#N/A,#N/A,FALSE,"PC-3";#N/A,#N/A,FALSE,"T-10";#N/A,#N/A,FALSE,"PC-4";#N/A,#N/A,FALSE,"T-11";#N/A,#N/A,FALSE,"PC-5";#N/A,#N/A,FALSE,"T-12"}</definedName>
    <definedName function="false" hidden="true" name="wrn.pg1." vbProcedure="false">{"Finished Goods",#N/A,FALSE,"FG Production-pg1";"Paste",#N/A,FALSE,"FG Production-pg1";"Total Plant",#N/A,FALSE,"FG Production-pg1"}</definedName>
    <definedName function="false" hidden="true" name="wrn.Pg1._.QR2." vbProcedure="false">{"pg1 Total",#N/A,FALSE,"FG Production-pg1";"pg1 Paste",#N/A,FALSE,"FG Production-pg1";"pg1 FG",#N/A,FALSE,"FG Production-pg1"}</definedName>
    <definedName function="false" hidden="true" name="wrn.pg2." vbProcedure="false">{"pg1 Total",#N/A,FALSE,"FG Production-pg1";"pg1 Paste",#N/A,FALSE,"FG Production-pg1";"pg1 FG",#N/A,FALSE,"FG Production-pg1"}</definedName>
    <definedName function="false" hidden="true" name="wrn.pg2._.All." vbProcedure="false">{"pg2 Cannery Total",#N/A,FALSE,"FG pg2";"pg2 Finished Goods",#N/A,FALSE,"FG pg2";"pg2 Paste",#N/A,FALSE,"FG pg2"}</definedName>
    <definedName function="false" hidden="true" name="wrn.pg4._.All." vbProcedure="false">{"pg4 Finished Goods",#N/A,FALSE,"Pg 4";"pg4 Paste",#N/A,FALSE,"Pg 4";"pg4 Total",#N/A,FALSE,"Pg 4"}</definedName>
    <definedName function="false" hidden="true" name="wrn.Pianocomp." vbProcedure="false">{"page_1",#N/A,TRUE,"Sheet1";"page_2",#N/A,TRUE,"Sheet1";"page_notes",#N/A,TRUE,"Sheet1"}</definedName>
    <definedName function="false" hidden="true" name="wrn.PLAN." vbProcedure="false">{"AZO Inter BS",#N/A,FALSE,"Sheet1";"AZO Mexico BS",#N/A,FALSE,"Sheet1";"AZO PR BS",#N/A,FALSE,"Sheet1"}</definedName>
    <definedName function="false" hidden="true" name="wrn.Planilhas." vbProcedure="false">{"Presentation","Presentation",FALSE,"3 COT"}</definedName>
    <definedName function="false" hidden="true" name="wrn.Port._.Reading." vbProcedure="false">{#N/A,#N/A,FALSE,"PR-CIF";#N/A,#N/A,FALSE,"PR-Vol";#N/A,#N/A,FALSE,"PR-Comp";#N/A,#N/A,FALSE,"PR-GM";#N/A,#N/A,FALSE,"PR-OpExp";#N/A,#N/A,FALSE,"PR-Adj";#N/A,#N/A,FALSE,"PR-Tax";#N/A,#N/A,FALSE,"PR-DCF"}</definedName>
    <definedName function="false" hidden="true" name="wrn.pres." vbProcedure="false">{#N/A,#N/A,FALSE,"Major v. River";#N/A,#N/A,FALSE,"Industry";#N/A,#N/A,FALSE,"Large Operators";#N/A,#N/A,FALSE,"Smaller Operators";#N/A,#N/A,FALSE,"Equip. Supply";#N/A,#N/A,FALSE,"EBITDA";#N/A,#N/A,FALSE,"States";#N/A,#N/A,FALSE,"LV Detail"}</definedName>
    <definedName function="false" hidden="true" name="wrn.pres97." vbProcedure="false">{#N/A,#N/A,FALSE,"Cover";#N/A,#N/A,FALSE,"Major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function="false" hidden="true" name="wrn.Presentation._.Version._.but._.No._.WC._.Slide." vbProcedure="false">{"Presentation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function="false" hidden="true" name="wrn.PRES_OUT." vbProcedure="false">{"page1",#N/A,FALSE,"PRESENTATION";"page2",#N/A,FALSE,"PRESENTATION";#N/A,#N/A,FALSE,"Valuation Summary"}</definedName>
    <definedName function="false" hidden="true" name="wrn.print" vbProcedure="false">{"page1",#N/A,FALSE,"PROFORMA";"page2",#N/A,FALSE,"PROFORMA";"page3",#N/A,FALSE,"PROFORMA";"page4",#N/A,FALSE,"PROFORMA";"page5",#N/A,FALSE,"PROFORMA";"page6",#N/A,FALSE,"PROFORMA";"page7",#N/A,FALSE,"PROFORMA";"page8",#N/A,FALSE,"PROFORMA"}</definedName>
    <definedName function="false" hidden="true" name="wrn.Print." vbProcedure="false">{#N/A,#N/A,FALSE,"Underlying";#N/A,#N/A,FALSE,"Assumptions";#N/A,#N/A,FALSE,"Financials";#N/A,#N/A,FALSE,"Summary";#N/A,#N/A,FALSE,"Acqpl";#N/A,#N/A,FALSE,"Yearonepl";#N/A,#N/A,FALSE,"Yeartwopl";#N/A,#N/A,FALSE,"Balsheet";#N/A,#N/A,FALSE,"Cashflow";#N/A,#N/A,FALSE,"Sensitivities";#N/A,#N/A,FALSE,"Sensitivities2"}</definedName>
    <definedName function="false" hidden="true" name="wrn.Print.2" vbProcedure="false">{#N/A,#N/A,FALSE,"Assumps";#N/A,#N/A,FALSE,"Data";#N/A,#N/A,FALSE,"Data (2)";#N/A,#N/A,FALSE,"AcqyrP&amp;L";#N/A,#N/A,FALSE,"Acq+1P&amp;L";#N/A,#N/A,FALSE,"Acq+2P&amp;L";#N/A,#N/A,FALSE,"Cashflow";#N/A,#N/A,FALSE,"BalSheet";#N/A,#N/A,FALSE,"Bidder";#N/A,#N/A,FALSE,"Target";#N/A,#N/A,FALSE,"Tgtann";#N/A,#N/A,FALSE,"Topt";#N/A,#N/A,FALSE,"Disp";#N/A,#N/A,FALSE,"Dann";#N/A,#N/A,FALSE,"Syns"}</definedName>
    <definedName function="false" hidden="true" name="wrn.Print._.All._.Output." vbProcedure="false">{"Public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function="false" hidden="true" name="wrn.print._.graphs." vbProcedure="false">{"cap_structure",#N/A,FALSE,"Graph-Mkt Cap";"price",#N/A,FALSE,"Graph-Price";"ebit",#N/A,FALSE,"Graph-EBITDA";"ebitda",#N/A,FALSE,"Graph-EBITDA"}</definedName>
    <definedName function="false" hidden="true" name="wrn.print._.raw._.data._.entry." vbProcedure="false">{"inputs raw data",#N/A,TRUE,"INPUT"}</definedName>
    <definedName function="false" hidden="true" name="wrn.print._.raw._data._.entry2." vbProcedure="false">{"inputs raw data",#N/A,TRUE,"INPUT"}</definedName>
    <definedName function="false" hidden="true" name="wrn.print._.standalone." vbProcedure="false">{"standalone1",#N/A,FALSE,"DCFBase";"standalone2",#N/A,FALSE,"DCFBase"}</definedName>
    <definedName function="false" hidden="true" name="wrn.print._.summary._.sheets." vbProcedure="false">{"summary1",#N/A,TRUE,"Comps";"summary2",#N/A,TRUE,"Comps";"summary3",#N/A,TRUE,"Comps"}</definedName>
    <definedName function="false" hidden="true" name="wrn.print._.summary._.sheets.2" vbProcedure="false">{"summary1",#N/A,TRUE,"Comps";"summary2",#N/A,TRUE,"Comps";"summary3",#N/A,TRUE,"Comps"}</definedName>
    <definedName function="false" hidden="true" name="wrn.Print._.the._.lot." vbProcedure="false">{"First Page",#N/A,FALSE,"Surfactants LBO";"Second Page",#N/A,FALSE,"Surfactants LBO"}</definedName>
    <definedName function="false" hidden="true" name="wrn.PrintAll." vbProcedure="false">{"Dom_qty",#N/A,FALSE,"Domestic";"Dom_sell",#N/A,FALSE,"Domestic";"Dom_misc",#N/A,FALSE,"Domestic";"Exp_qty",#N/A,FALSE,"Export";"Exp_sell",#N/A,FALSE,"Export";"Exp_misc",#N/A,FALSE,"Export";"ExpCompSet",#N/A,FALSE,"Export Comp. Sets"}</definedName>
    <definedName function="false" hidden="true" name="wrn.Printing._.Report." vbProcedure="false">{"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function="false" hidden="true" name="wrn.Printing._.the._.transactions._.sheets." vbProcedure="false">{#N/A,#N/A,FALSE,"Eastern";#N/A,#N/A,FALSE,"Western"}</definedName>
    <definedName function="false" hidden="true" name="wrn.Printing._.the._.transactions._.sheets.2" vbProcedure="false">{#N/A,#N/A,FALSE,"Eastern";#N/A,#N/A,FALSE,"Western"}</definedName>
    <definedName function="false" hidden="true" name="wrn.Printout." vbProcedure="false">{"page1",#N/A,FALSE,"Casual RLE";"page2",#N/A,FALSE,"Casual RLE"}</definedName>
    <definedName function="false" hidden="true" name="wrn.printqtr." vbProcedure="false">{"nytasecond",#N/A,FALSE,"NYTQTRS";"nytafirst",#N/A,FALSE,"NYTQTRS";"nytathird",#N/A,FALSE,"NYTQTRS";"nytafourth",#N/A,FALSE,"NYTQTRS";"nytafull",#N/A,FALSE,"NYTQTRS"}</definedName>
    <definedName function="false" hidden="true" name="wrn.printsyns." vbProcedure="false">{"dcfsyn",#N/A,FALSE,"DCFSYN";"senssyn",#N/A,FALSE,"DCFSYN"}</definedName>
    <definedName function="false" hidden="true" name="wrn.Print_Buyer." vbProcedure="false">{#N/A,"DR",FALSE,"increm pf";#N/A,"MAMSI",FALSE,"increm pf";#N/A,"MAXI",FALSE,"increm pf";#N/A,"PCAM",FALSE,"increm pf";#N/A,"PHSV",FALSE,"increm pf";#N/A,"SIE",FALSE,"increm pf"}</definedName>
    <definedName function="false" hidden="true" name="wrn.Print_Comps_Report." vbProcedure="false">{"comps1_1",#N/A,FALSE,"Comps1";"comps1_2",#N/A,FALSE,"Comps1";"comps1_3",#N/A,FALSE,"Comps1";"comps1_4",#N/A,FALSE,"Comps1";"comps1_5",#N/A,FALSE,"Comps1";"comps2_1",#N/A,FALSE,"Comps2";"comps2_2",#N/A,FALSE,"Comps2";"comps2_3",#N/A,FALSE,"Comps2";"comps2_4",#N/A,FALSE,"Comps2";"comps2_5",#N/A,FALSE,"Comps2"}</definedName>
    <definedName function="false" hidden="true" name="wrn.Print_Target." vbProcedure="false">{#N/A,"Foundation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function="false" hidden="true" name="wrn.profit._.p" vbProcedure="false">{"profit",#N/A,FALSE,"Aerospace";"profit",#N/A,FALSE,"Engines";"profit",#N/A,FALSE,"AES";"profit",#N/A,FALSE,"ES";"profit",#N/A,FALSE,"CAS";"profit",#N/A,FALSE,"ATSC";"profit",#N/A,FALSE,"FMT";"profit",#N/A,FALSE,"Aero Other";"profit",#N/A,FALSE,"Judgement"}</definedName>
    <definedName function="false" hidden="true" name="wrn.PROFIT._.SPLIT." vbProcedure="false">{"profit split",#N/A,FALSE,"Profit Split"}</definedName>
    <definedName function="false" hidden="true" name="wrn.Profit._.V._.LY." vbProcedure="false">{"profit",#N/A,FALSE,"Aerospace";"profit",#N/A,FALSE,"Engines";"profit",#N/A,FALSE,"AES";"profit",#N/A,FALSE,"ES";"profit",#N/A,FALSE,"CAS";"profit",#N/A,FALSE,"ATSC";"profit",#N/A,FALSE,"FMT";"profit",#N/A,FALSE,"Aero Other";"profit",#N/A,FALSE,"Judgement"}</definedName>
    <definedName function="false" hidden="true" name="wrn.Profit._.V._.Prior._.Fcst.." vbProcedure="false">{"profit",#N/A,FALSE,"Aero V prior";"profit",#N/A,FALSE,"Eng V Prior";"profit",#N/A,FALSE,"AES V Prior";"profit",#N/A,FALSE,"ES V Prior";"profit",#N/A,FALSE,"CAS V Prior";"profit",#N/A,FALSE,"ATSC V Prior";"profit",#N/A,FALSE,"FMT V Prior";"profit",#N/A,FALSE,"Aero Other V Prior";"profit",#N/A,FALSE,"Judge V Prior"}</definedName>
    <definedName function="false" hidden="true" name="wrn.ps." vbProcedure="false">{#N/A,#N/A,FALSE,"pl";#N/A,#N/A,FALSE,"bs";#N/A,#N/A,FALSE,"fundflow"}</definedName>
    <definedName function="false" hidden="true" name="wrn.Pulp." vbProcedure="false">{"Pulp Production",#N/A,FALSE,"Pulp";"Pulp Earnings",#N/A,FALSE,"Pulp"}</definedName>
    <definedName function="false" hidden="true" name="wrn.Q._.Report." vbProcedure="false">{"Quarterly Earnings",#N/A,FALSE,"FTS";"Quarterly Margins",#N/A,FALSE,"FTS";"Q Sales",#N/A,FALSE,"FTS";"Q EBIT",#N/A,FALSE,"FTS";"Unit Analysis",#N/A,FALSE,"FTS";"Inventory Analysis",#N/A,FALSE,"FTS"}</definedName>
    <definedName function="false" hidden="true" name="wrn.QR._.FS." vbProcedure="false">{"FS Total",#N/A,FALSE,"FIXED SPENDING";"FS Paste",#N/A,FALSE,"FIXED SPENDING";"FS FG",#N/A,FALSE,"FIXED SPENDING"}</definedName>
    <definedName function="false" hidden="true" name="wrn.QR._.REPORT." vbProcedure="false">{#N/A,#N/A,FALSE,"COVER SHEET";"PRODUCT COST ANALYSIS",#N/A,FALSE,"PRODUCT COST ANLYS";"CMTRY VARIABLE",#N/A,FALSE,"CMTRY VARIABLE";"CMTRY FIXED",#N/A,FALSE,"CMTRY FIXED";"OP SUM FG",#N/A,FALSE,"OPER SMRY";"OP SUM PASTE",#N/A,FALSE,"OPER SMRY";"OP SUM TOTAL",#N/A,FALSE,"OPER SMRY";"OH ABS FG",#N/A,FALSE,"OH ABS VAR";"OH ABS PASTE",#N/A,FALSE,"OH ABS VAR";"OH ABS TOTAL",#N/A,FALSE,"OH ABS VAR";"FIXED SPEND FG",#N/A,FALSE,"FIXED SPENDING";"FIXED SPEND PASTE",#N/A,FALSE,"FIXED SPENDING";"FIXED SPEND TOTAL",#N/A,FALSE,"FIXED SPENDING";"CMTRY PPV",#N/A,FALSE,"CMTRY PPV";"CMTRY WHSE",#N/A,FALSE,"CMTRY WHSE";"WHSE CAL",#N/A,FALSE,"WHRSE CAL"}</definedName>
    <definedName function="false" hidden="true" name="wrn.QR2." vbProcedure="false">{"PRODUCT COST ANALYSIS",#N/A,FALSE,"PRODUCT COST ANLYS";"CMTRY VARIABLE",#N/A,FALSE,"CMTRY VARIABLE";"CMTRY FIXED",#N/A,FALSE,"CMTRY FIXED";"CMTRY PPV",#N/A,FALSE,"CMTRY PPV";"CMTRY WHSE",#N/A,FALSE,"CMTRY WHSE";"WHSE CAL",#N/A,FALSE,"WHRSE CAL";"OP SUM FG",#N/A,FALSE,"OPER SMRY";"OP SUM PASTE",#N/A,FALSE,"OPER SMRY";"OP SUM TOTAL",#N/A,FALSE,"OPER SMRY";"OH ABS FG",#N/A,FALSE,"OH ABS VAR";"OH ABS PASTE",#N/A,FALSE,"OH ABS VAR";"OH ABS TOTAL",#N/A,FALSE,"OH ABS VAR";"FIXED SPEND FG",#N/A,FALSE,"FIXED SPENDING";"FIXED SPEND PASTE",#N/A,FALSE,"FIXED SPENDING";"FG SPEND TOTAL",#N/A,FALSE,"FIXED SPENDING"}</definedName>
    <definedName function="false" hidden="true" name="wrn.Qtr._.Op._.Q1." vbProcedure="false">{"Qtr Op Mgd Q1",#N/A,FALSE,"Qtr-Op (Mng)";"Qtr Op Rpt Q1",#N/A,FALSE,"Qtr-Op (Rpt)";"Operating Vs Reported",#N/A,FALSE,"Rpt-Op Inc"}</definedName>
    <definedName function="false" hidden="true" name="wrn.Qtr._.Op._.Q2." vbProcedure="false">{"Qtr Op Mgd Q2",#N/A,FALSE,"Qtr-Op (Mng)";"Qtr Op Rpt Q2",#N/A,FALSE,"Qtr-Op (Rpt)";"Operating Vs Reported",#N/A,FALSE,"Rpt-Op Inc"}</definedName>
    <definedName function="false" hidden="true" name="wrn.Qtr._.Op._.Q3." vbProcedure="false">{"Qtr Op Mgd Q3",#N/A,FALSE,"Qtr-Op (Mng)";"Qtr Op Rpt Q3",#N/A,FALSE,"Qtr-Op (Rpt)";"Operating Vs Reported",#N/A,FALSE,"Rpt-Op Inc"}</definedName>
    <definedName function="false" hidden="true" name="wrn.Qtr._.Op._.Q4." vbProcedure="false">{"Qtr Op Mgd Q3",#N/A,FALSE,"Qtr-Op (Mng)";"Qtr Op Rpt Q4",#N/A,FALSE,"Qtr-Op (Rpt)";"Operating Vs Reported",#N/A,FALSE,"Rpt-Op Inc"}</definedName>
    <definedName function="false" hidden="true" name="wrn.Qtr._.Op._Q2a." vbProcedure="false">{"Qtr Op Mgd Q2",#N/A,FALSE,"Qtr-Op (Mng)";"Qtr Op Rpt Q2",#N/A,FALSE,"Qtr-Op (Rpt)";"Operating Vs Reported",#N/A,FALSE,"Rpt-Op Inc"}</definedName>
    <definedName function="false" hidden="true" name="wrn.Qtr_.Op._.Q4." vbProcedure="false">{"Qtr Op Mgd Q3",#N/A,FALSE,"Qtr-Op (Mng)";"Qtr Op Rpt Q4",#N/A,FALSE,"Qtr-Op (Rpt)";"Operating Vs Reported",#N/A,FALSE,"Rpt-Op Inc"}</definedName>
    <definedName function="false" hidden="true" name="wrn.quart." vbProcedure="false">{"quart",#N/A,FALSE,"quartfin"}</definedName>
    <definedName function="false" hidden="true" name="wrn.quartfin." vbProcedure="false">{"quartfin",#N/A,FALSE,"quartfin"}</definedName>
    <definedName function="false" hidden="true" name="wrn.RA." vbProcedure="false">{"OKT4ARA",#N/A,FALSE,"OKT-4 RA"}</definedName>
    <definedName function="false" hidden="true" name="wrn.Rating._.Agency._.99."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wrn.RAY." vbProcedure="false">{#N/A,#N/A,FALSE,"851";#N/A,#N/A,FALSE,"855"}</definedName>
    <definedName function="false" hidden="true" name="wrn.refinery." vbProcedure="false">{#N/A,#N/A,FALSE,"T-1";#N/A,#N/A,FALSE,"C-7";#N/A,#N/A,FALSE,"C-8";#N/A,#N/A,FALSE,"T-2";#N/A,#N/A,FALSE,"C-9A";#N/A,#N/A,FALSE,"C-9B";#N/A,#N/A,FALSE,"T-3";#N/A,#N/A,FALSE,"T-4";#N/A,#N/A,FALSE,"C-10";#N/A,#N/A,FALSE,"T-5";#N/A,#N/A,FALSE,"C-11";#N/A,#N/A,FALSE,"T-6"}</definedName>
    <definedName function="false" hidden="true" name="wrn.Reich." vbProcedure="false">{#N/A,#N/A,FALSE,"RS-1";#N/A,#N/A,FALSE,"RS-2";#N/A,#N/A,FALSE,"T-13";#N/A,#N/A,FALSE,"RS-3";#N/A,#N/A,FALSE,"T-14";#N/A,#N/A,FALSE,"RS-4";#N/A,#N/A,FALSE,"T-15";#N/A,#N/A,FALSE,"RS-5";#N/A,#N/A,FALSE,"T-16"}</definedName>
    <definedName function="false" hidden="true" name="wrn.rep1." vbProcedure="false">{"add",#N/A,FALSE,"code"}</definedName>
    <definedName function="false" hidden="true" name="wrn.Replacement._.Cost." vbProcedure="false">{#N/A,#N/A,TRUE,"Cover Repl";#N/A,#N/A,TRUE,"P&amp;L";#N/A,#N/A,TRUE,"P&amp;L (2)";#N/A,#N/A,TRUE,"BS";#N/A,#N/A,TRUE,"Depreciation";#N/A,#N/A,TRUE,"GRAPHS";#N/A,#N/A,TRUE,"DCF EBITDA Multiple";#N/A,#N/A,TRUE,"DCF Perpetual Growth"}</definedName>
    <definedName function="false" hidden="true" name="wrn.Replacement._.Cost.1" vbProcedure="false">{#N/A,#N/A,TRUE,"Cover Repl";#N/A,#N/A,TRUE,"P&amp;L";#N/A,#N/A,TRUE,"P&amp;L (2)";#N/A,#N/A,TRUE,"BS";#N/A,#N/A,TRUE,"Depreciation";#N/A,#N/A,TRUE,"GRAPHS";#N/A,#N/A,TRUE,"DCF EBITDA Multiple";#N/A,#N/A,TRUE,"DCF Perpetual Growth"}</definedName>
    <definedName function="false" hidden="true" name="wrn.Report." vbProcedure="false">{#N/A,#N/A,FALSE,"COVER";#N/A,#N/A,FALSE,"FORECAST";#N/A,#N/A,FALSE,"VALUATION";#N/A,#N/A,FALSE,"FY ANALYSIS ";#N/A,#N/A,FALSE," HY ANALYSIS"}</definedName>
    <definedName function="false" hidden="true" name="wrn.Report1." vbProcedure="false">{#N/A,#N/A,FALSE,"Operations";#N/A,#N/A,FALSE,"Financials"}</definedName>
    <definedName function="false" hidden="true" name="wrn.REPORTING._.PACKAGE." vbProcedure="false">{#N/A,#N/A,TRUE,"Cover";#N/A,#N/A,TRUE,"BS";#N/A,#N/A,TRUE,"BS (2)";#N/A,#N/A,TRUE,"BS (3)";#N/A,#N/A,TRUE,"Supp Info-BS";#N/A,#N/A,TRUE,"IS";#N/A,#N/A,TRUE,"IS (2)";#N/A,#N/A,TRUE,"IS (3)";#N/A,#N/A,TRUE,"Supp Info-IS";#N/A,#N/A,TRUE,"CF";#N/A,#N/A,TRUE,"Supp Info-CF";#N/A,#N/A,TRUE,"SH";#N/A,#N/A,TRUE,"Supp Info-SH"}</definedName>
    <definedName function="false" hidden="true" name="wrn.Report_Page." vbProcedure="false">{"Annual_Income",#N/A,FALSE,"Report Page";"Balance_Cash_Flow",#N/A,FALSE,"Report Page";"Quarterly_Income",#N/A,FALSE,"Report Page"}</definedName>
    <definedName function="false" hidden="true" name="wrn.RESEARCH._.AND._.DEVELOPMENT." vbProcedure="false">{"R &amp; D",#N/A,FALSE,"Research and Development"}</definedName>
    <definedName function="false" hidden="true" name="wrn.RESULTS." vbProcedure="false">{#N/A,#N/A,FALSE,"HMF";#N/A,#N/A,FALSE,"FACIL";#N/A,#N/A,FALSE,"HMFINANCE";#N/A,#N/A,FALSE,"HMEUROPE";#N/A,#N/A,FALSE,"HHAB CONSO";#N/A,#N/A,FALSE,"PAB";#N/A,#N/A,FALSE,"MMC";#N/A,#N/A,FALSE,"THAI";#N/A,#N/A,FALSE,"SINPA";#N/A,#N/A,FALSE,"POLAND"}</definedName>
    <definedName function="false" hidden="true" name="wrn.ROB." vbProcedure="false">{#N/A,#N/A,FALSE,"270";#N/A,#N/A,FALSE,"450";#N/A,#N/A,FALSE,"451";#N/A,#N/A,FALSE,"452";#N/A,#N/A,FALSE,"453";#N/A,#N/A,FALSE,"455";#N/A,#N/A,FALSE,"790";#N/A,#N/A,FALSE,"860";#N/A,#N/A,FALSE,"861";#N/A,#N/A,FALSE,"865"}</definedName>
    <definedName function="false" hidden="true" name="wrn.ROYALTIES." vbProcedure="false">{"Royalties",#N/A,FALSE,"Royalty Computations"}</definedName>
    <definedName function="false" hidden="true" name="wrn.saf." vbProcedure="false">{#N/A,#N/A,FALSE,"SAFILOR"}</definedName>
    <definedName function="false" hidden="true" name="wrn.SAL." vbProcedure="false">{#N/A,#N/A,FALSE,"220";#N/A,#N/A,FALSE,"230";#N/A,#N/A,FALSE,"240";#N/A,#N/A,FALSE,"245";#N/A,#N/A,FALSE,"260";#N/A,#N/A,FALSE,"410";#N/A,#N/A,FALSE,"415";#N/A,#N/A,FALSE,"420";#N/A,#N/A,FALSE,"430";#N/A,#N/A,FALSE,"435";#N/A,#N/A,FALSE,"440";#N/A,#N/A,FALSE,"460";#N/A,#N/A,FALSE,"470";#N/A,#N/A,FALSE,"475"}</definedName>
    <definedName function="false" hidden="true" name="wrn.sales." vbProcedure="false">{"sales",#N/A,FALSE,"Sales";"sales existing",#N/A,FALSE,"Sales";"sales rd1",#N/A,FALSE,"Sales";"sales rd2",#N/A,FALSE,"Sales"}</definedName>
    <definedName function="false" hidden="true" name="wrn.salesassum." vbProcedure="false">{"Salesass",#N/A,FALSE,"assumpt"}</definedName>
    <definedName function="false" hidden="true" name="wrn.SCA._.Acq.." vbProcedure="false">{#N/A,#N/A,FALSE,"main";#N/A,#N/A,FALSE,"Pooling";#N/A,#N/A,FALSE,"Purchase"}</definedName>
    <definedName function="false" hidden="true" name="wrn.SCA._.AcqDisv." vbProcedure="false">{#N/A,#N/A,FALSE,"main";#N/A,#N/A,FALSE,"Purchase"}</definedName>
    <definedName function="false" hidden="true" name="wrn.Scenario._.Analysis." vbProcedure="false">{#N/A,"Base Case",FALSE,"Revenue";#N/A,"£6.25 Fee",FALSE,"Revenue"}</definedName>
    <definedName function="false" hidden="true" name="wrn.SCOTT." vbProcedure="false">{#N/A,#N/A,FALSE,"765";#N/A,#N/A,FALSE,"810 ";#N/A,#N/A,FALSE,"835"}</definedName>
    <definedName function="false" hidden="true" name="wrn.SELLING._.CALCULATION." vbProcedure="false">{"selling",#N/A,FALSE,"Selling Expense"}</definedName>
    <definedName function="false" hidden="true" name="wrn.sens." vbProcedure="false">{#N/A,#N/A,FALSE,"Sensitivities";#N/A,#N/A,FALSE,"Sensitivities2"}</definedName>
    <definedName function="false" hidden="true" name="wrn.sens.2" vbProcedure="false">{#N/A,#N/A,FALSE,"Sensitivities";#N/A,#N/A,FALSE,"Sensitivities2"}</definedName>
    <definedName function="false" hidden="true" name="wrn.sens3." vbProcedure="false">{#N/A,#N/A,TRUE,"DCF";#N/A,#N/A,TRUE,"DCF"}</definedName>
    <definedName function="false" hidden="true" name="wrn.sensitivity._.analyses." vbProcedure="false">{"general",#N/A,FALSE,"Assumptions"}</definedName>
    <definedName function="false" hidden="true" name="wrn.SGPMODELS." vbProcedure="false">{"QTRINC1",#N/A,FALSE,"SGPNEW";"QTRINC2",#N/A,FALSE,"SGPNEW";"USSALES1",#N/A,FALSE,"SGPNEW";"USSALES2",#N/A,FALSE,"SGPNEW";"INTLSALES1",#N/A,FALSE,"SGPNEW";"INTLSALES2",#N/A,FALSE,"SGPNEW";"WWSALES1",#N/A,FALSE,"SGPNEW";"WWSALES2",#N/A,FALSE,"SGPNEW";"NEWPRODS",#N/A,FALSE,"SGPNEW";"CASHFLOW",#N/A,FALSE,"SGPNEW"}</definedName>
    <definedName function="false" hidden="true" name="wrn.SHORT." vbProcedure="false">{"CREDIT STATISTICS",#N/A,FALSE,"STATS";"CF_AND_IS",#N/A,FALSE,"PLAN";"BALSHEET",#N/A,FALSE,"BALANCE SHEET"}</definedName>
    <definedName function="false" hidden="true" name="wrn.Short._.Report." vbProcedure="false">{"short1",#N/A,FALSE,"masmode";"short2",#N/A,FALSE,"masmode";"qtrres",#N/A,FALSE,"QTR. RES.";"sales",#N/A,FALSE,"Sales &amp; Market Share"}</definedName>
    <definedName function="false" hidden="true" name="wrn.SKSCS1." vbProcedure="false">{#N/A,#N/A,FALSE,"Antony Financials";#N/A,#N/A,FALSE,"Cowboy Financials";#N/A,#N/A,FALSE,"Combined";#N/A,#N/A,FALSE,"Valuematrix";#N/A,#N/A,FALSE,"DCFAntony";#N/A,#N/A,FALSE,"DCFCowboy";#N/A,#N/A,FALSE,"DCFCombined"}</definedName>
    <definedName function="false" hidden="true" name="wrn.sspall." vbProcedure="false">{"sspcash",#N/A,FALSE,"EWSINCX";"sspinc",#N/A,FALSE,"EWSINCX";"ssptax",#N/A,FALSE,"EWSINCX";"ssppub",#N/A,FALSE,"EWSINCX";"sspperchgetc",#N/A,FALSE,"EWSINCX";"sspevan",#N/A,FALSE,"EWSINCX";"sspbroad",#N/A,FALSE,"EWSINCX";"sspbroadcont",#N/A,FALSE,"EWSINCX";"sspcable",#N/A,FALSE,"EWSINCX";"sspent",#N/A,FALSE,"EWSINCX"}</definedName>
    <definedName function="false" hidden="true" name="wrn.St.._.Croix." vbProcedure="false">{#N/A,#N/A,FALSE,"Crude,St. Croix";#N/A,#N/A,FALSE,"SC-CIF";#N/A,#N/A,FALSE,"SC-Vol";#N/A,#N/A,FALSE,"SC-Comp";#N/A,#N/A,FALSE,"SC-GM";#N/A,#N/A,FALSE,"SC-OpExp";#N/A,#N/A,FALSE,"SC-Adj";#N/A,#N/A,FALSE,"SC-Tax";#N/A,#N/A,FALSE,"SC-DCF"}</definedName>
    <definedName function="false" hidden="true" name="wrn.stand_alone." vbProcedure="false">{#N/A,#N/A,FALSE,"CBE";#N/A,#N/A,FALSE,"SWK"}</definedName>
    <definedName function="false" hidden="true" name="wrn.STAND_ALONE_BOTH." vbProcedure="false">{"FCB_ALL",#N/A,FALSE,"FCB";"GREY_ALL",#N/A,FALSE,"GREY"}</definedName>
    <definedName function="false" hidden="true" name="wrn.Stand_alone_both._dcf" vbProcedure="false">{"FCB_ALL",#N/A,FALSE,"FCB";"GREY_ALL",#N/A,FALSE,"GREY"}</definedName>
    <definedName function="false" hidden="true" name="wrn.step_el." vbProcedure="false">{"stepel",#N/A,FALSE,"AHFSTEP"}</definedName>
    <definedName function="false" hidden="true" name="wrn.summaries." vbProcedure="false">{#N/A,#N/A,FALSE,"YTD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function="false" hidden="true" name="wrn.Summary." vbProcedure="false">{#N/A,#N/A,FALSE,"Summary3";#N/A,#N/A,FALSE,"Summary1";#N/A,#N/A,FALSE,"Summary2";#N/A,#N/A,FALSE,"Sensitivities1";#N/A,#N/A,FALSE,"Sensitivities2"}</definedName>
    <definedName function="false" hidden="true" name="wrn.SummaryPgs." vbProcedure="false">{#N/A,#N/A,FALSE,"CreditStat";#N/A,#N/A,FALSE,"SPbrkup";#N/A,#N/A,FALSE,"MerSPsyn";#N/A,#N/A,FALSE,"MerSPwKCsyn";#N/A,#N/A,FALSE,"MerSPwKCsyn (2)";#N/A,#N/A,FALSE,"CreditStat (2)"}</definedName>
    <definedName function="false" hidden="true" name="wrn.SummaryReport." vbProcedure="false">{"Header",#N/A,TRUE,"Summary";"ProjectInfo",#N/A,TRUE,"Total Value"}</definedName>
    <definedName function="false" hidden="true" name="wrn.SUMNPV." vbProcedure="false">{"Sumnpv",#N/A,FALSE,"List"}</definedName>
    <definedName function="false" hidden="true" name="wrn.SunModel." vbProcedure="false">{#N/A,#N/A,FALSE,"summary";#N/A,#N/A,FALSE,"SIH";#N/A,#N/A,FALSE,"SIH Value";#N/A,#N/A,FALSE,"tax est.";#N/A,#N/A,FALSE,"Mohegan";#N/A,#N/A,FALSE,"Resorts";#N/A,#N/A,FALSE,"Win Per Day";#N/A,#N/A,FALSE,"CapStr"}</definedName>
    <definedName function="false" hidden="true" name="wrn.tables." vbProcedure="false">{#N/A,#N/A,FALSE,"T-1";#N/A,#N/A,FALSE,"T-2";#N/A,#N/A,FALSE,"T-3";#N/A,#N/A,FALSE,"T-4";#N/A,#N/A,FALSE,"T-5";#N/A,#N/A,FALSE,"T-6";#N/A,#N/A,FALSE,"T-7";#N/A,#N/A,FALSE,"T-8";#N/A,#N/A,FALSE,"T-9";#N/A,#N/A,FALSE,"T-10";#N/A,#N/A,FALSE,"T-11";#N/A,#N/A,FALSE,"T-12"}</definedName>
    <definedName function="false" hidden="true" name="wrn.TAXES." vbProcedure="false">{"taxes",#N/A,FALSE,"Taxes"}</definedName>
    <definedName function="false" hidden="true" name="wrn.tcs2." vbProcedure="false">{"tcs1",#N/A,FALSE,"Contra Patch"}</definedName>
    <definedName function="false" hidden="true" name="wrn.TERMINAL._.VALUE." vbProcedure="false">{"terminal value",#N/A,FALSE,"TV_Payback"}</definedName>
    <definedName function="false" hidden="true" name="wrn.test." vbProcedure="false">{"tcs2",#N/A,FALSE,"Contra Patch"}</definedName>
    <definedName function="false" hidden="true" name="wrn.Thomas_Case." vbProcedure="false">{#N/A,#N/A,TRUE,"Thomas Case";#N/A,#N/A,TRUE,"Corporate Overhead";#N/A,#N/A,TRUE,"Arizona";#N/A,#N/A,TRUE,"Cal";#N/A,#N/A,TRUE,"Illinois";#N/A,#N/A,TRUE,"Indiana";#N/A,#N/A,TRUE,"Ohio";#N/A,#N/A,TRUE,"Pennsylvania";#N/A,#N/A,TRUE,"Growth";#N/A,#N/A,TRUE,"Anthem";#N/A,#N/A,TRUE,"Pipeline"}</definedName>
    <definedName function="false" hidden="true" name="wrn.TMCALL." vbProcedure="false">{"tmccash",#N/A,FALSE,"INCX";"tmcinc",#N/A,FALSE,"INCX";"tmcpretx",#N/A,FALSE,"INCX";"tmcadrev",#N/A,FALSE,"INCX";"tmcbooks",#N/A,FALSE,"INCX"}</definedName>
    <definedName function="false" hidden="true" name="wrn.todo." vbProcedure="false">{#N/A,#N/A,FALSE,"Hip.Bas";#N/A,#N/A,FALSE,"ventas";#N/A,#N/A,FALSE,"ingre-Año";#N/A,#N/A,FALSE,"ventas-Año";#N/A,#N/A,FALSE,"Costepro";#N/A,#N/A,FALSE,"inversion";#N/A,#N/A,FALSE,"personal";#N/A,#N/A,FALSE,"Gastos-V";#N/A,#N/A,FALSE,"Circulante";#N/A,#N/A,FALSE,"CONSOLI";#N/A,#N/A,FALSE,"Es-Fin";#N/A,#N/A,FALSE,"Margen-P"}</definedName>
    <definedName function="false" hidden="true" name="wrn.Total._.POB." vbProcedure="false">{"View POB Comment",#N/A,FALSE,"Adjustments Comment";"View POB",#N/A,FALSE,"Adjustments Comment";"View Detail",#N/A,FALSE,"Adjustments Comment";"View POBS",#N/A,FALSE,"Adjustments Comment";"View POBL",#N/A,FALSE,"Adjustments Comment";"View POBA",#N/A,FALSE,"Adjustments Comment";"View POBP",#N/A,FALSE,"Adjustments Comment";"View POBK",#N/A,FALSE,"Adjustments Comment";"View POBB",#N/A,FALSE,"Adjustments Comment";"View POBQ",#N/A,FALSE,"Adjustments Comment";"View POB Managt &amp; GMP",#N/A,FALSE,"Adjustments Comment"}</definedName>
    <definedName function="false" hidden="true" name="wrn.totalcomp." vbProcedure="false">{"comp1",#N/A,FALSE,"COMPS";"footnotes",#N/A,FALSE,"COMPS"}</definedName>
    <definedName function="false" hidden="true" name="wrn.totalcomp.1" vbProcedure="false">{"comp1",#N/A,FALSE,"COMPS";"footnotes",#N/A,FALSE,"COMPS"}</definedName>
    <definedName function="false" hidden="true" name="wrn.Total_Report." vbProcedure="false">{#N/A,#N/A,FALSE,"RESULTS";#N/A,#N/A,FALSE,"DECISION_TREE_2.0a";#N/A,#N/A,FALSE,"ASSUMPTIONS";#N/A,#N/A,FALSE,"CASH_FLOW";#N/A,#N/A,FALSE,"LICENSOR_CASH_FLOWS";#N/A,#N/A,FALSE,"DRUG_DEVELOPMENT";#N/A,#N/A,FALSE,"HQ_HEADCOUNT";#N/A,#N/A,FALSE,"MARKETING_&amp;_SELLING";#N/A,#N/A,FALSE,"CAPITAL_EXPENDITURES";#N/A,#N/A,FALSE,"MILESTONES";#N/A,#N/A,FALSE,"WORKING_CAPITAL"}</definedName>
    <definedName function="false" hidden="true" name="wrn.TR._.SCHEDULES._.MONTHLY." vbProcedure="false">{#N/A,#N/A,FALSE,"GSK format CF";#N/A,#N/A,FALSE,"BS-p18";#N/A,#N/A,FALSE,"CF-p2";#N/A,#N/A,FALSE,"CF-p9"}</definedName>
    <definedName function="false" hidden="true" name="wrn.TR._.SCHEDULES._.QUARTERLY." vbProcedure="false">{#N/A,#N/A,FALSE,"BS-p18";#N/A,#N/A,FALSE,"CASH FLOW";#N/A,#N/A,FALSE,"CF-p2";#N/A,#N/A,FALSE,"CF-p7";#N/A,#N/A,FALSE,"CF-p8";#N/A,#N/A,FALSE,"CF-p9";#N/A,#N/A,FALSE,"CF-p10";#N/A,#N/A,FALSE,"CF-p11";#N/A,#N/A,FALSE,"CF-p12";#N/A,#N/A,FALSE,"GSK format CF"}</definedName>
    <definedName function="false" hidden="true" name="wrn.Trading._.Summary." vbProcedure="false">{#N/A,#N/A,FALSE,"Trading Summary"}</definedName>
    <definedName function="false" hidden="true" name="wrn.trans._.sum." vbProcedure="false">{"trans assumptions",#N/A,FALSE,"Merger";"trans accretion",#N/A,FALSE,"Merger"}</definedName>
    <definedName function="false" hidden="true" name="wrn.trball." vbProcedure="false">{"trbcash",#N/A,FALSE,"INCPF";"trbinc",#N/A,FALSE,"INCPF";"trbchic",#N/A,FALSE,"INCPF";"trbadrev",#N/A,FALSE,"INCPF";"trbstns",#N/A,FALSE,"INCPF";"trbtvstns",#N/A,FALSE,"INCPF"}</definedName>
    <definedName function="false" hidden="true" name="wrn.TUNE._.Model." vbProcedure="false">{#N/A,#N/A,FALSE,"IS";#N/A,#N/A,FALSE,"One pager";#N/A,#N/A,FALSE,"Revenue Detail"}</definedName>
    <definedName function="false" hidden="true" name="wrn.Tweety." vbProcedure="false">{#N/A,#N/A,FALSE,"A&amp;E";#N/A,#N/A,FALSE,"HighTop";#N/A,#N/A,FALSE,"JG";#N/A,#N/A,FALSE,"RI";#N/A,#N/A,FALSE,"woHT";#N/A,#N/A,FALSE,"woHT&amp;JG"}</definedName>
    <definedName function="false" hidden="true" name="wrn.typical." vbProcedure="false">{"typical",#N/A,FALSE,"Typical Absence"}</definedName>
    <definedName function="false" hidden="true" name="wrn.up." vbProcedure="false">{"up stand alones",#N/A,FALSE,"Acquiror"}</definedName>
    <definedName function="false" hidden="true" name="wrn.US._.and._.Europe." vbProcedure="false">{#N/A,#N/A,FALSE,"Consolidated Financials";#N/A,#N/A,FALSE,"US Mkt";#N/A,#N/A,FALSE,"Eur Mkt"}</definedName>
    <definedName function="false" hidden="true" name="wrn.US._.Consolidation._.Worksheets." vbProcedure="false">{#N/A,#N/A,FALSE,"USCO0900"}</definedName>
    <definedName function="false" hidden="true" name="wrn.USGC._.Forecast." vbProcedure="false">{#N/A,#N/A,FALSE,"I-1";#N/A,#N/A,FALSE,"I-2";#N/A,#N/A,FALSE,"Forecast, NYH";#N/A,#N/A,FALSE,"Forecast - Gulf";#N/A,#N/A,FALSE,"Ratios";#N/A,#N/A,FALSE,"Yields, Bpd";#N/A,#N/A,FALSE,"Yields, %";#N/A,#N/A,FALSE,"Crude_USGC";#N/A,#N/A,FALSE,"Prices, Gulf";#N/A,#N/A,FALSE,"Prices, NYH";#N/A,#N/A,FALSE,"Differentials"}</definedName>
    <definedName function="false" hidden="true" name="wrn.VALUATION." vbProcedure="false">{#N/A,#N/A,FALSE,"Valuation Assumptions";#N/A,#N/A,FALSE,"Summary";#N/A,#N/A,FALSE,"DCF";#N/A,#N/A,FALSE,"Valuation";#N/A,#N/A,FALSE,"WACC";#N/A,#N/A,FALSE,"UBVH";#N/A,#N/A,FALSE,"Free Cash Flow"}</definedName>
    <definedName function="false" hidden="true" name="wrn.Valuation._.Committee." vbProcedure="false">{#N/A,#N/A,TRUE,"Cover";#N/A,#N/A,TRUE,"Macro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function="false" hidden="true" name="wrn.Valuation._.Committee.1" vbProcedure="false">{#N/A,#N/A,TRUE,"Cover";#N/A,#N/A,TRUE,"Macro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function="false" hidden="true" name="wrn.Variance._.3." vbProcedure="false">{"Variance Q3",#N/A,FALSE,"Var"}</definedName>
    <definedName function="false" hidden="true" name="wrn.Variance._.Q1." vbProcedure="false">{"Variance Q1",#N/A,FALSE,"Var"}</definedName>
    <definedName function="false" hidden="true" name="wrn.Variance._.Q2." vbProcedure="false">{"Variance Q2",#N/A,FALSE,"Var"}</definedName>
    <definedName function="false" hidden="true" name="wrn.Variance._.Q3." vbProcedure="false">{"Variance Q3",#N/A,FALSE,"Var"}</definedName>
    <definedName function="false" hidden="true" name="wrn.Variance._.Q4" vbProcedure="false">{"Variance Q4",#N/A,FALSE,"Var"}</definedName>
    <definedName function="false" hidden="true" name="wrn.Variance._.Q4." vbProcedure="false">{"Variance Q4",#N/A,FALSE,"Var"}</definedName>
    <definedName function="false" hidden="true" name="wrn.VOH." vbProcedure="false">{"ACTUALS",#N/A,TRUE,"VOH";"EARNED",#N/A,TRUE,"VOH";"VARIANCE",#N/A,TRUE,"VOH"}</definedName>
    <definedName function="false" hidden="true" name="wrn.Wacc." vbProcedure="false">{"Area1",#N/A,FALSE,"OREWACC";"Area2",#N/A,FALSE,"OREWACC"}</definedName>
    <definedName function="false" hidden="true" name="wrn.wag." vbProcedure="false">{"inc.ann",#N/A,FALSE,"WAG";"inc.quart",#N/A,FALSE,"WAG"}</definedName>
    <definedName function="false" hidden="true" name="wrn.weekly." vbProcedure="false">{#N/A,#N/A,FALSE,"Large Operators";#N/A,#N/A,FALSE,"Smaller Operators";#N/A,#N/A,FALSE,"Equip. Supply";#N/A,#N/A,FALSE,"EBITDA";#N/A,#N/A,FALSE,"perform"}</definedName>
    <definedName function="false" hidden="true" name="wrn.Weekly._.Rxs." vbProcedure="false">{#N/A,#N/A,TRUE,"Cover";#N/A,#N/A,TRUE,"WNRX Topline";#N/A,#N/A,TRUE,"WTRX Topline";#N/A,#N/A,TRUE,"CEDAX NRx";#N/A,#N/A,TRUE,"Key NRX";#N/A,#N/A,TRUE,"Key TRX"}</definedName>
    <definedName function="false" hidden="true" name="wrn.WLAVARIANCEANALYSIS." vbProcedure="false">{"INCOME STATEMENT",#N/A,FALSE,"IS";"WWSALES",#N/A,FALSE,"WWSALES";"USSALES",#N/A,FALSE,"USSALES";"INTLSALES",#N/A,FALSE,"INTLSALES"}</definedName>
    <definedName function="false" hidden="true" name="wrn.WORKING._.CAPITAL." vbProcedure="false">{"working capital",#N/A,FALSE,"Bal. Sht.- Work Cap"}</definedName>
    <definedName function="false" hidden="true" name="wrn.Working._.Version." vbProcedure="false">{"Working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function="false" hidden="true" name="wrn.Workpapers." vbProcedure="false">{"Assets",#N/A,FALSE,"Assets 1";"Liabilities",#N/A,FALSE,"Liabs Cap 2";"Inc Stmt",#N/A,FALSE,"Inc Stmt 3";"I Co AR",#N/A,FALSE,"I Co AR 4";"I Co Invst",#N/A,FALSE,"I Co Invst 5";"I Co Sale",#N/A,FALSE,"I Co Sale 6";"Invnt Prof",#N/A,FALSE,"Invnt Prof 7";"JEs",#N/A,FALSE,"JEs 8";#N/A,#N/A,FALSE,"FAs 9";"JE Desc",#N/A,FALSE,"JE Desc 8";"FAs",#N/A,FALSE,"FAs 9";#N/A,#N/A,FALSE,"BS Info 10";#N/A,#N/A,FALSE,"Lease  Etc 11";#N/A,#N/A,FALSE,"Leases 12";#N/A,#N/A,FALSE,"I Co Exch 13";"KPI's",#N/A,FALSE,"KPIs"}</definedName>
    <definedName function="false" hidden="true" name="wrn.wpoall." vbProcedure="false">{"wpocash",#N/A,FALSE,"WPOALLT";"wpoinc",#N/A,FALSE,"WPOALLT";"wpoexcl",#N/A,FALSE,"WPOALLT";"wpocable",#N/A,FALSE,"WPOALLT";"wpobroad",#N/A,FALSE,"WPOALLT";"wpopost",#N/A,FALSE,"WPOALLT";"wponwsweek",#N/A,FALSE,"WPOALLT"}</definedName>
    <definedName function="false" hidden="true" name="wrn.WWY." vbProcedure="false">{#N/A,#N/A,FALSE,"WWY"}</definedName>
    <definedName function="false" hidden="true" name="wrn.Yahoo." vbProcedure="false">{#N/A,#N/A,FALSE,"Inc. St.";#N/A,#N/A,FALSE,"FYear";#N/A,#N/A,FALSE,"Revs.";#N/A,#N/A,FALSE,"RevsYear";#N/A,#N/A,FALSE,"Balance";#N/A,#N/A,FALSE,"CompVal";#N/A,#N/A,FALSE,"Val.";#N/A,#N/A,FALSE,"DCFval"}</definedName>
    <definedName function="false" hidden="true" name="wrn00"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wrn1.1.1" vbProcedure="false">{#N/A,#N/A,FALSE,"Calc";#N/A,#N/A,FALSE,"Sensitivity";#N/A,#N/A,FALSE,"LT Earn.Dil.";#N/A,#N/A,FALSE,"Dil. AVP"}</definedName>
    <definedName function="false" hidden="true" name="WRN2.Document" vbProcedure="false">{"consolidated",#N/A,FALSE,"Sheet1";"cms",#N/A,FALSE,"Sheet1";"fse",#N/A,FALSE,"Sheet1"}</definedName>
    <definedName function="false" hidden="true" name="wrnn"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wsdklsda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wt" vbProcedure="false">{"comps2_1",#N/A,FALSE,"Comps2";"comps2_2",#N/A,FALSE,"Comps2";"comps2_3",#N/A,FALSE,"Comps2";"comps2_4",#N/A,FALSE,"Comps2";"comps2_5",#N/A,FALSE,"Comps2"}</definedName>
    <definedName function="false" hidden="true" name="wtf"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wv" vbProcedure="false">{"Build1",#N/A,FALSE,"Buildup";"Build2",#N/A,FALSE,"Buildup";"Build3",#N/A,FALSE,"Buildup"}</definedName>
    <definedName function="false" hidden="true" name="wvu.BiPolar." vbProcedure="false">{TRUE,TRUE,43.75,1.75,539.25,324,FALSE,TRUE,TRUE,TRUE,0,1,#N/A,1,#N/A,8.78125,20.2631578947368,1,FALSE,FALSE,1,TRUE,1,FALSE,100,"Swvu.BiPolar.","ACwvu.BiPolar.",#N/A,FALSE,FALSE,0.75,0.75,1,1,2,"&amp;A","Page &amp;P",FALSE,FALSE,FALSE,FALSE,1,#N/A,1,1,FALSE,FALSE,#N/A,#N/A,FALSE,FALSE,FALSE,1,600,600,FALSE,FALSE,TRUE,TRUE,TRUE}</definedName>
    <definedName function="false" hidden="true" name="wvu.HRT." vbProcedure="false">{TRUE,TRUE,43.75,1.75,539.25,324,FALSE,TRUE,TRUE,TRUE,0,19,#N/A,55,#N/A,9.90625,19.7777777777778,1,FALSE,FALSE,1,TRUE,1,FALSE,100,"Swvu.HRT.","ACwvu.HRT.",#N/A,FALSE,FALSE,0.25,0.25,0.25,0.25,2,"&amp;A","Page &amp;P",TRUE,FALSE,FALSE,FALSE,1,#N/A,1,1,"=R8C1:R61C19",FALSE,"Rwvu.HRT.",#N/A,FALSE,FALSE,FALSE,1,600,600,FALSE,FALSE,TRUE,TRUE,TRUE}</definedName>
    <definedName function="false" hidden="true" name="wvu.inputs._.raw.data.1"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name="wvu.mono." vbProcedure="false">{TRUE,TRUE,43.75,1.75,539.25,324,FALSE,TRUE,TRUE,TRUE,6,11,#N/A,42,#N/A,10.484375,20,1,FALSE,FALSE,1,TRUE,1,FALSE,100,"Swvu.mono.","ACwvu.mono.",#N/A,FALSE,FALSE,0.75,0.75,1,1,2,"&amp;A","Page &amp;P",FALSE,FALSE,FALSE,FALSE,1,#N/A,1,1,FALSE,FALSE,#N/A,#N/A,FALSE,FALSE,FALSE,1,600,600,FALSE,FALSE,TRUE,TRUE,TRUE}</definedName>
    <definedName function="false" hidden="true" name="wvu.OKT4ARA." vbProcedure="false">{TRUE,TRUE,43.75,1.75,539.25,324,FALSE,TRUE,TRUE,TRUE,0,11,#N/A,47,#N/A,10.484375,19.8888888888889,1,FALSE,FALSE,1,TRUE,1,FALSE,100,"Swvu.OKT4ARA.","ACwvu.OKT4ARA.",#N/A,FALSE,FALSE,0.75,0.75,1,1,2,"&amp;A","Page &amp;P",FALSE,FALSE,FALSE,FALSE,1,#N/A,1,1,FALSE,FALSE,#N/A,#N/A,FALSE,FALSE,FALSE,1,600,600,FALSE,FALSE,TRUE,TRUE,TRUE}</definedName>
    <definedName function="false" hidden="true"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name="wvu.summary1.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name="wvu.summary2.1"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name="wvu.summary3.1"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name="wvu.summary4"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name="wvu.summary4."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name="wvu.summary4.1"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name="wvu.summary6"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name="wvu.Sumnpv." vbProcedure="false">{TRUE,TRUE,-1.25,-15.5,604.5,341.25,FALSE,TRUE,TRUE,TRUE,0,2,#N/A,33,#N/A,8.78125,23.3529411764706,1,FALSE,FALSE,3,TRUE,1,FALSE,100,"Swvu.Sumnpv.","ACwvu.Sumnpv.",#N/A,FALSE,FALSE,0.75,0.75,1,1,2,"&amp;A","Page &amp;P",FALSE,FALSE,FALSE,FALSE,1,#N/A,1,1,"=R18C2:R51C20",FALSE,"Rwvu.Sumnpv.",#N/A,FALSE,FALSE,FALSE,1,600,600,FALSE,FALSE,TRUE,TRUE,TRUE}</definedName>
    <definedName function="false" hidden="true" name="wvu.tcs1." vbProcedure="false">{TRUE,TRUE,43.75,1.75,539.25,324,FALSE,TRUE,TRUE,TRUE,0,16,#N/A,53,#N/A,10.484375,19.7777777777778,1,FALSE,FALSE,1,TRUE,1,FALSE,100,"Swvu.tcs1.","ACwvu.tcs1.",#N/A,FALSE,FALSE,0.25,0.25,0.5,0.25,2,"&amp;A","Page &amp;P",FALSE,FALSE,FALSE,FALSE,1,#N/A,1,1,FALSE,FALSE,#N/A,#N/A,FALSE,FALSE,FALSE,1,600,600,FALSE,FALSE,TRUE,TRUE,TRUE}</definedName>
    <definedName function="false" hidden="true" name="wvu.tcs2." vbProcedure="false">{TRUE,TRUE,43.75,1.75,539.25,324,FALSE,TRUE,TRUE,TRUE,0,16,#N/A,1,#N/A,10.484375,20.3157894736842,1,FALSE,FALSE,1,TRUE,1,FALSE,100,"Swvu.tcs2.","ACwvu.tcs2.",#N/A,FALSE,FALSE,0.25,0.25,0.5,0.25,2,"&amp;A","Page &amp;P",FALSE,FALSE,FALSE,FALSE,1,#N/A,1,1,FALSE,FALSE,#N/A,#N/A,FALSE,FALSE,FALSE,1,600,600,FALSE,FALSE,TRUE,TRUE,TRUE}</definedName>
    <definedName function="false" hidden="true" name="wvu.typical." vbProcedure="false">{TRUE,TRUE,43.75,1.75,539.25,324,FALSE,TRUE,TRUE,TRUE,27,14,#N/A,54,#N/A,10.296875,19.7777777777778,1,FALSE,FALSE,1,TRUE,1,FALSE,100,"Swvu.typical.","ACwvu.typical.",#N/A,FALSE,FALSE,0.75,0.75,1,1,2,"&amp;A","Page &amp;P",FALSE,FALSE,FALSE,FALSE,1,#N/A,1,1,"=R7C1:R61C19",FALSE,#N/A,#N/A,FALSE,FALSE,FALSE,1,600,600,FALSE,FALSE,TRUE,TRUE,TRUE}</definedName>
    <definedName function="false" hidden="true" name="ww" vbProcedure="false">{"assumption 50 50",#N/A,TRUE,"Merger";"has gets cash",#N/A,TRUE,"Merger";"accretion dilution",#N/A,TRUE,"Merger";"comparison credit stats",#N/A,TRUE,"Merger";"pf credit stats",#N/A,TRUE,"Merger";"pf sheets",#N/A,TRUE,"Merger"}</definedName>
    <definedName function="false" hidden="true" name="www" vbProcedure="false">{#N/A,#N/A,FALSE,"PL";#N/A,#N/A,FALSE,"BS";#N/A,#N/A,FALSE,"CF"}</definedName>
    <definedName function="false" hidden="true" name="wwwdf"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wwww"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wyh" vbProcedure="false">{#N/A,#N/A,FALSE,"Summary";#N/A,#N/A,FALSE,"Fed.State Prov";#N/A,#N/A,FALSE,"Foreign Prov";#N/A,#N/A,FALSE,"Thera Fgrn";#N/A,#N/A,FALSE,"CCD Fgrn";#N/A,#N/A,FALSE,"Biocine Fgrn";#N/A,#N/A,FALSE,"Vision Fgrn";#N/A,#N/A,FALSE,"Frgn vs Dom"}</definedName>
    <definedName function="false" hidden="true" name="x" vbProcedure="false">{#N/A,#N/A,FALSE,"CMN_FE"}</definedName>
    <definedName function="false" hidden="true" name="xc" vbProcedure="false">{"Header",#N/A,TRUE,"Summary";"ProjectInfo",#N/A,TRUE,"Total Value"}</definedName>
    <definedName function="false" hidden="true" name="XCGFHTGF"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xdata1" vbProcedure="false">25+(ROW(OFFSET(#REF!,0,0,200,1))-1)*0.150753768844221</definedName>
    <definedName function="false" hidden="true" name="xfgh" vbProcedure="false">{"BS_YEARLY",#N/A,FALSE,"BS";"BS_Y1",#N/A,FALSE,"BS";"BS_Y2",#N/A,FALSE,"BS";"BS_Y3",#N/A,FALSE,"BS";"BS_Y4",#N/A,FALSE,"BS";"BS_Y5",#N/A,FALSE,"BS";"BS_Y6",#N/A,FALSE,"BS"}</definedName>
    <definedName function="false" hidden="true" name="xfzgmjnxfmj" vbProcedure="false">{0}</definedName>
    <definedName function="false" hidden="true" name="xgs"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xgwefw"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XLDW_UID" vbProcedure="false">"admin"</definedName>
    <definedName function="false" hidden="true" name="XLDW_VER" vbProcedure="false">"V0.9.9"</definedName>
    <definedName function="false" hidden="true" name="xref3" vbProcedure="false">7</definedName>
    <definedName function="false" hidden="true" name="xref7" vbProcedure="false">69</definedName>
    <definedName function="false" hidden="true" name="XRefColumnsCount" vbProcedure="false">5</definedName>
    <definedName function="false" hidden="true" name="XRefCopyRangeCount" vbProcedure="false">3</definedName>
    <definedName function="false" hidden="true" name="XRefPasteRangeCount" vbProcedure="false">2</definedName>
    <definedName function="false" hidden="true" name="XVCWXV" vbProcedure="false">#REF!</definedName>
    <definedName function="false" hidden="true" name="xx" vbProcedure="false">{"up stand alones",#N/A,FALSE,"Acquiror"}</definedName>
    <definedName function="false" hidden="true" name="xxxxx" vbProcedure="false">{#N/A,#N/A,FALSE,"Inc";#N/A,#N/A,FALSE,"QInc";#N/A,#N/A,FALSE,"Pro";#N/A,#N/A,FALSE,"QPro"}</definedName>
    <definedName function="false" hidden="true" name="xxxxxx" vbProcedure="false">{#N/A,#N/A,FALSE,"Inc";#N/A,#N/A,FALSE,"QInc";#N/A,#N/A,FALSE,"Pro";#N/A,#N/A,FALSE,"QPro"}</definedName>
    <definedName function="false" hidden="true" name="XYZ" vbProcedure="false">{#N/A,#N/A,FALSE,"CMN_FE"}</definedName>
    <definedName function="false" hidden="true" name="xz" vbProcedure="false">{#N/A,#N/A,FALSE,"CMN_FE"}</definedName>
    <definedName function="false" hidden="true" name="Yahoo" vbProcedure="false">{#N/A,#N/A,FALSE,"Inc. St.";#N/A,#N/A,FALSE,"FYear";#N/A,#N/A,FALSE,"Revs.";#N/A,#N/A,FALSE,"RevsYear";#N/A,#N/A,FALSE,"Balance";#N/A,#N/A,FALSE,"CompVal";#N/A,#N/A,FALSE,"Val.";#N/A,#N/A,FALSE,"DCFval"}</definedName>
    <definedName function="false" hidden="true" name="Yash"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name="YEARHIGH" vbProcedure="false">"YEARHIGH"</definedName>
    <definedName function="false" hidden="true" name="YEARLOW" vbProcedure="false">"YEARLOW"</definedName>
    <definedName function="false" hidden="true" name="yellow" vbProcedure="false">{"fdsup://Directions/FactSet Auditing Viewer?action=AUDIT_VALUE&amp;DB=129&amp;ID1=53245710&amp;VALUEID=05376&amp;SDATE=2006&amp;PERIODTYPE=ANN_STD&amp;window=popup_no_bar&amp;width=385&amp;height=120&amp;START_MAXIMIZED=FALSE&amp;creator=factset&amp;display_string=Audit"}</definedName>
    <definedName function="false" hidden="true" name="yhg" vbProcedure="false">2</definedName>
    <definedName function="false" hidden="true" name="ym" vbProcedure="false">{"sales",#N/A,FALSE,"Sales";"sales existing",#N/A,FALSE,"Sales";"sales rd1",#N/A,FALSE,"Sales";"sales rd2",#N/A,FALSE,"Sales"}</definedName>
    <definedName function="false" hidden="true" name="yry" vbProcedure="false">{"consolidated",#N/A,FALSE,"Sheet1";"cms",#N/A,FALSE,"Sheet1";"fse",#N/A,FALSE,"Sheet1"}</definedName>
    <definedName function="false" hidden="true" name="yt" vbProcedure="false">{"summary",#N/A,FALSE,"Summary";"transaction",#N/A,FALSE,"Transaction";"sales",#N/A,FALSE,"Sales";"sales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function="false" hidden="true" name="YUK"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YUKIYUKYUKY"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YUKLY"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yv" vbProcedure="false">{"sales",#N/A,FALSE,"Sales";"sales existing",#N/A,FALSE,"Sales";"sales rd1",#N/A,FALSE,"Sales";"sales rd2",#N/A,FALSE,"Sales"}</definedName>
    <definedName function="false" hidden="true" name="yy" vbProcedure="false">{"Header",#N/A,TRUE,"Summary";"ProjectInfo",#N/A,TRUE,"Total Value"}</definedName>
    <definedName function="false" hidden="true" name="yyyyy" vbProcedure="false">{"Finished Goods",#N/A,TRUE,"FG Production-pg1";"pg2 Finished Goods",#N/A,TRUE,"FG pg2";"pg4 Finished Goods",#N/A,TRUE,"Pg 4";"Paste",#N/A,TRUE,"FG Production-pg1";"pg2 Paste",#N/A,TRUE,"FG pg2";"pg4 Paste",#N/A,TRUE,"Pg 4";"pg3 Finished Goods",#N/A,TRUE,"FG - KPIs pg3";"Total Plant",#N/A,TRUE,"FG Production-pg1";"pg2 Cannery Total",#N/A,TRUE,"FG pg2";"pg4 Total",#N/A,TRUE,"Pg 4"}</definedName>
    <definedName function="false" hidden="true" name="z" vbProcedure="false">{#N/A,#N/A,FALSE,"CMN_FE"}</definedName>
    <definedName function="false" hidden="true" name="z.xls" vbProcedure="false">{#N/A,#N/A,FALSE,"CMN_FE"}</definedName>
    <definedName function="false" hidden="true" name="ZERTRET" vbProcedure="false">#REF!</definedName>
    <definedName function="false" hidden="true" name="zhguz" vbProcedure="false">{"DCF","UPSIDE CASE",FALSE,"Sheet1";"DCF","BASE CASE",FALSE,"Sheet1";"DCF","DOWNSIDE CASE",FALSE,"Sheet1"}</definedName>
    <definedName function="false" hidden="true" name="zsdfksksk"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zy" vbProcedure="false">{#N/A,#N/A,FALSE,"CMN_FE"}</definedName>
    <definedName function="false" hidden="true" name="zyz" vbProcedure="false">{#N/A,#N/A,FALSE,"CMN_FE"}</definedName>
    <definedName function="false" hidden="true" name="zz" vbProcedure="false">{"sales",#N/A,FALSE,"Sales";"sales existing",#N/A,FALSE,"Sales";"sales rd1",#N/A,FALSE,"Sales";"sales rd2",#N/A,FALSE,"Sales"}</definedName>
    <definedName function="false" hidden="true" name="zzz" vbProcedure="false">{#N/A,#N/A,FALSE,"CMN_FE"}</definedName>
    <definedName function="false" hidden="true" name="ZZZZxxxxxZZZZZ" vbProcedure="false">{"Print Summary",#N/A,FALSE,"Summary Analysis";"Print FCF",#N/A,FALSE,"FCF Analysis";"Print Sensitivity",#N/A,FALSE,"Sensitivity Analysis";"Print NAV",#N/A,FALSE,"NAV Analysis";"Print Credit",#N/A,FALSE,"Credit Analysis"}</definedName>
    <definedName function="false" hidden="true" name="zzzzzzzzzzzzzzzzzzzzzzz" vbProcedure="false">#REF!</definedName>
    <definedName function="false" hidden="true" name="Z_041A9AC9_2124_11D6_AB98_0080AD7F2B9C_.wvu.PrintArea" vbProcedure="false">#REF!</definedName>
    <definedName function="false" hidden="true" name="Z_0D0C8E7C_B05F_4140_B0F5_1ED992B1E749_.wvu.PrintArea" vbProcedure="false">#REF!</definedName>
    <definedName function="false" hidden="true" name="Z_0D0C8E7C_B05F_4140_B0F5_1ED992B1E749_.wvu.PrintTitles" vbProcedure="false">#REF!</definedName>
    <definedName function="false" hidden="true" name="Z_0FE286A3_0410_11D6_AB98_0080AD7F2B9C_.wvu.PrintArea" vbProcedure="false">#REF!</definedName>
    <definedName function="false" hidden="true" name="Z_12257208_8BD0_11D5_AB98_BA832CF70069_.wvu.PrintTitles" vbProcedure="false">#REF!</definedName>
    <definedName function="false" hidden="true" name="Z_1EDCACC4_664A_11D6_84E7_0080AD7F2B9C_.wvu.PrintArea" vbProcedure="false">#REF!</definedName>
    <definedName function="false" hidden="true" name="Z_1EDCACC8_664A_11D6_84E7_0080AD7F2B9C_.wvu.PrintArea" vbProcedure="false">#REF!</definedName>
    <definedName function="false" hidden="true" name="Z_2891AF67_639B_11D2_AA4E_AB73DC59AB4D_.wvu.PrintArea" vbProcedure="false">#REF!</definedName>
    <definedName function="false" hidden="true" name="Z_2891AF68_639B_11D2_AA4E_AB73DC59AB4D_.wvu.PrintArea" vbProcedure="false">#REF!</definedName>
    <definedName function="false" hidden="true" name="Z_28A83DC1_AFA8_11D7_8C04_00508D4511B4_.wvu.Cols" vbProcedure="false">#REF!</definedName>
    <definedName function="false" hidden="true" name="Z_28A83DC1_AFA8_11D7_8C04_00508D4511B4_.wvu.PrintArea" vbProcedure="false">#REF!</definedName>
    <definedName function="false" hidden="true" name="Z_28A83DC1_AFA8_11D7_8C04_00508D4511B4_.wvu.PrintTitles" vbProcedure="false">#REF!</definedName>
    <definedName function="false" hidden="true" name="Z_2D889D83_BF5D_11D6_BAAC_00508D3936C3_.wvu.PrintArea" vbProcedure="false">#REF!</definedName>
    <definedName function="false" hidden="true" name="Z_344F5AB5_F908_11D8_871D_00508D3936C3_.wvu.Cols" vbProcedure="false">#REF!,#REF!,#REF!,#REF!</definedName>
    <definedName function="false" hidden="true" name="Z_344F5AB5_F908_11D8_871D_00508D3936C3_.wvu.FilterData" vbProcedure="false">#REF!</definedName>
    <definedName function="false" hidden="true" name="Z_344F5AB5_F908_11D8_871D_00508D3936C3_.wvu.PrintArea" vbProcedure="false">#REF!</definedName>
    <definedName function="false" hidden="true" name="Z_344F5AB5_F908_11D8_871D_00508D3936C3_.wvu.PrintTitles" vbProcedure="false">#REF!,#REF!</definedName>
    <definedName function="false" hidden="true" name="Z_3B432486_B5D0_11D7_BAAA_00508D3936C3_.wvu.PrintArea" vbProcedure="false">#REF!</definedName>
    <definedName function="false" hidden="true" name="Z_3B432486_B5D0_11D7_BAAA_00508D3936C3_.wvu.PrintTitles" vbProcedure="false">#REF!</definedName>
    <definedName function="false" hidden="true" name="Z_3B432488_B5D0_11D7_BAAA_00508D3936C3_.wvu.FilterData" vbProcedure="false">#REF!</definedName>
    <definedName function="false" hidden="true" name="Z_3B432488_B5D0_11D7_BAAA_00508D3936C3_.wvu.PrintArea" vbProcedure="false">#REF!</definedName>
    <definedName function="false" hidden="true" name="Z_3FF5FAC1_2125_11D6_A755_00A0247B1186_.wvu.PrintArea" vbProcedure="false">#REF!</definedName>
    <definedName function="false" hidden="true" name="Z_4060D0C3_97E5_11D6_84E7_0080AD7F2B9C_.wvu.PrintArea" vbProcedure="false">#REF!</definedName>
    <definedName function="false" hidden="true" name="Z_4060D0C3_97E5_11D6_84E7_0080AD7F2B9C_.wvu.PrintTitles" vbProcedure="false">#REF!</definedName>
    <definedName function="false" hidden="true" name="Z_4060D0C5_97E5_11D6_84E7_0080AD7F2B9C_.wvu.PrintArea" vbProcedure="false">#REF!</definedName>
    <definedName function="false" hidden="true" name="Z_4060D0C5_97E5_11D6_84E7_0080AD7F2B9C_.wvu.PrintTitles" vbProcedure="false">#REF!</definedName>
    <definedName function="false" hidden="true" name="Z_4060D0C5_97E5_11D6_84E7_0080AD7F2B9C_.wvu.Rows" vbProcedure="false">#REF!</definedName>
    <definedName function="false" hidden="true" name="Z_4D0A5E41_C247_11D6_BAAC_00508D3936C3_.wvu.Cols" vbProcedure="false">#REF!</definedName>
    <definedName function="false" hidden="true" name="Z_4D0A5E41_C247_11D6_BAAC_00508D3936C3_.wvu.PrintArea" vbProcedure="false">#REF!</definedName>
    <definedName function="false" hidden="true" name="Z_4D0A5E41_C247_11D6_BAAC_00508D3936C3_.wvu.PrintTitles" vbProcedure="false">#REF!</definedName>
    <definedName function="false" hidden="true" name="Z_4D0A5E42_C247_11D6_BAAC_00508D3936C3_.wvu.Cols" vbProcedure="false">#REF!</definedName>
    <definedName function="false" hidden="true" name="Z_4D0A5E42_C247_11D6_BAAC_00508D3936C3_.wvu.PrintArea" vbProcedure="false">#REF!</definedName>
    <definedName function="false" hidden="true" name="Z_4D0A5E42_C247_11D6_BAAC_00508D3936C3_.wvu.PrintTitles" vbProcedure="false">#REF!</definedName>
    <definedName function="false" hidden="true" name="Z_52BE47E4_0413_11D6_B365_00E04C390217_.wvu.PrintArea" vbProcedure="false">#REF!</definedName>
    <definedName function="false" hidden="true" name="Z_67EFEDB9_998B_11D7_BAAE_00508D3936C3_.wvu.FilterData" vbProcedure="false">#REF!</definedName>
    <definedName function="false" hidden="true" name="Z_67EFEDB9_998B_11D7_BAAE_00508D3936C3_.wvu.PrintArea" vbProcedure="false">#REF!</definedName>
    <definedName function="false" hidden="true" name="Z_67EFEDCD_998B_11D7_BAAE_00508D3936C3_.wvu.PrintArea" vbProcedure="false">#REF!</definedName>
    <definedName function="false" hidden="true" name="Z_67EFEDCF_998B_11D7_BAAE_00508D3936C3_.wvu.Cols" vbProcedure="false">#REF!,#REF!</definedName>
    <definedName function="false" hidden="true" name="Z_67EFEDCF_998B_11D7_BAAE_00508D3936C3_.wvu.PrintArea" vbProcedure="false">#REF!</definedName>
    <definedName function="false" hidden="true" name="Z_67EFEDCF_998B_11D7_BAAE_00508D3936C3_.wvu.PrintTitles" vbProcedure="false">#REF!</definedName>
    <definedName function="false" hidden="true" name="Z_67EFEDD5_998B_11D7_BAAE_00508D3936C3_.wvu.PrintArea" vbProcedure="false">#REF!</definedName>
    <definedName function="false" hidden="true" name="Z_6AAA9A43_7FE3_4842_8A91_6961A5764886_.wvu.PrintArea" vbProcedure="false">#REF!</definedName>
    <definedName function="false" hidden="true" name="Z_6D622941_8B28_11D5_AB98_A160CBDC817A_.wvu.Cols" vbProcedure="false">#REF!</definedName>
    <definedName function="false" hidden="true" name="Z_6D622941_8B28_11D5_AB98_A160CBDC817A_.wvu.PrintTitles" vbProcedure="false">#REF!</definedName>
    <definedName function="false" hidden="true" name="Z_6D622942_8B28_11D5_AB98_A160CBDC817A_.wvu.Cols" vbProcedure="false">#REF!</definedName>
    <definedName function="false" hidden="true" name="Z_6D622942_8B28_11D5_AB98_A160CBDC817A_.wvu.PrintTitles" vbProcedure="false">#REF!</definedName>
    <definedName function="false" hidden="true" name="Z_72EE3867_0384_11D7_BAAD_00508D3936C3_.wvu.PrintTitles" vbProcedure="false">#REF!</definedName>
    <definedName function="false" hidden="true" name="Z_81C4DD18_7C87_11D6_B1E8_00E04C390217_.wvu.PrintArea" vbProcedure="false">#REF!</definedName>
    <definedName function="false" hidden="true" name="Z_842B6700_0057_11D6_8D11_0080AD7F1E3D_.wvu.PrintTitles" vbProcedure="false">#REF!</definedName>
    <definedName function="false" hidden="true" name="Z_84D2A682_D22C_11D6_B1E9_00E04C390217_.wvu.Cols" vbProcedure="false">#REF!,#REF!,#REF!,#REF!,#REF!,#REF!,#REF!,#REF!</definedName>
    <definedName function="false" hidden="true" name="Z_852F0843_003F_11D6_AB98_0080AD7F2B9C_.wvu.Cols" vbProcedure="false">#REF!,#REF!,#REF!,#REF!</definedName>
    <definedName function="false" hidden="true" name="Z_9BC57041_A085_11D5_AB98_0080AD7F2B9C_.wvu.PrintTitles" vbProcedure="false">#REF!</definedName>
    <definedName function="false" hidden="true" name="Z_9BC57042_A085_11D5_AB98_0080AD7F2B9C_.wvu.PrintTitles" vbProcedure="false">#REF!</definedName>
    <definedName function="false" hidden="true" name="Z_9BC57043_A085_11D5_AB98_0080AD7F2B9C_.wvu.PrintTitles" vbProcedure="false">#REF!</definedName>
    <definedName function="false" hidden="true" name="Z_9EF739CB_9998_11D7_8C04_00508D4511B4_.wvu.PrintArea" vbProcedure="false">#REF!</definedName>
    <definedName function="false" hidden="true" name="Z_9EF739DF_9998_11D7_8C04_00508D4511B4_.wvu.FilterData" vbProcedure="false">#REF!</definedName>
    <definedName function="false" hidden="true" name="Z_9EF739DF_9998_11D7_8C04_00508D4511B4_.wvu.PrintArea" vbProcedure="false">#REF!</definedName>
    <definedName function="false" hidden="true" name="Z_B220CB20_0621_11D7_AE01_00C026AA8282_.wvu.PrintArea" vbProcedure="false">#REF!</definedName>
    <definedName function="false" hidden="true" name="Z_CBC4CEF1_B128_11D7_BAAA_00508D3936C3_.wvu.PrintArea" vbProcedure="false">#REF!</definedName>
    <definedName function="false" hidden="true" name="Z_CBC4CEF1_B128_11D7_BAAA_00508D3936C3_.wvu.PrintTitles" vbProcedure="false">#REF!</definedName>
    <definedName function="false" hidden="true" name="Z_CFFB2BC9_C4F2_4609_9C4B_D3D698B3D4B1_.wvu.PrintArea" vbProcedure="false">#REF!</definedName>
    <definedName function="false" hidden="true" name="Z_E76CED10_8CCD_11D9_8BFE_00508D2DD736_.wvu.Cols" vbProcedure="false">#REF!,#REF!,#REF!,#REF!,#REF!,#REF!,#REF!</definedName>
    <definedName function="false" hidden="true" name="Z_E76CED10_8CCD_11D9_8BFE_00508D2DD736_.wvu.PrintArea" vbProcedure="false">#REF!</definedName>
    <definedName function="false" hidden="true" name="Z_E76CED10_8CCD_11D9_8BFE_00508D2DD736_.wvu.Rows" vbProcedure="false">#REF!,#REF!,#REF!,#REF!,#REF!,#REF!,#REF!,#REF!,#REF!,#REF!,#REF!,#REF!,#REF!</definedName>
    <definedName function="false" hidden="true" name="Z_F93949A5_3508_11D6_AB98_0080AD7F2B9C_.wvu.PrintArea" vbProcedure="false">#REF!</definedName>
    <definedName function="false" hidden="true" name="\" vbProcedure="false">{"kricash",#N/A,FALSE,"INC";"kriinc",#N/A,FALSE,"INC";"krimiami",#N/A,FALSE,"INC";"kriother",#N/A,FALSE,"INC";"kripapers",#N/A,FALSE,"INC"}</definedName>
    <definedName function="false" hidden="true" name="\1" vbProcedure="false">{"kricash",#N/A,FALSE,"INC";"kriinc",#N/A,FALSE,"INC";"krimiami",#N/A,FALSE,"INC";"kriother",#N/A,FALSE,"INC";"kripapers",#N/A,FALSE,"INC"}</definedName>
    <definedName function="false" hidden="true" name="_101__123Graph_XSEN_TAB_20_S" vbProcedure="false">#REF!</definedName>
    <definedName function="false" hidden="true" name="_103__123Graph_XSENSYR_2OZ" vbProcedure="false">#REF!</definedName>
    <definedName function="false" hidden="true" name="_105__123Graph_XSENX12_S" vbProcedure="false">#REF!</definedName>
    <definedName function="false" hidden="true" name="_107__123Graph_ASOL_1_2OZ" vbProcedure="false">#REF!</definedName>
    <definedName function="false" hidden="true" name="_107__123Graph_XSOL_1_2OZ" vbProcedure="false">#REF!</definedName>
    <definedName function="false" hidden="true" name="_1084IQ_INTEREST_INC_10" vbProcedure="false">#N/A</definedName>
    <definedName function="false" hidden="true" name="_109__123Graph_XSWAB_1_S" vbProcedure="false">#REF!</definedName>
    <definedName function="false" hidden="true" name="_10_FDSAUDITLINK___" vbProcedure="false">{"fdsup://directions/FAT Viewer?action=UPDATE&amp;creator=factset&amp;DYN_ARGS=TRUE&amp;DOC_NAME=FAT:FQL_AUDITING_CLIENT_TEMPLATE.FAT&amp;display_string=Audit&amp;VAR:KEY=BYLCVWFIZG&amp;VAR:QUERY=RkZfREVCVChRVFIsMCwsLCxVU0Qp&amp;WINDOW=FIRST_POPUP&amp;HEIGHT=450&amp;WIDTH=450&amp;START_MAXIMIZED=","FALSE&amp;VAR:CALENDAR=US&amp;VAR:SYMBOL=CERN&amp;VAR:INDEX=0"}</definedName>
    <definedName function="false" hidden="true" name="_10__123Graph_ASEN_50_S" vbProcedure="false">#REF!</definedName>
    <definedName function="false" hidden="true" name="_10__123Graph_ASEN_S_STRIP" vbProcedure="false">#REF!</definedName>
    <definedName function="false" hidden="true" name="_10__123Graph_BCHART_4" vbProcedure="false">#REF!</definedName>
    <definedName function="false" hidden="true" name="_110__123Graph_BXPREP_2" vbProcedure="false">#REF!</definedName>
    <definedName function="false" hidden="true" name="_111__123Graph_XSWAB3_S" vbProcedure="false">#REF!</definedName>
    <definedName function="false" hidden="true" name="_113__123Graph_XXPREP_1" vbProcedure="false">#REF!</definedName>
    <definedName function="false" hidden="true" name="_115__123Graph_ASWAB_1_S" vbProcedure="false">#REF!</definedName>
    <definedName function="false" hidden="true" name="_115__123Graph_XXPREP_2" vbProcedure="false">#REF!</definedName>
    <definedName function="false" hidden="true" name="_11__123Graph_ASEN_6OZ" vbProcedure="false">#REF!</definedName>
    <definedName function="false" hidden="true" name="_11__123Graph_ASEN_S30_S" vbProcedure="false">#REF!</definedName>
    <definedName function="false" hidden="true" name="_11__123Graph_BCHART_5" vbProcedure="false">#REF!</definedName>
    <definedName function="false" hidden="true" name="_11__123Graph_LBL_ACHART_3" vbProcedure="false">#REF!</definedName>
    <definedName function="false" hidden="true" name="_123__123Graph_ASWAB3_S" vbProcedure="false">#REF!</definedName>
    <definedName function="false" hidden="true" name="_124__123Graph_AXPREP_1" vbProcedure="false">#REF!</definedName>
    <definedName function="false" hidden="true" name="_125__123Graph_AXPREP_2" vbProcedure="false">#REF!</definedName>
    <definedName function="false" hidden="true" name="_12__123Graph_ASEN_STRIP" vbProcedure="false">#REF!</definedName>
    <definedName function="false" hidden="true" name="_12__123Graph_BCHART_6" vbProcedure="false">#REF!</definedName>
    <definedName function="false" hidden="true" name="_133__123Graph_BSC16W_O" vbProcedure="false">#REF!</definedName>
    <definedName function="false" hidden="true" name="_13__123Graph_ASEN_S_1000_S" vbProcedure="false">#REF!</definedName>
    <definedName function="false" hidden="true" name="_13__123Graph_ASEN_TAB_20_S" vbProcedure="false">#REF!</definedName>
    <definedName function="false" hidden="true" name="_13__123Graph_XCHART_1" vbProcedure="false">#REF!</definedName>
    <definedName function="false" hidden="true" name="_140__123Graph_XSEN_S_STRIP" vbProcedure="false">#REF!</definedName>
    <definedName function="false" hidden="true" name="_141__123Graph_BSEN_1000_S" vbProcedure="false">#REF!</definedName>
    <definedName function="false" hidden="true" name="_149__123Graph_BSEN_100_S" vbProcedure="false">#REF!</definedName>
    <definedName function="false" hidden="true" name="_14__123Graph_ACHART_1" vbProcedure="false">#N/A</definedName>
    <definedName function="false" hidden="true" name="_14__123Graph_ASENSYR_2OZ" vbProcedure="false">#REF!</definedName>
    <definedName function="false" hidden="true" name="_14__123Graph_XCHART_2" vbProcedure="false">#REF!</definedName>
    <definedName function="false" hidden="true" name="_157__123Graph_BSEN_10_S" vbProcedure="false">#REF!</definedName>
    <definedName function="false" hidden="true" name="_15__123Graph_ACHART_2" vbProcedure="false">#REF!</definedName>
    <definedName function="false" hidden="true" name="_15__123Graph_ASENX12_S" vbProcedure="false">#REF!</definedName>
    <definedName function="false" hidden="true" name="_15__123Graph_ASEN_6OZ" vbProcedure="false">#REF!</definedName>
    <definedName function="false" hidden="true" name="_15__123Graph_ASEN_S_60_S" vbProcedure="false">#REF!</definedName>
    <definedName function="false" hidden="true" name="_15__123Graph_LBL_ACHART_3" vbProcedure="false">#REF!</definedName>
    <definedName function="false" hidden="true" name="_15__123Graph_XCHART_3" vbProcedure="false">#REF!</definedName>
    <definedName function="false" hidden="true" name="_165__123Graph_BSEN_12OZ" vbProcedure="false">#REF!</definedName>
    <definedName function="false" hidden="true" name="_16__123Graph_ACHART_3" vbProcedure="false">#REF!</definedName>
    <definedName function="false" hidden="true" name="_16__123Graph_ASEN_1000_S" vbProcedure="false">#REF!</definedName>
    <definedName function="false" hidden="true" name="_16__123Graph_ASOL_1_2OZ" vbProcedure="false">#REF!</definedName>
    <definedName function="false" hidden="true" name="_16__123Graph_XCHART_4" vbProcedure="false">#REF!</definedName>
    <definedName function="false" hidden="true" name="_173__123Graph_BSEN_50_S" vbProcedure="false">#REF!</definedName>
    <definedName function="false" hidden="true" name="_17__123Graph_ACHART_4" vbProcedure="false">#REF!</definedName>
    <definedName function="false" hidden="true" name="_17__123Graph_ASEN_S_STRIP" vbProcedure="false">#REF!</definedName>
    <definedName function="false" hidden="true" name="_17__123Graph_ASWAB_1_S" vbProcedure="false">#REF!</definedName>
    <definedName function="false" hidden="true" name="_17__123Graph_XCHART_5" vbProcedure="false">#REF!</definedName>
    <definedName function="false" hidden="true" name="_181__123Graph_BSEN_6OZ" vbProcedure="false">#REF!</definedName>
    <definedName function="false" hidden="true" name="_189__123Graph_BSEN_S_1000_S" vbProcedure="false">#REF!</definedName>
    <definedName function="false" hidden="true" name="_18__123Graph_ACHART_5" vbProcedure="false">#REF!</definedName>
    <definedName function="false" hidden="true" name="_18__123Graph_ASEN_S_1000_S" vbProcedure="false">#REF!</definedName>
    <definedName function="false" hidden="true" name="_18__123Graph_ASWAB3_S" vbProcedure="false">#REF!</definedName>
    <definedName function="false" hidden="true" name="_18__123Graph_XCHART_6" vbProcedure="false">#REF!</definedName>
    <definedName function="false" hidden="true" name="_197__123Graph_BSEN_S_60_S" vbProcedure="false">#REF!</definedName>
    <definedName function="false" hidden="true" name="_19__123Graph_ACHART_6" vbProcedure="false">#REF!</definedName>
    <definedName function="false" hidden="true" name="_19__123Graph_ASEN_S30_S" vbProcedure="false">#REF!</definedName>
    <definedName function="false" hidden="true" name="_19__123Graph_AXPREP_1" vbProcedure="false">#REF!</definedName>
    <definedName function="false" hidden="true" name="_1FDSAUDITLINK___" vbProcedure="false">{"fdsup://directions/FAT Viewer?action=UPDATE&amp;creator=factset&amp;DYN_ARGS=TRUE&amp;DOC_NAME=FAT:FQL_AUDITING_CLIENT_TEMPLATE.FAT&amp;display_string=Audit&amp;VAR:KEY=FOHGZCNOFQ&amp;VAR:QUERY=RkZfRUJJVERBX09QRVIoQ0FMLDIwMTAsLCwsVVNEKQ==&amp;WINDOW=FIRST_POPUP&amp;HEIGHT=450&amp;WIDTH=450&amp;","START_MAXIMIZED=FALSE&amp;VAR:CALENDAR=US&amp;VAR:SYMBOL=HMSY&amp;VAR:INDEX=0"}</definedName>
    <definedName function="false" hidden="true" name="_1__123Graph_ACHART_1" vbProcedure="false">#REF!</definedName>
    <definedName function="false" hidden="true" name="_1__123Graph_ASC16W_O" vbProcedure="false">#REF!</definedName>
    <definedName function="false" hidden="true" name="_205__123Graph_BSEN_S_STRIP" vbProcedure="false">#REF!</definedName>
    <definedName function="false" hidden="true" name="_20__123Graph_AXPREP_2" vbProcedure="false">#REF!</definedName>
    <definedName function="false" hidden="true" name="_20__123Graph_BCHART_1" vbProcedure="false">#N/A</definedName>
    <definedName function="false" hidden="true" name="_213__123Graph_BSEN_S30_S" vbProcedure="false">#REF!</definedName>
    <definedName function="false" hidden="true" name="_21__123Graph_ASEN_STRIP" vbProcedure="false">#REF!</definedName>
    <definedName function="false" hidden="true" name="_21__123Graph_BCHART_2" vbProcedure="false">#REF!</definedName>
    <definedName function="false" hidden="true" name="_21__123Graph_BSC16W_O" vbProcedure="false">#REF!</definedName>
    <definedName function="false" hidden="true" name="_221__123Graph_BSEN_STRIP" vbProcedure="false">#REF!</definedName>
    <definedName function="false" hidden="true" name="_229__123Graph_BSEN_TAB_20_S" vbProcedure="false">#REF!</definedName>
    <definedName function="false" hidden="true" name="_22__123Graph_BCHART_3" vbProcedure="false">#REF!</definedName>
    <definedName function="false" hidden="true" name="_22__123Graph_BSEN_1000_S" vbProcedure="false">#REF!</definedName>
    <definedName function="false" hidden="true" name="_237__123Graph_BSENSYR_2OZ" vbProcedure="false">#REF!</definedName>
    <definedName function="false" hidden="true" name="_23__123Graph_ASEN_TAB_20_S" vbProcedure="false">#REF!</definedName>
    <definedName function="false" hidden="true" name="_23__123Graph_BCHART_4" vbProcedure="false">#REF!</definedName>
    <definedName function="false" hidden="true" name="_23__123Graph_BSEN_100_S" vbProcedure="false">#REF!</definedName>
    <definedName function="false" hidden="true" name="_245__123Graph_BSENX12_S" vbProcedure="false">#REF!</definedName>
    <definedName function="false" hidden="true" name="_24__123Graph_ASEN_100_S" vbProcedure="false">#REF!</definedName>
    <definedName function="false" hidden="true" name="_24__123Graph_BCHART_5" vbProcedure="false">#REF!</definedName>
    <definedName function="false" hidden="true" name="_24__123Graph_BSEN_10_S" vbProcedure="false">#REF!</definedName>
    <definedName function="false" hidden="true" name="_253__123Graph_BSOL_1_2OZ" vbProcedure="false">#REF!</definedName>
    <definedName function="false" hidden="true" name="_25__123Graph_ASENSYR_2OZ" vbProcedure="false">#REF!</definedName>
    <definedName function="false" hidden="true" name="_25__123Graph_ASEN_10_S" vbProcedure="false">#REF!</definedName>
    <definedName function="false" hidden="true" name="_25__123Graph_BSEN_12OZ" vbProcedure="false">#REF!</definedName>
    <definedName function="false" hidden="true" name="_25__123Graph_CCHART_1" vbProcedure="false">#REF!</definedName>
    <definedName function="false" hidden="true" name="_261__123Graph_BSWAB_1_S" vbProcedure="false">#REF!</definedName>
    <definedName function="false" hidden="true" name="_269__123Graph_BSWAB3_S" vbProcedure="false">#REF!</definedName>
    <definedName function="false" hidden="true" name="_26__123Graph_ASEN_12OZ" vbProcedure="false">#REF!</definedName>
    <definedName function="false" hidden="true" name="_26__123Graph_BSEN_50_S" vbProcedure="false">#REF!</definedName>
    <definedName function="false" hidden="true" name="_26__123Graph_CCHART_3" vbProcedure="false">#REF!</definedName>
    <definedName function="false" hidden="true" name="_277__123Graph_BXPREP_1" vbProcedure="false">#REF!</definedName>
    <definedName function="false" hidden="true" name="_27__123Graph_ASENX12_S" vbProcedure="false">#REF!</definedName>
    <definedName function="false" hidden="true" name="_27__123Graph_BSEN_6OZ" vbProcedure="false">#REF!</definedName>
    <definedName function="false" hidden="true" name="_27__123Graph_CCHART_6" vbProcedure="false">#REF!</definedName>
    <definedName function="false" hidden="true" name="_285__123Graph_BXPREP_2" vbProcedure="false">#REF!</definedName>
    <definedName function="false" hidden="true" name="_28__123Graph_BSEN_S_1000_S" vbProcedure="false">#REF!</definedName>
    <definedName function="false" hidden="true" name="_28__123Graph_DCHART_1" vbProcedure="false">#N/A</definedName>
    <definedName function="false" hidden="true" name="_293__123Graph_XSC16W_O" vbProcedure="false">#REF!</definedName>
    <definedName function="false" hidden="true" name="_29__123Graph_ASOL_1_2OZ" vbProcedure="false">#REF!</definedName>
    <definedName function="false" hidden="true" name="_29__123Graph_BSEN_S_60_S" vbProcedure="false">#REF!</definedName>
    <definedName function="false" hidden="true" name="_29__123Graph_DCHART_2" vbProcedure="false">#REF!</definedName>
    <definedName function="false" hidden="true" name="_2__123Graph_ACHART_2" vbProcedure="false">#REF!</definedName>
    <definedName function="false" hidden="true" name="_2__123Graph_ACHART_3" vbProcedure="false">#REF!</definedName>
    <definedName function="false" hidden="true" name="_2__123Graph_ASC16W_O" vbProcedure="false">#REF!</definedName>
    <definedName function="false" hidden="true" name="_2__123Graph_ASEN_1000_S" vbProcedure="false">#REF!</definedName>
    <definedName function="false" hidden="true" name="_301__123Graph_XSEN_1000_S" vbProcedure="false">#REF!</definedName>
    <definedName function="false" hidden="true" name="_309__123Graph_XSEN_100_S" vbProcedure="false">#REF!</definedName>
    <definedName function="false" hidden="true" name="_30__123Graph_ASEN_STRIP" vbProcedure="false">#REF!</definedName>
    <definedName function="false" hidden="true" name="_30__123Graph_BSEN_S_STRIP" vbProcedure="false">#REF!</definedName>
    <definedName function="false" hidden="true" name="_30__123Graph_DCHART_3" vbProcedure="false">#REF!</definedName>
    <definedName function="false" hidden="true" name="_317__123Graph_XSEN_10_S" vbProcedure="false">#REF!</definedName>
    <definedName function="false" hidden="true" name="_31__123Graph_ASWAB_1_S" vbProcedure="false">#REF!</definedName>
    <definedName function="false" hidden="true" name="_31__123Graph_BSEN_S30_S" vbProcedure="false">#REF!</definedName>
    <definedName function="false" hidden="true" name="_31__123Graph_ECHART_3" vbProcedure="false">#REF!</definedName>
    <definedName function="false" hidden="true" name="_325__123Graph_XSEN_12OZ" vbProcedure="false">#REF!</definedName>
    <definedName function="false" hidden="true" name="_32__123Graph_BSEN_STRIP" vbProcedure="false">#REF!</definedName>
    <definedName function="false" hidden="true" name="_32__123Graph_LBL_ACHART_1" vbProcedure="false">#N/A</definedName>
    <definedName function="false" hidden="true" name="_333__123Graph_XSEN_50_S" vbProcedure="false">#REF!</definedName>
    <definedName function="false" hidden="true" name="_33__123Graph_ASWAB3_S" vbProcedure="false">#REF!</definedName>
    <definedName function="false" hidden="true" name="_33__123Graph_BSEN_TAB_20_S" vbProcedure="false">#REF!</definedName>
    <definedName function="false" hidden="true" name="_33__123Graph_LBL_ACHART_2" vbProcedure="false">#REF!</definedName>
    <definedName function="false" hidden="true" name="_341__123Graph_XSEN_6OZ" vbProcedure="false">#REF!</definedName>
    <definedName function="false" hidden="true" name="_349__123Graph_XSEN_S_1000_S" vbProcedure="false">#REF!</definedName>
    <definedName function="false" hidden="true" name="_34__123Graph_ASEN_50_S" vbProcedure="false">#REF!</definedName>
    <definedName function="false" hidden="true" name="_34__123Graph_AXPREP_1" vbProcedure="false">#REF!</definedName>
    <definedName function="false" hidden="true" name="_34__123Graph_BSENSYR_2OZ" vbProcedure="false">#REF!</definedName>
    <definedName function="false" hidden="true" name="_34__123Graph_LBL_ACHART_3" vbProcedure="false">#REF!</definedName>
    <definedName function="false" hidden="true" name="_357__123Graph_XSEN_S_60_S" vbProcedure="false">#REF!</definedName>
    <definedName function="false" hidden="true" name="_35__123Graph_ASEN_6OZ" vbProcedure="false">#REF!</definedName>
    <definedName function="false" hidden="true" name="_35__123Graph_AXPREP_2" vbProcedure="false">#REF!</definedName>
    <definedName function="false" hidden="true" name="_35__123Graph_BSENX12_S" vbProcedure="false">#REF!</definedName>
    <definedName function="false" hidden="true" name="_35__123Graph_LBL_ACHART_6" vbProcedure="false">#REF!</definedName>
    <definedName function="false" hidden="true" name="_365__123Graph_XSEN_S_STRIP" vbProcedure="false">#REF!</definedName>
    <definedName function="false" hidden="true" name="_36__123Graph_BSOL_1_2OZ" vbProcedure="false">#REF!</definedName>
    <definedName function="false" hidden="true" name="_36__123Graph_LBL_BCHART_6" vbProcedure="false">#REF!</definedName>
    <definedName function="false" hidden="true" name="_373__123Graph_XSEN_S30_S" vbProcedure="false">#REF!</definedName>
    <definedName function="false" hidden="true" name="_37__123Graph_BSC16W_O" vbProcedure="false">#REF!</definedName>
    <definedName function="false" hidden="true" name="_37__123Graph_BSWAB_1_S" vbProcedure="false">#REF!</definedName>
    <definedName function="false" hidden="true" name="_37__123Graph_LBL_CCHART_6" vbProcedure="false">#REF!</definedName>
    <definedName function="false" hidden="true" name="_381__123Graph_XSEN_STRIP" vbProcedure="false">#REF!</definedName>
    <definedName function="false" hidden="true" name="_389__123Graph_XSEN_TAB_20_S" vbProcedure="false">#REF!</definedName>
    <definedName function="false" hidden="true" name="_38__123Graph_BSWAB3_S" vbProcedure="false">#REF!</definedName>
    <definedName function="false" hidden="true" name="_38__123Graph_LBL_DCHART_1" vbProcedure="false">#N/A</definedName>
    <definedName function="false" hidden="true" name="_397__123Graph_XSENSYR_2OZ" vbProcedure="false">#REF!</definedName>
    <definedName function="false" hidden="true" name="_39__123Graph_BSEN_1000_S" vbProcedure="false">#REF!</definedName>
    <definedName function="false" hidden="true" name="_39__123Graph_BXPREP_1" vbProcedure="false">#REF!</definedName>
    <definedName function="false" hidden="true" name="_39__123Graph_LBL_DCHART_2" vbProcedure="false">#REF!</definedName>
    <definedName function="false" hidden="true" name="_3__123Graph_ACHART_3" vbProcedure="false">#REF!</definedName>
    <definedName function="false" hidden="true" name="_3__123Graph_ASC16W_O" vbProcedure="false">#REF!</definedName>
    <definedName function="false" hidden="true" name="_3__123Graph_ASEN_100_S" vbProcedure="false">#REF!</definedName>
    <definedName function="false" hidden="true" name="_405__123Graph_XSENX12_S" vbProcedure="false">#REF!</definedName>
    <definedName function="false" hidden="true" name="_40__123Graph_BXPREP_2" vbProcedure="false">#REF!</definedName>
    <definedName function="false" hidden="true" name="_40__123Graph_XCHART_2" vbProcedure="false">#REF!</definedName>
    <definedName function="false" hidden="true" name="_413__123Graph_XSOL_1_2OZ" vbProcedure="false">#REF!</definedName>
    <definedName function="false" hidden="true" name="_41__123Graph_BSEN_100_S" vbProcedure="false">#REF!</definedName>
    <definedName function="false" hidden="true" name="_41__123Graph_XCHART_3" vbProcedure="false">#REF!</definedName>
    <definedName function="false" hidden="true" name="_41__123Graph_XSC16W_O" vbProcedure="false">#REF!</definedName>
    <definedName function="false" hidden="true" name="_421__123Graph_XSWAB_1_S" vbProcedure="false">#REF!</definedName>
    <definedName function="false" hidden="true" name="_429__123Graph_XSWAB3_S" vbProcedure="false">#REF!</definedName>
    <definedName function="false" hidden="true" name="_42__123Graph_XCHART_4" vbProcedure="false">#REF!</definedName>
    <definedName function="false" hidden="true" name="_42__123Graph_XSEN_1000_S" vbProcedure="false">#REF!</definedName>
    <definedName function="false" hidden="true" name="_437__123Graph_XXPREP_1" vbProcedure="false">#REF!</definedName>
    <definedName function="false" hidden="true" name="_43__123Graph_ASEN_S_1000_S" vbProcedure="false">#REF!</definedName>
    <definedName function="false" hidden="true" name="_43__123Graph_BSEN_10_S" vbProcedure="false">#REF!</definedName>
    <definedName function="false" hidden="true" name="_43__123Graph_XCHART_5" vbProcedure="false">#REF!</definedName>
    <definedName function="false" hidden="true" name="_43__123Graph_XSEN_100_S" vbProcedure="false">#REF!</definedName>
    <definedName function="false" hidden="true" name="_445__123Graph_XXPREP_2" vbProcedure="false">#REF!</definedName>
    <definedName function="false" hidden="true" name="_44__123Graph_XCHART_6" vbProcedure="false">#REF!</definedName>
    <definedName function="false" hidden="true" name="_44__123Graph_XSEN_10_S" vbProcedure="false">#REF!</definedName>
    <definedName function="false" hidden="true" name="_45__123Graph_BSEN_12OZ" vbProcedure="false">#REF!</definedName>
    <definedName function="false" hidden="true" name="_45__123Graph_XSEN_12OZ" vbProcedure="false">#REF!</definedName>
    <definedName function="false" hidden="true" name="_46__123Graph_XSEN_50_S" vbProcedure="false">#REF!</definedName>
    <definedName function="false" hidden="true" name="_47__123Graph_BSEN_50_S" vbProcedure="false">#REF!</definedName>
    <definedName function="false" hidden="true" name="_47__123Graph_XSEN_6OZ" vbProcedure="false">#REF!</definedName>
    <definedName function="false" hidden="true" name="_48__123Graph_XSEN_S_1000_S" vbProcedure="false">#REF!</definedName>
    <definedName function="false" hidden="true" name="_49__123Graph_AXPREP_1" vbProcedure="false">#REF!</definedName>
    <definedName function="false" hidden="true" name="_49__123Graph_BSEN_6OZ" vbProcedure="false">#REF!</definedName>
    <definedName function="false" hidden="true" name="_49__123Graph_XSEN_S_60_S" vbProcedure="false">#REF!</definedName>
    <definedName function="false" hidden="true" name="_4__123Graph_ACHART_3" vbProcedure="false">#REF!</definedName>
    <definedName function="false" hidden="true" name="_4__123Graph_ACHART_4" vbProcedure="false">#REF!</definedName>
    <definedName function="false" hidden="true" name="_4__123Graph_ASEN_1000_S" vbProcedure="false">#REF!</definedName>
    <definedName function="false" hidden="true" name="_4__123Graph_ASEN_10_S" vbProcedure="false">#REF!</definedName>
    <definedName function="false" hidden="true" name="_4__123Graph_BCHART_3" vbProcedure="false">#REF!</definedName>
    <definedName function="false" hidden="true" name="_50__123Graph_XSEN_S_STRIP" vbProcedure="false">#REF!</definedName>
    <definedName function="false" hidden="true" name="_51__123Graph_ASEN_S_60_S" vbProcedure="false">#REF!</definedName>
    <definedName function="false" hidden="true" name="_51__123Graph_BSEN_S_1000_S" vbProcedure="false">#REF!</definedName>
    <definedName function="false" hidden="true" name="_51__123Graph_XSEN_S30_S" vbProcedure="false">#REF!</definedName>
    <definedName function="false" hidden="true" name="_52__123Graph_XSEN_STRIP" vbProcedure="false">#REF!</definedName>
    <definedName function="false" hidden="true" name="_53__123Graph_BSEN_S_60_S" vbProcedure="false">#REF!</definedName>
    <definedName function="false" hidden="true" name="_53__123Graph_XSEN_TAB_20_S" vbProcedure="false">#REF!</definedName>
    <definedName function="false" hidden="true" name="_54__123Graph_XSENSYR_2OZ" vbProcedure="false">#REF!</definedName>
    <definedName function="false" hidden="true" name="_55__123Graph_BSEN_S_STRIP" vbProcedure="false">#REF!</definedName>
    <definedName function="false" hidden="true" name="_55__123Graph_XSENX12_S" vbProcedure="false">#REF!</definedName>
    <definedName function="false" hidden="true" name="_56__123Graph_XSOL_1_2OZ" vbProcedure="false">#REF!</definedName>
    <definedName function="false" hidden="true" name="_57__123Graph_BSEN_S30_S" vbProcedure="false">#REF!</definedName>
    <definedName function="false" hidden="true" name="_57__123Graph_XSWAB_1_S" vbProcedure="false">#REF!</definedName>
    <definedName function="false" hidden="true" name="_58__123Graph_XSWAB3_S" vbProcedure="false">#REF!</definedName>
    <definedName function="false" hidden="true" name="_59__123Graph_ASEN_S_STRIP" vbProcedure="false">#REF!</definedName>
    <definedName function="false" hidden="true" name="_59__123Graph_BSEN_STRIP" vbProcedure="false">#REF!</definedName>
    <definedName function="false" hidden="true" name="_59__123Graph_XXPREP_1" vbProcedure="false">#REF!</definedName>
    <definedName function="false" hidden="true" name="_5__123Graph_ACHART_5" vbProcedure="false">#REF!</definedName>
    <definedName function="false" hidden="true" name="_5__123Graph_ASEN_12OZ" vbProcedure="false">#REF!</definedName>
    <definedName function="false" hidden="true" name="_60__123Graph_XXPREP_2" vbProcedure="false">#REF!</definedName>
    <definedName function="false" hidden="true" name="_61__123Graph_BSEN_TAB_20_S" vbProcedure="false">#REF!</definedName>
    <definedName function="false" hidden="true" name="_63__123Graph_BSENSYR_2OZ" vbProcedure="false">#REF!</definedName>
    <definedName function="false" hidden="true" name="_65__123Graph_BSENX12_S" vbProcedure="false">#REF!</definedName>
    <definedName function="false" hidden="true" name="_67__123Graph_ASEN_S30_S" vbProcedure="false">#REF!</definedName>
    <definedName function="false" hidden="true" name="_67__123Graph_BSOL_1_2OZ" vbProcedure="false">#REF!</definedName>
    <definedName function="false" hidden="true" name="_69__123Graph_BSWAB_1_S" vbProcedure="false">#REF!</definedName>
    <definedName function="false" hidden="true" name="_6__123Graph_ACHART_6" vbProcedure="false">#REF!</definedName>
    <definedName function="false" hidden="true" name="_6__123Graph_ASEN_1000_S" vbProcedure="false">#REF!</definedName>
    <definedName function="false" hidden="true" name="_6__123Graph_ASEN_100_S" vbProcedure="false">#REF!</definedName>
    <definedName function="false" hidden="true" name="_6__123Graph_ASEN_50_S" vbProcedure="false">#REF!</definedName>
    <definedName function="false" hidden="true" name="_6__123Graph_BCHART_3" vbProcedure="false">#REF!</definedName>
    <definedName function="false" hidden="true" name="_71__123Graph_BSEN_6OZ" vbProcedure="false">#REF!</definedName>
    <definedName function="false" hidden="true" name="_71__123Graph_BSWAB3_S" vbProcedure="false">#REF!</definedName>
    <definedName function="false" hidden="true" name="_73__123Graph_BXPREP_1" vbProcedure="false">#REF!</definedName>
    <definedName function="false" hidden="true" name="_75__123Graph_ASEN_STRIP" vbProcedure="false">#REF!</definedName>
    <definedName function="false" hidden="true" name="_75__123Graph_BXPREP_2" vbProcedure="false">#REF!</definedName>
    <definedName function="false" hidden="true" name="_77__123Graph_XSC16W_O" vbProcedure="false">#REF!</definedName>
    <definedName function="false" hidden="true" name="_79__123Graph_XSEN_1000_S" vbProcedure="false">#REF!</definedName>
    <definedName function="false" hidden="true" name="_7__123Graph_ASEN_10_S" vbProcedure="false">#REF!</definedName>
    <definedName function="false" hidden="true" name="_7__123Graph_ASEN_6OZ" vbProcedure="false">#REF!</definedName>
    <definedName function="false" hidden="true" name="_7__123Graph_BCHART_1" vbProcedure="false">#REF!</definedName>
    <definedName function="false" hidden="true" name="_7__123Graph_LBL_ACHART_3" vbProcedure="false">#REF!</definedName>
    <definedName function="false" hidden="true" name="_81__123Graph_XSEN_100_S" vbProcedure="false">#REF!</definedName>
    <definedName function="false" hidden="true" name="_83__123Graph_ASEN_TAB_20_S" vbProcedure="false">#REF!</definedName>
    <definedName function="false" hidden="true" name="_83__123Graph_XSEN_10_S" vbProcedure="false">#REF!</definedName>
    <definedName function="false" hidden="true" name="_85__123Graph_XSEN_12OZ" vbProcedure="false">#REF!</definedName>
    <definedName function="false" hidden="true" name="_87__123Graph_XSEN_50_S" vbProcedure="false">#REF!</definedName>
    <definedName function="false" hidden="true" name="_89__123Graph_XSEN_6OZ" vbProcedure="false">#REF!</definedName>
    <definedName function="false" hidden="true" name="_8__123Graph_ASC16W_O" vbProcedure="false">#REF!</definedName>
    <definedName function="false" hidden="true" name="_8__123Graph_ASEN_12OZ" vbProcedure="false">#REF!</definedName>
    <definedName function="false" hidden="true" name="_8__123Graph_ASEN_S_1000_S" vbProcedure="false">#REF!</definedName>
    <definedName function="false" hidden="true" name="_8__123Graph_BCHART_2" vbProcedure="false">#REF!</definedName>
    <definedName function="false" hidden="true" name="_8__123Graph_BCHART_3" vbProcedure="false">#REF!</definedName>
    <definedName function="false" hidden="true" name="_91__123Graph_ASENSYR_2OZ" vbProcedure="false">#REF!</definedName>
    <definedName function="false" hidden="true" name="_91__123Graph_XSEN_S_1000_S" vbProcedure="false">#REF!</definedName>
    <definedName function="false" hidden="true" name="_93__123Graph_XSEN_S_60_S" vbProcedure="false">#REF!</definedName>
    <definedName function="false" hidden="true" name="_95__123Graph_XSEN_S_STRIP" vbProcedure="false">#REF!</definedName>
    <definedName function="false" hidden="true" name="_97__123Graph_XSEN_S30_S" vbProcedure="false">#REF!</definedName>
    <definedName function="false" hidden="true" name="_99__123Graph_ASENX12_S" vbProcedure="false">#REF!</definedName>
    <definedName function="false" hidden="true" name="_99__123Graph_XSEN_STRIP" vbProcedure="false">#REF!</definedName>
    <definedName function="false" hidden="true" name="_9__123Graph_ASEN_100_S" vbProcedure="false">#REF!</definedName>
    <definedName function="false" hidden="true" name="_9__123Graph_ASEN_S_60_S" vbProcedure="false">#REF!</definedName>
    <definedName function="false" hidden="true" name="_9__123Graph_BCHART_3" vbProcedure="false">#REF!</definedName>
    <definedName function="false" hidden="true" name="_9__123Graph_LBL_ACHART_3" vbProcedure="false">#REF!</definedName>
    <definedName function="false" hidden="true" name="_a1" vbProcedure="false">{#N/A,#N/A,FALSE,"CMN_FE"}</definedName>
    <definedName function="false" hidden="true" name="_a2" vbProcedure="false">{"comp1",#N/A,FALSE,"COMPS";"footnotes",#N/A,FALSE,"COMPS"}</definedName>
    <definedName function="false" hidden="true" name="_a8" vbProcedure="false">{#N/A,#N/A,FALSE,"Partnership Splits";#N/A,#N/A,FALSE,"Condensed Financials-Endo";#N/A,#N/A,FALSE,"Condensed Financials-Partner";#N/A,#N/A,FALSE,"P&amp;L Detail";#N/A,#N/A,FALSE,"Payments";#N/A,#N/A,FALSE,"Selling &amp; Mktg Summary (3)"}</definedName>
    <definedName function="false" hidden="true" name="_aa2" vbProcedure="false">{#N/A,#N/A,TRUE,"Pro Forma";#N/A,#N/A,TRUE,"PF_Bal";#N/A,#N/A,TRUE,"PF_INC";#N/A,#N/A,TRUE,"CBE";#N/A,#N/A,TRUE,"SWK"}</definedName>
    <definedName function="false" hidden="true" name="_abc1" vbProcedure="false">{#N/A,#N/A,FALSE,"CMN_FE"}</definedName>
    <definedName function="false" hidden="true" name="_ahe2" vbProcedure="false">{0,0,0,0;0,0,0,0;0,0,0,0;0,0,0,0;0,0,0,0;0,#N/A,TRUE,0}</definedName>
    <definedName function="false" hidden="true" name="_All1" vbProcedure="false">{#N/A,#N/A,TRUE,"Cover";#N/A,#N/A,TRUE,"Macro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function="false" hidden="true" name="_as1" vbProcedure="false">{"comp1",#N/A,FALSE,"COMPS";"footnotes",#N/A,FALSE,"COMPS"}</definedName>
    <definedName function="false" hidden="true" name="_AtRisk_SimSetting_AutomaticallyGenerateReports" vbProcedure="false">FALSE()</definedName>
    <definedName function="false" hidden="true" name="_AtRisk_SimSetting_AutomaticResultsDisplayMode" vbProcedure="false">0</definedName>
    <definedName function="false" hidden="true" name="_AtRisk_SimSetting_ConvergenceConfidenceLevel" vbProcedure="false">0.95</definedName>
    <definedName function="false" hidden="true" name="_AtRisk_SimSetting_ConvergencePercentileToTest" vbProcedure="false">0.9</definedName>
    <definedName function="false" hidden="true" name="_AtRisk_SimSetting_ConvergencePerformMeanTest" vbProcedure="false">TRUE()</definedName>
    <definedName function="false" hidden="true" name="_AtRisk_SimSetting_ConvergencePerformPercentileTest" vbProcedure="false">FALSE()</definedName>
    <definedName function="false" hidden="true" name="_AtRisk_SimSetting_ConvergencePerformStdDeviationTest" vbProcedure="false">FALSE()</definedName>
    <definedName function="false" hidden="true" name="_AtRisk_SimSetting_ConvergenceTestAllOutputs" vbProcedure="false">TRUE()</definedName>
    <definedName function="false" hidden="true" name="_AtRisk_SimSetting_ConvergenceTestingPeriod" vbProcedure="false">100</definedName>
    <definedName function="false" hidden="true" name="_AtRisk_SimSetting_ConvergenceTolerance" vbProcedure="false">0.03</definedName>
    <definedName function="false" hidden="true" name="_AtRisk_SimSetting_LiveUpdate" vbProcedure="false">TRUE()</definedName>
    <definedName function="false" hidden="true" name="_AtRisk_SimSetting_LiveUpdatePeriod" vbProcedure="false">-1</definedName>
    <definedName function="false" hidden="true" name="_AtRisk_SimSetting_RandomNumberGenerator" vbProcedure="false">0</definedName>
    <definedName function="false" hidden="true" name="_AtRisk_SimSetting_ReportsList" vbProcedure="false">0</definedName>
    <definedName function="false" hidden="true" name="_AtRisk_SimSetting_SimNameCount" vbProcedure="false">0</definedName>
    <definedName function="false" hidden="true" name="_AtRisk_SimSetting_SmartSensitivityAnalysisEnabled" vbProcedure="false">FALSE()</definedName>
    <definedName function="false" hidden="true" name="_AtRisk_SimSetting_StatisticFunctionUpdating" vbProcedure="false">1</definedName>
    <definedName function="false" hidden="true" name="_AtRisk_SimSetting_StdRecalcBehavior" vbProcedure="false">0</definedName>
    <definedName function="false" hidden="true" name="_AtRisk_SimSetting_StdRecalcWithoutRiskStatic" vbProcedure="false">0</definedName>
    <definedName function="false" hidden="true" name="_AtRisk_SimSetting_StdRecalcWithoutRiskStaticPercentile" vbProcedure="false">0.5</definedName>
    <definedName function="false" hidden="true" name="_aws1" vbProcedure="false">{#N/A,#N/A,FALSE,"CMN_FE"}</definedName>
    <definedName function="false" hidden="true" name="_b1" vbProcedure="false">{#N/A,#N/A,FALSE,"CMN_FE"}</definedName>
    <definedName function="false" hidden="true" name="_bdm.0014d7a9ddde434b8ee85da08d765d5d.edm" vbProcedure="false">#REF!</definedName>
    <definedName function="false" hidden="true" name="_bdm.0023cc49a07145c8be2ab586442ec278.edm" vbProcedure="false">#REF!</definedName>
    <definedName function="false" hidden="true" name="_bdm.004a8472ef0d4e21af9f666530510b83.edm" vbProcedure="false">#REF!</definedName>
    <definedName function="false" hidden="true" name="_bdm.005cf2ec07284d7c8fdd20dc414aec4d.edm" vbProcedure="false">#REF!</definedName>
    <definedName function="false" hidden="true" name="_bdm.007CB95E30934518A6EA3FF974B176CF.edm" vbProcedure="false">#REF!</definedName>
    <definedName function="false" hidden="true" name="_bdm.008fcbec346a4d319282b1f6921af6fc.edm" vbProcedure="false">#REF!</definedName>
    <definedName function="false" hidden="true" name="_bdm.00951dd2e6684a25a647bc176a8d1aa8.edm" vbProcedure="false">#REF!</definedName>
    <definedName function="false" hidden="true" name="_bdm.00f681f2f2cb4fb1a59a291ad2615867.edm" vbProcedure="false">#REF!</definedName>
    <definedName function="false" hidden="true" name="_bdm.010a2802d6a74aa58beff3ac7d2834da.edm" vbProcedure="false">#REF!</definedName>
    <definedName function="false" hidden="true" name="_bdm.010ae79bceee42a2a0be2b1bbe8fe441.edm" vbProcedure="false">#REF!</definedName>
    <definedName function="false" hidden="true" name="_bdm.010d6d3e53bb4886a1aa94ca142597ae.edm" vbProcedure="false">#REF!</definedName>
    <definedName function="false" hidden="true" name="_bdm.0111e3d9d81b4234a9912fea7fd15016.edm" vbProcedure="false">#REF!</definedName>
    <definedName function="false" hidden="true" name="_bdm.012d9db87a224f5dbb68905100ccac48.edm" vbProcedure="false">#REF!</definedName>
    <definedName function="false" hidden="true" name="_bdm.0178ad10c4a34b36b2aa1718a7b9967d.edm" vbProcedure="false">#REF!</definedName>
    <definedName function="false" hidden="true" name="_bdm.01b5642604db413da96addb9ac631404.edm" vbProcedure="false">#REF!</definedName>
    <definedName function="false" hidden="true" name="_bdm.01c8e2110ca94922b1b3498027d6d53c.edm" vbProcedure="false">#REF!</definedName>
    <definedName function="false" hidden="true" name="_bdm.01d9acc84b294c23bb33704dabd2aa29.edm" vbProcedure="false">#REF!</definedName>
    <definedName function="false" hidden="true" name="_bdm.021b43bf867442048f7d12431e738b06.edm" vbProcedure="false">#REF!</definedName>
    <definedName function="false" hidden="true" name="_bdm.021fac37f1a945dc8e2fcbd5a76dfc7d.edm" vbProcedure="false">#REF!</definedName>
    <definedName function="false" hidden="true" name="_bdm.022ff5e9c55740d08bec2a45dd73190b.edm" vbProcedure="false">#REF!</definedName>
    <definedName function="false" hidden="true" name="_bdm.024e6819b112480fbd53eb8bd8bd474e.edm" vbProcedure="false">#REF!</definedName>
    <definedName function="false" hidden="true" name="_bdm.029d45557ee74d8bac7ccb5d9f90058a.edm" vbProcedure="false">#REF!</definedName>
    <definedName function="false" hidden="true" name="_bdm.02c39f8cc3c446f59a31e776988c8edc.edm" vbProcedure="false">#REF!</definedName>
    <definedName function="false" hidden="true" name="_bdm.02ca8effd28447489a6f1e6e33310dd4.edm" vbProcedure="false">#REF!</definedName>
    <definedName function="false" hidden="true" name="_bdm.0323C92FDB33422E9144D8C800176C5D.edm" vbProcedure="false">#REF!</definedName>
    <definedName function="false" hidden="true" name="_bdm.033e8b5caf81483d894ce9cb18bb5465.edm" vbProcedure="false">#REF!</definedName>
    <definedName function="false" hidden="true" name="_bdm.03a5ac2ad1214e19a377a372d93a0723.edm" vbProcedure="false">#REF!</definedName>
    <definedName function="false" hidden="true" name="_bdm.03AD07E41DE74A4EB65506902E1277CD.edm" vbProcedure="false">#REF!</definedName>
    <definedName function="false" hidden="true" name="_bdm.03b2193ae98b413f803bc129b3cb88b4.edm" vbProcedure="false">#REF!</definedName>
    <definedName function="false" hidden="true" name="_bdm.03b3327d9d2f46a19aaf9b8172893598.edm" vbProcedure="false">#REF!</definedName>
    <definedName function="false" hidden="true" name="_bdm.03c9075a0bb14507bbb9dc1fdc2609d0.edm" vbProcedure="false">#REF!</definedName>
    <definedName function="false" hidden="true" name="_bdm.03f20d0cb3804e7da7cdf6c2bcb14b2b.edm" vbProcedure="false">#REF!</definedName>
    <definedName function="false" hidden="true" name="_bdm.040055cd63624ec09dc41b92f863ccfc.edm" vbProcedure="false">#REF!</definedName>
    <definedName function="false" hidden="true" name="_bdm.0400f6e03e0148d981b0e0bf94e02835.edm" vbProcedure="false">#REF!</definedName>
    <definedName function="false" hidden="true" name="_bdm.04176fefb08b43938065950fe49c22e8.edm" vbProcedure="false">#REF!</definedName>
    <definedName function="false" hidden="true" name="_bdm.04272F404C6047BD9BE88A7A778490E9.edm" vbProcedure="false">#REF!</definedName>
    <definedName function="false" hidden="true" name="_bdm.042a0f1a17c743af81a25fda6bba5673.edm" vbProcedure="false">#REF!</definedName>
    <definedName function="false" hidden="true" name="_bdm.0433e026e8104cad95ba2a6875ca8269.edm" vbProcedure="false">#REF!</definedName>
    <definedName function="false" hidden="true" name="_bdm.04486237CE5F4CD782F1C100FCB326B2.edm" vbProcedure="false">#REF!</definedName>
    <definedName function="false" hidden="true" name="_bdm.04665a8e042c498e9a046fa8d51ab84e.edm" vbProcedure="false">#REF!</definedName>
    <definedName function="false" hidden="true" name="_bdm.04914d11acbc4842ae6d1859b7f9bef5.edm" vbProcedure="false">#REF!</definedName>
    <definedName function="false" hidden="true" name="_bdm.04af800f6c0c4104b695e92eaa01ffa2.edm" vbProcedure="false">#REF!</definedName>
    <definedName function="false" hidden="true" name="_bdm.04b992e6ae7249bebac0db7ed6293bef.edm" vbProcedure="false">#REF!</definedName>
    <definedName function="false" hidden="true" name="_bdm.04bd037fe2db429d9e91e99036559eda.edm" vbProcedure="false">#REF!</definedName>
    <definedName function="false" hidden="true" name="_bdm.04c039e7af5946f6a590d3f9381a4a88.edm" vbProcedure="false">#REF!</definedName>
    <definedName function="false" hidden="true" name="_bdm.04daec0553df4c36ad262bd7e64b88db.edm" vbProcedure="false">#REF!</definedName>
    <definedName function="false" hidden="true" name="_bdm.04E1A09451324E4E95B5866C17CB2B13.edm" vbProcedure="false">#REF!</definedName>
    <definedName function="false" hidden="true" name="_bdm.04ebc654806649e3a202b496a93bd83d.edm" vbProcedure="false">#REF!</definedName>
    <definedName function="false" hidden="true" name="_bdm.0525c53d6802453383c86d69381d3772.edm" vbProcedure="false">#REF!</definedName>
    <definedName function="false" hidden="true" name="_bdm.056043ea675040e7b6d4ceeab75de990.edm" vbProcedure="false">#REF!</definedName>
    <definedName function="false" hidden="true" name="_bdm.0569607852ff4b599af069ac411d5b75.edm" vbProcedure="false">#REF!</definedName>
    <definedName function="false" hidden="true" name="_bdm.059659875d9144e1a8f37dafa0f5c1cd.edm" vbProcedure="false">#REF!</definedName>
    <definedName function="false" hidden="true" name="_bdm.05dab6176a874ad5872e2d4e57973deb.edm" vbProcedure="false">#REF!</definedName>
    <definedName function="false" hidden="true" name="_bdm.05fc1861c0c14060bd32bb93657a8e92.edm" vbProcedure="false">#REF!</definedName>
    <definedName function="false" hidden="true" name="_bdm.06179920e704409a80ad5f83cb594ecc.edm" vbProcedure="false">#REF!</definedName>
    <definedName function="false" hidden="true" name="_bdm.061a400aaf7e4ef29d3e9cf63f45d902.edm" vbProcedure="false">#REF!</definedName>
    <definedName function="false" hidden="true" name="_bdm.06247da253fd47dcbf4254b7b7f1fa36.edm" vbProcedure="false">#REF!</definedName>
    <definedName function="false" hidden="true" name="_bdm.063907f1d7df4d8898dab1ec5a79b108.edm" vbProcedure="false">#REF!</definedName>
    <definedName function="false" hidden="true" name="_bdm.0649f60e69804322becfdef85ff30cfb.edm" vbProcedure="false">#REF!</definedName>
    <definedName function="false" hidden="true" name="_bdm.0660ed16a81045eb98f70e84888bffb8.edm" vbProcedure="false">#REF!</definedName>
    <definedName function="false" hidden="true" name="_bdm.0669a45b8f744a8e91b6e374529a6e15.edm" vbProcedure="false">#REF!</definedName>
    <definedName function="false" hidden="true" name="_bdm.06a83bf544f349879f957ca8b40b0169.edm" vbProcedure="false">#REF!</definedName>
    <definedName function="false" hidden="true" name="_bdm.06c049ddbe3045468afe70afeb256cac.edm" vbProcedure="false">#REF!</definedName>
    <definedName function="false" hidden="true" name="_bdm.06cf927a215848aba9527f0532825b6b.edm" vbProcedure="false">#REF!</definedName>
    <definedName function="false" hidden="true" name="_bdm.06f0cbba74654d418766e004332adcc0.edm" vbProcedure="false">#REF!</definedName>
    <definedName function="false" hidden="true" name="_bdm.06fcf473d5684a6fa7acc438b76907f8.edm" vbProcedure="false">#REF!</definedName>
    <definedName function="false" hidden="true" name="_bdm.070418e035324f1fb958fe2a67dde43f.edm" vbProcedure="false">#REF!</definedName>
    <definedName function="false" hidden="true" name="_bdm.073316e352404cf58929ec60a92cd345.edm" vbProcedure="false">#REF!</definedName>
    <definedName function="false" hidden="true" name="_bdm.0735c58474554b0ead309713e8f45ce7.edm" vbProcedure="false">#REF!</definedName>
    <definedName function="false" hidden="true" name="_bdm.07559b55f66b4e0eb3b5b19f6a101feb.edm" vbProcedure="false">#REF!</definedName>
    <definedName function="false" hidden="true" name="_bdm.0778f3c6541b476c904ba049ecbc80f0.edm" vbProcedure="false">#REF!</definedName>
    <definedName function="false" hidden="true" name="_bdm.07874441c91a4f58950913cc8799bf26.edm" vbProcedure="false">#REF!</definedName>
    <definedName function="false" hidden="true" name="_bdm.082045f419a149c8ae412897cba5a191.edm" vbProcedure="false">#REF!</definedName>
    <definedName function="false" hidden="true" name="_bdm.0834beced6ac48d6b7c686a7bb8c33c0.edm" vbProcedure="false">#REF!</definedName>
    <definedName function="false" hidden="true" name="_bdm.086604247c5e498d81adb7d8ac3a3814.edm" vbProcedure="false">#REF!</definedName>
    <definedName function="false" hidden="true" name="_bdm.087333cbf5a24f2688cda87370f136d5.edm" vbProcedure="false">#REF!</definedName>
    <definedName function="false" hidden="true" name="_bdm.08c187f368df4420b7ad5b0d08a853a5.edm" vbProcedure="false">#REF!</definedName>
    <definedName function="false" hidden="true" name="_bdm.090ca7dd4e64413fbddbd859d09a116b.edm" vbProcedure="false">#REF!</definedName>
    <definedName function="false" hidden="true" name="_bdm.090e43cc6d724f99b2ab3832476dc9b0.edm" vbProcedure="false">#REF!</definedName>
    <definedName function="false" hidden="true" name="_bdm.09128bd5f7704be1b38d50ced4742033.edm" vbProcedure="false">#REF!</definedName>
    <definedName function="false" hidden="true" name="_bdm.09769a58f0e14395a50813b86a4bbc41.edm" vbProcedure="false">#REF!</definedName>
    <definedName function="false" hidden="true" name="_bdm.0997f3ccdb6940c49c3020fb8862ac24.edm" vbProcedure="false">#REF!</definedName>
    <definedName function="false" hidden="true" name="_bdm.099b38c24aa146b9a014c3c81d635468.edm" vbProcedure="false">#REF!</definedName>
    <definedName function="false" hidden="true" name="_bdm.09bd87c1985440ee87219b1ce6b9c799.edm" vbProcedure="false">#REF!</definedName>
    <definedName function="false" hidden="true" name="_bdm.09ca2ffea71e4adcae7b2de95b38f499.edm" vbProcedure="false">#REF!</definedName>
    <definedName function="false" hidden="true" name="_bdm.09ee1054bd3f4436877ccf40f155479f.edm" vbProcedure="false">#REF!</definedName>
    <definedName function="false" hidden="true" name="_bdm.0a0b0c070a71447cb84a9bb71407e645.edm" vbProcedure="false">#REF!</definedName>
    <definedName function="false" hidden="true" name="_bdm.0a360844ceaf4b04b6e7404a5d088ab4.edm" vbProcedure="false">#REF!</definedName>
    <definedName function="false" hidden="true" name="_bdm.0a40c13cdd654715837f8c0956a4a106.edm" vbProcedure="false">#REF!</definedName>
    <definedName function="false" hidden="true" name="_bdm.0a49e2104e38479a934871af204a4261.edm" vbProcedure="false">#REF!</definedName>
    <definedName function="false" hidden="true" name="_bdm.0a57e52f8bee4852a0d0f25e4a6e2681.edm" vbProcedure="false">#REF!</definedName>
    <definedName function="false" hidden="true" name="_bdm.0ab8003808c7479b9db86e15a2d53009.edm" vbProcedure="false">#REF!</definedName>
    <definedName function="false" hidden="true" name="_bdm.0abe86c3e4b74660b34d190ba525ec8b.edm" vbProcedure="false">#REF!</definedName>
    <definedName function="false" hidden="true" name="_bdm.0ade8479e2e840279c2c3683c4f01ac6.edm" vbProcedure="false">#REF!</definedName>
    <definedName function="false" hidden="true" name="_bdm.0b4e1268e5e44ab8a277593ffd0a44b4.edm" vbProcedure="false">#REF!</definedName>
    <definedName function="false" hidden="true" name="_bdm.0b5461e9d1d040e38430b9bed494d918.edm" vbProcedure="false">#REF!</definedName>
    <definedName function="false" hidden="true" name="_bdm.0bc14eadac41435ba61c16350ec530ae.edm" vbProcedure="false">#REF!</definedName>
    <definedName function="false" hidden="true" name="_bdm.0be2e2ead28b484aaac0195af0498f0f.edm" vbProcedure="false">#REF!</definedName>
    <definedName function="false" hidden="true" name="_bdm.0c0831a6a987445d97ccc9a14b2858c8.edm" vbProcedure="false">#REF!</definedName>
    <definedName function="false" hidden="true" name="_bdm.0c10f2d7a0ac44cdb73764c2786da04d.edm" vbProcedure="false">#REF!</definedName>
    <definedName function="false" hidden="true" name="_bdm.0c24164a6bf74c1d802f14850450ce0f.edm" vbProcedure="false">#REF!</definedName>
    <definedName function="false" hidden="true" name="_bdm.0c2921c7c8754c2ebce2826e0bfff453.edm" vbProcedure="false">#REF!</definedName>
    <definedName function="false" hidden="true" name="_bdm.0c3f14e2268f4302b15550b1fe78317b.edm" vbProcedure="false">#REF!</definedName>
    <definedName function="false" hidden="true" name="_bdm.0c86f281801c45d88aec9ae7aa3a4c54.edm" vbProcedure="false">#REF!</definedName>
    <definedName function="false" hidden="true" name="_bdm.0c87b703d9964990ba2b290bfa4f8912.edm" vbProcedure="false">#REF!</definedName>
    <definedName function="false" hidden="true" name="_bdm.0cc532fd340248ac93581b5f48c640a9.edm" vbProcedure="false">#REF!</definedName>
    <definedName function="false" hidden="true" name="_bdm.0d0dbd2be85949f7935d784959400581.edm" vbProcedure="false">#REF!</definedName>
    <definedName function="false" hidden="true" name="_bdm.0d10d80ce45c4becbcdf0ec1cf8d0047.edm" vbProcedure="false">#REF!</definedName>
    <definedName function="false" hidden="true" name="_bdm.0d1d4ee7fecb46ea8f09b7eeabf5d05e.edm" vbProcedure="false">#REF!</definedName>
    <definedName function="false" hidden="true" name="_bdm.0d480bef1e684837ae9e4e2fa4f9ead1.edm" vbProcedure="false">#REF!</definedName>
    <definedName function="false" hidden="true" name="_bdm.0d75e115ec594614ae3bec5c0efe27f7.edm" vbProcedure="false">#REF!</definedName>
    <definedName function="false" hidden="true" name="_bdm.0da0bde3ed594b8cb220eb9f91e45caa.edm" vbProcedure="false">#REF!</definedName>
    <definedName function="false" hidden="true" name="_bdm.0e075d1088744597a27f5b8b26c6a3c5.edm" vbProcedure="false">#REF!</definedName>
    <definedName function="false" hidden="true" name="_bdm.0e4a9c009244437d9571a278d92de1d6.edm" vbProcedure="false">#REF!</definedName>
    <definedName function="false" hidden="true" name="_bdm.0E5C3098FE7E45CAB59EA3D9FC55281D.edm" vbProcedure="false">#REF!</definedName>
    <definedName function="false" hidden="true" name="_bdm.0ebdba59ea7d4aad8eea891fa5471c86.edm" vbProcedure="false">#REF!</definedName>
    <definedName function="false" hidden="true" name="_bdm.0eec8c987abe40f3b40e0e0d104cd30a.edm" vbProcedure="false">#REF!</definedName>
    <definedName function="false" hidden="true" name="_bdm.0ef4705e0acd486e98bf094ce28c634b.edm" vbProcedure="false">#REF!</definedName>
    <definedName function="false" hidden="true" name="_bdm.0ef5288d8a2f4909b3cb30d13e75cd9e.edm" vbProcedure="false">#REF!</definedName>
    <definedName function="false" hidden="true" name="_bdm.0f25492bafd5452793d9b068cb4808f5.edm" vbProcedure="false">#REF!</definedName>
    <definedName function="false" hidden="true" name="_bdm.0f2673b4ae204b9da78c0b3f61ccc870.edm" vbProcedure="false">#REF!</definedName>
    <definedName function="false" hidden="true" name="_bdm.0f8d65a4412443c1a130d892deef9fcd.edm" vbProcedure="false">#REF!</definedName>
    <definedName function="false" hidden="true" name="_bdm.0f9b7de8fa38471b89f25db3f8e572f6.edm" vbProcedure="false">#REF!</definedName>
    <definedName function="false" hidden="true" name="_bdm.0fd0e4e02dcd4b59a9070bc99b0c8ee3.edm" vbProcedure="false">#REF!</definedName>
    <definedName function="false" hidden="true" name="_bdm.1006119965c94175be18d3b3d72dd1c0.edm" vbProcedure="false">#REF!</definedName>
    <definedName function="false" hidden="true" name="_bdm.103e80b5c9284648a9a1016080e8a3e8.edm" vbProcedure="false">#REF!</definedName>
    <definedName function="false" hidden="true" name="_bdm.105b092c5c2841c7b144624f79da6dcf.edm" vbProcedure="false">#REF!</definedName>
    <definedName function="false" hidden="true" name="_bdm.10811e7d42114eb589b6876d6295b128.edm" vbProcedure="false">#REF!</definedName>
    <definedName function="false" hidden="true" name="_bdm.10adb21c5c254373b67c99135f9106f9.edm" vbProcedure="false">#REF!</definedName>
    <definedName function="false" hidden="true" name="_bdm.10cedc4c05ee42de86862600dd1ad244.edm" vbProcedure="false">#REF!</definedName>
    <definedName function="false" hidden="true" name="_bdm.111aa3dcc4464b159d9f38daac7ad5dd.edm" vbProcedure="false">#REF!</definedName>
    <definedName function="false" hidden="true" name="_bdm.11276a93ff914e09974c451ea6965e12.edm" vbProcedure="false">#REF!</definedName>
    <definedName function="false" hidden="true" name="_bdm.112d0189df5b49f7a3672e41b3c1a840.edm" vbProcedure="false">#REF!</definedName>
    <definedName function="false" hidden="true" name="_bdm.113768c4c71440f6afab661859cd135f.edm" vbProcedure="false">#REF!</definedName>
    <definedName function="false" hidden="true" name="_bdm.114e1ad526354cc99d3fdded1e95f034.edm" vbProcedure="false">#REF!</definedName>
    <definedName function="false" hidden="true" name="_bdm.114f10594ecc441d8d83585ca1a64aec.edm" vbProcedure="false">#REF!</definedName>
    <definedName function="false" hidden="true" name="_bdm.117f1e55fa3c465db9770735f8a72dad.edm" vbProcedure="false">#REF!</definedName>
    <definedName function="false" hidden="true" name="_bdm.11a2c00636ac4cad9cf797d2b74c468b.edm" vbProcedure="false">#REF!</definedName>
    <definedName function="false" hidden="true" name="_bdm.11b8f72164ae4d128742525700008ab3.edm" vbProcedure="false">#REF!</definedName>
    <definedName function="false" hidden="true" name="_bdm.11c48c6a8282439fa48e29f12ae84fbe.edm" vbProcedure="false">#REF!</definedName>
    <definedName function="false" hidden="true" name="_bdm.11c70efe4cda40a897c19f2c8bef776c.edm" vbProcedure="false">#REF!</definedName>
    <definedName function="false" hidden="true" name="_bdm.11d4f244e4224f1b9eb4bf293e6c4afe.edm" vbProcedure="false">#REF!</definedName>
    <definedName function="false" hidden="true" name="_bdm.11e215e5cfc74474a69305098d89c16c.edm" vbProcedure="false">#REF!</definedName>
    <definedName function="false" hidden="true" name="_bdm.11e232cfcc504de6b47cedf9da3a8f64.edm" vbProcedure="false">#REF!</definedName>
    <definedName function="false" hidden="true" name="_bdm.11e56e4ae06b4522985eeb0ff9c6ff52.edm" vbProcedure="false">#REF!</definedName>
    <definedName function="false" hidden="true" name="_bdm.11edde00b6a34ced98a0f82d3cf7a073.edm" vbProcedure="false">#REF!</definedName>
    <definedName function="false" hidden="true" name="_bdm.11efb6a521d84320828ad796bc5882a3.edm" vbProcedure="false">#REF!</definedName>
    <definedName function="false" hidden="true" name="_bdm.120cb4c89aa74fc68a86e400e17bea25.edm" vbProcedure="false">#REF!</definedName>
    <definedName function="false" hidden="true" name="_bdm.129528d74651458080131ab6b54c0524.edm" vbProcedure="false">#REF!</definedName>
    <definedName function="false" hidden="true" name="_bdm.12a3559d88c3479e8cc8dc2c8a67e5fa.edm" vbProcedure="false">#REF!</definedName>
    <definedName function="false" hidden="true" name="_bdm.12bb918027934205acf3345c6e5ed7c8.edm" vbProcedure="false">#REF!</definedName>
    <definedName function="false" hidden="true" name="_bdm.12D5D89A18954809BB42E6A5E8A9E207.edm" vbProcedure="false">#REF!</definedName>
    <definedName function="false" hidden="true" name="_bdm.12ee255766af4c3caf99610fccd4d586.edm" vbProcedure="false">#REF!</definedName>
    <definedName function="false" hidden="true" name="_bdm.12f1dca68b2146dd985f66bb81838506.edm" vbProcedure="false">#REF!</definedName>
    <definedName function="false" hidden="true" name="_bdm.12faa95c18944beda2eb5f3053809382.edm" vbProcedure="false">#REF!</definedName>
    <definedName function="false" hidden="true" name="_bdm.133b5ca13da74a55b90483c8217c79ee.edm" vbProcedure="false">#REF!</definedName>
    <definedName function="false" hidden="true" name="_bdm.13854165c19340f4b7475e36832d9742.edm" vbProcedure="false">#REF!</definedName>
    <definedName function="false" hidden="true" name="_bdm.13b462f9806843a88d8d9dc88215f31b.edm" vbProcedure="false">#REF!</definedName>
    <definedName function="false" hidden="true" name="_bdm.1453891E74C7489382F691B8E85EAE28.edm" vbProcedure="false">#REF!</definedName>
    <definedName function="false" hidden="true" name="_bdm.1462a1c848d3448c82e937b40e3cd226.edm" vbProcedure="false">#REF!</definedName>
    <definedName function="false" hidden="true" name="_bdm.1462eef38e254f6f90eb2d74dc80ad3f.edm" vbProcedure="false">#REF!</definedName>
    <definedName function="false" hidden="true" name="_bdm.14644c261aa74e73b26bfd486a941d26.edm" vbProcedure="false">#REF!</definedName>
    <definedName function="false" hidden="true" name="_bdm.14747e74158c4f5eaffd1afd226f55ad.edm" vbProcedure="false">#REF!</definedName>
    <definedName function="false" hidden="true" name="_bdm.14902cfd8bdf4770aff91fbf7d9fb4ab.edm" vbProcedure="false">#REF!</definedName>
    <definedName function="false" hidden="true" name="_bdm.14ae21984cfc4b98ae1ddf80b9283420.edm" vbProcedure="false">#REF!</definedName>
    <definedName function="false" hidden="true" name="_bdm.14d74b55aeda4445b3b082f7324717bc.edm" vbProcedure="false">#REF!</definedName>
    <definedName function="false" hidden="true" name="_bdm.14E10362EFE54AA191DFE3EFF2698D81.edm" vbProcedure="false">#REF!</definedName>
    <definedName function="false" hidden="true" name="_bdm.14eadcb5a83f49abbe8ce3b574e408de.edm" vbProcedure="false">#REF!</definedName>
    <definedName function="false" hidden="true" name="_bdm.14f2ecbda8b643e184d5989febf4ef9f.edm" vbProcedure="false">#REF!</definedName>
    <definedName function="false" hidden="true" name="_bdm.14fda12157a349f0abe35449bfff9d70.edm" vbProcedure="false">#REF!</definedName>
    <definedName function="false" hidden="true" name="_bdm.15491aff99c842939c1d72a9427d34af.edm" vbProcedure="false">#REF!</definedName>
    <definedName function="false" hidden="true" name="_bdm.155906e432fd4085a2a3d98b0307e9be.edm" vbProcedure="false">#REF!</definedName>
    <definedName function="false" hidden="true" name="_bdm.15621fa70f734826ab8375795c681715.edm" vbProcedure="false">#REF!</definedName>
    <definedName function="false" hidden="true" name="_bdm.15d0559ae72c4a69a6e97f84fa75eab7.edm" vbProcedure="false">#REF!</definedName>
    <definedName function="false" hidden="true" name="_bdm.164c297fc4f74515a6d9481e4501a875.edm" vbProcedure="false">#REF!</definedName>
    <definedName function="false" hidden="true" name="_bdm.1657e91f39aa428b966996a062757c3d.edm" vbProcedure="false">#REF!</definedName>
    <definedName function="false" hidden="true" name="_bdm.1658337600284733be93f6e8d54ca420.edm" vbProcedure="false">#REF!</definedName>
    <definedName function="false" hidden="true" name="_bdm.165919780d2741e98cddebd46748e4de.edm" vbProcedure="false">#REF!</definedName>
    <definedName function="false" hidden="true" name="_bdm.165b08a56dd441b5a65ed39e57534015.edm" vbProcedure="false">#REF!</definedName>
    <definedName function="false" hidden="true" name="_bdm.166a0bfa6c0545a390db1fddfbd7afaf.edm" vbProcedure="false">#REF!</definedName>
    <definedName function="false" hidden="true" name="_bdm.16829c8035e2415192130d0ba801c377.edm" vbProcedure="false">#REF!</definedName>
    <definedName function="false" hidden="true" name="_bdm.1690a76a08eb4ff89b9c279e644b7825.edm" vbProcedure="false">#REF!</definedName>
    <definedName function="false" hidden="true" name="_bdm.1698439872b2421b85a55e1dfdbcb825.edm" vbProcedure="false">#REF!</definedName>
    <definedName function="false" hidden="true" name="_bdm.169c07f619994db7848813be689c2bf6.edm" vbProcedure="false">#REF!</definedName>
    <definedName function="false" hidden="true" name="_bdm.16c10470e43849a1be49ad3ee2a9c40b.edm" vbProcedure="false">#REF!</definedName>
    <definedName function="false" hidden="true" name="_bdm.16c27f6a245140e284aedbd2fab4ed5d.edm" vbProcedure="false">#REF!</definedName>
    <definedName function="false" hidden="true" name="_bdm.16d276ea3eaa4b9697e7f32ac6e75bda.edm" vbProcedure="false">#REF!</definedName>
    <definedName function="false" hidden="true" name="_bdm.16e736ddc88f475892a45407ea10ffc8.edm" vbProcedure="false">#REF!</definedName>
    <definedName function="false" hidden="true" name="_bdm.16eec970df9c47d6913c3af42bcdd9f4.edm" vbProcedure="false">#REF!</definedName>
    <definedName function="false" hidden="true" name="_bdm.1710b44822be4a6183a9882a8dab397e.edm" vbProcedure="false">#REF!</definedName>
    <definedName function="false" hidden="true" name="_bdm.1724da945d8e4bc0814f4801436b823a.edm" vbProcedure="false">#REF!</definedName>
    <definedName function="false" hidden="true" name="_bdm.173498ea119e4d418b0cf6effad75a6b.edm" vbProcedure="false">#REF!</definedName>
    <definedName function="false" hidden="true" name="_bdm.173e3c8d00a74cc5b08eb2d5b9129b52.edm" vbProcedure="false">#REF!</definedName>
    <definedName function="false" hidden="true" name="_bdm.176cec67afdc437b9ebb58ceee041f40.edm" vbProcedure="false">#REF!</definedName>
    <definedName function="false" hidden="true" name="_bdm.17c9edbb41e84892a3b4740ba41657db.edm" vbProcedure="false">#REF!</definedName>
    <definedName function="false" hidden="true" name="_bdm.17cbd3410c7144668c6b253b0e5b9718.edm" vbProcedure="false">#REF!</definedName>
    <definedName function="false" hidden="true" name="_bdm.17e54efce9c4436e915040513c9b5749.edm" vbProcedure="false">#REF!</definedName>
    <definedName function="false" hidden="true" name="_bdm.1874a262a24840049987a2e4d9202b2a.edm" vbProcedure="false">#REF!</definedName>
    <definedName function="false" hidden="true" name="_bdm.1875efe655674ddca774190afb6ecae5.edm" vbProcedure="false">#REF!</definedName>
    <definedName function="false" hidden="true" name="_bdm.18a0e265b546498e91759e8ec27376f0.edm" vbProcedure="false">#REF!</definedName>
    <definedName function="false" hidden="true" name="_bdm.18ad727a3d2e4d6c94eff459e89a5031.edm" vbProcedure="false">#REF!</definedName>
    <definedName function="false" hidden="true" name="_bdm.18b36ba9dd234409a06039f2fb0d9a2f.edm" vbProcedure="false">#REF!</definedName>
    <definedName function="false" hidden="true" name="_bdm.198cbea3d5b74f05ab81f7ba85fad9ef.edm" vbProcedure="false">#REF!</definedName>
    <definedName function="false" hidden="true" name="_bdm.19b1353f8c074768920b9f9d57710548.edm" vbProcedure="false">#REF!</definedName>
    <definedName function="false" hidden="true" name="_bdm.19dbd5c55c3c4d2fa6b84b12ad6afc22.edm" vbProcedure="false">#REF!</definedName>
    <definedName function="false" hidden="true" name="_bdm.19e2ab1da3804e32998026182483c0bf.edm" vbProcedure="false">#REF!</definedName>
    <definedName function="false" hidden="true" name="_bdm.19e51b2a6eec490eb14b3dcd88db649b.edm" vbProcedure="false">#REF!</definedName>
    <definedName function="false" hidden="true" name="_bdm.1a0674fd28644d04ade3a12efcd25168.edm" vbProcedure="false">#REF!</definedName>
    <definedName function="false" hidden="true" name="_bdm.1A16454D66BC40E2B2E34F231AF2D299.edm" vbProcedure="false">#REF!</definedName>
    <definedName function="false" hidden="true" name="_bdm.1a594c5de13946a383d6bb438264aaae.edm" vbProcedure="false">#REF!</definedName>
    <definedName function="false" hidden="true" name="_bdm.1a8819cb31184a0abc115b9d60a25cea.edm" vbProcedure="false">#REF!</definedName>
    <definedName function="false" hidden="true" name="_bdm.1aa47065bae24322b20d96206067dbe8.edm" vbProcedure="false">#REF!</definedName>
    <definedName function="false" hidden="true" name="_bdm.1abf81476119403c977d259283636636.edm" vbProcedure="false">#REF!</definedName>
    <definedName function="false" hidden="true" name="_bdm.1ac06bb9a6b84ab6be76f598a3e36b24.edm" vbProcedure="false">#REF!</definedName>
    <definedName function="false" hidden="true" name="_bdm.1adaa458b5b74a48b679d9e6e8024224.edm" vbProcedure="false">#REF!</definedName>
    <definedName function="false" hidden="true" name="_bdm.1b167b08ea7e4aaa877f7ed4499bb1a9.edm" vbProcedure="false">#REF!</definedName>
    <definedName function="false" hidden="true" name="_bdm.1b86a02dfdd746bb9a81eff15aa5ffd6.edm" vbProcedure="false">#REF!</definedName>
    <definedName function="false" hidden="true" name="_bdm.1bc7a57541cf423488bcd90eb5701184.edm" vbProcedure="false">#REF!</definedName>
    <definedName function="false" hidden="true" name="_bdm.1bf444cdd2274ff89e47b8e8fceeee27.edm" vbProcedure="false">#REF!</definedName>
    <definedName function="false" hidden="true" name="_bdm.1c36d076efba4f6d8a78aa6de1239059.edm" vbProcedure="false">#REF!</definedName>
    <definedName function="false" hidden="true" name="_bdm.1c4b52fd65144266a68a9e0cd71a5edb.edm" vbProcedure="false">#REF!</definedName>
    <definedName function="false" hidden="true" name="_bdm.1c6d46dd55104338b2eb32f8b9e11e83.edm" vbProcedure="false">#REF!</definedName>
    <definedName function="false" hidden="true" name="_bdm.1c769ef63ae141738f3174c8e60b6581.edm" vbProcedure="false">#REF!</definedName>
    <definedName function="false" hidden="true" name="_bdm.1ca4f0c141ce4549961fbb61e7520914.edm" vbProcedure="false">#REF!</definedName>
    <definedName function="false" hidden="true" name="_bdm.1cb6acccfca645f8ace11d43bd110b0a.edm" vbProcedure="false">#REF!</definedName>
    <definedName function="false" hidden="true" name="_bdm.1ccac6faa54448f9a1c3970c83e5fb5d.edm" vbProcedure="false">#REF!</definedName>
    <definedName function="false" hidden="true" name="_bdm.1ccf869e2c154b32aade7e23ad9f2c6c.edm" vbProcedure="false">#REF!</definedName>
    <definedName function="false" hidden="true" name="_bdm.1cd32523026a48649d01a75bd21749ff.edm" vbProcedure="false">#REF!</definedName>
    <definedName function="false" hidden="true" name="_bdm.1cd64fe5d1b0446a98c2dedd4a62a5dc.edm" vbProcedure="false">#REF!</definedName>
    <definedName function="false" hidden="true" name="_bdm.1d1cadbabc384ded9edf123fecf00cb5.edm" vbProcedure="false">#REF!</definedName>
    <definedName function="false" hidden="true" name="_bdm.1d350eaa2ca144518c20e1dae3d2a2e8.edm" vbProcedure="false">#REF!</definedName>
    <definedName function="false" hidden="true" name="_bdm.1d43cf3d72b94009b14b09e4a00afa1e.edm" vbProcedure="false">#REF!</definedName>
    <definedName function="false" hidden="true" name="_bdm.1d449e9deae24730bdb53fe5ea896696.edm" vbProcedure="false">#REF!</definedName>
    <definedName function="false" hidden="true" name="_bdm.1d48bd24ccb344c68e2a85d1bec960d1.edm" vbProcedure="false">#REF!</definedName>
    <definedName function="false" hidden="true" name="_bdm.1d4c87f201494ee6988ba49dc6052c12.edm" vbProcedure="false">#REF!</definedName>
    <definedName function="false" hidden="true" name="_bdm.1d4cf2977f5e4b1382646249738ee17a.edm" vbProcedure="false">#REF!</definedName>
    <definedName function="false" hidden="true" name="_bdm.1d77822daee1430bbb4ef24bcc73731b.edm" vbProcedure="false">#REF!</definedName>
    <definedName function="false" hidden="true" name="_bdm.1da043b2bc934ce9b6bb498aae78bf79.edm" vbProcedure="false">#REF!</definedName>
    <definedName function="false" hidden="true" name="_bdm.1dd4372d0c8848f0af7de400b2839119.edm" vbProcedure="false">#REF!</definedName>
    <definedName function="false" hidden="true" name="_bdm.1dfc6581b10542e78595d5993e997a8a.edm" vbProcedure="false">#REF!</definedName>
    <definedName function="false" hidden="true" name="_bdm.1e249ae882614b54853bac572083ca23.edm" vbProcedure="false">#REF!</definedName>
    <definedName function="false" hidden="true" name="_bdm.1e252cc6492046eea5164334c6824595.edm" vbProcedure="false">#REF!</definedName>
    <definedName function="false" hidden="true" name="_bdm.1e25c9d877ef41bfad58ad3a69ed6e98.edm" vbProcedure="false">#REF!</definedName>
    <definedName function="false" hidden="true" name="_bdm.1e2ba4996a024ded8810cb7be3a025c5.edm" vbProcedure="false">#REF!</definedName>
    <definedName function="false" hidden="true" name="_bdm.1e321a51267840a9b21f2440bd0777cb.edm" vbProcedure="false">#REF!</definedName>
    <definedName function="false" hidden="true" name="_bdm.1e405afdd2b74f87ac8407a1f57ea355.edm" vbProcedure="false">#REF!</definedName>
    <definedName function="false" hidden="true" name="_bdm.1e67edb739004515af9b6781397ca5c4.edm" vbProcedure="false">#REF!</definedName>
    <definedName function="false" hidden="true" name="_bdm.1e8de4a3788944249d14df51ae773372.edm" vbProcedure="false">#REF!</definedName>
    <definedName function="false" hidden="true" name="_bdm.1eb6ae9389654566bc107e61cc2fc826.edm" vbProcedure="false">#REF!</definedName>
    <definedName function="false" hidden="true" name="_bdm.1eb7cb9bd24a4d42ae956931bbba3433.edm" vbProcedure="false">#REF!</definedName>
    <definedName function="false" hidden="true" name="_bdm.1eb9ea9740384776850a0cde7e57c8d6.edm" vbProcedure="false">#REF!</definedName>
    <definedName function="false" hidden="true" name="_bdm.1ec7264679a8452aa6c38dc2483d8c73.edm" vbProcedure="false">#REF!</definedName>
    <definedName function="false" hidden="true" name="_bdm.1edc75bdcda74cddba0ac0cb672c4b08.edm" vbProcedure="false">#REF!</definedName>
    <definedName function="false" hidden="true" name="_bdm.1edca88fa99d4ffca181f9dff6723268.edm" vbProcedure="false">#REF!</definedName>
    <definedName function="false" hidden="true" name="_bdm.1f068db65c704386abbd614ef64695be.edm" vbProcedure="false">#REF!</definedName>
    <definedName function="false" hidden="true" name="_bdm.1f185fd95b2e408f8511e6755af8b46e.edm" vbProcedure="false">#REF!</definedName>
    <definedName function="false" hidden="true" name="_bdm.1f1e4bc0589446af85f5e5085880bbf6.edm" vbProcedure="false">#REF!</definedName>
    <definedName function="false" hidden="true" name="_bdm.1f3c94eaf8ef432ca288a1b853c9764b.edm" vbProcedure="false">#REF!</definedName>
    <definedName function="false" hidden="true" name="_bdm.1fea37c1a2b940c2a7c5dfed56c03607.edm" vbProcedure="false">#REF!</definedName>
    <definedName function="false" hidden="true" name="_bdm.1ff7c69b46214a97b98b8654b5c88562.edm" vbProcedure="false">#REF!</definedName>
    <definedName function="false" hidden="true" name="_bdm.202c6b38b6f4455abfc3c499c591d330.edm" vbProcedure="false">#REF!</definedName>
    <definedName function="false" hidden="true" name="_bdm.20491b31ab344b119ef84d45129bf717.edm" vbProcedure="false">#REF!</definedName>
    <definedName function="false" hidden="true" name="_bdm.2059a6ae3e214242a55fdd8507694750.edm" vbProcedure="false">#REF!</definedName>
    <definedName function="false" hidden="true" name="_bdm.20649356b0024ee49d401a36ffcdcdbf.edm" vbProcedure="false">#REF!</definedName>
    <definedName function="false" hidden="true" name="_bdm.20786cba5b464f8a972291cc03d45c3c.edm" vbProcedure="false">#REF!</definedName>
    <definedName function="false" hidden="true" name="_bdm.20a58c7240144d1295b2f1e5464ba33a.edm" vbProcedure="false">#REF!</definedName>
    <definedName function="false" hidden="true" name="_bdm.20b784dd7db8412ba953a492b5a0e9d0.edm" vbProcedure="false">#REF!</definedName>
    <definedName function="false" hidden="true" name="_bdm.20ba093852474c91bce3f88e0c026400.edm" vbProcedure="false">#REF!</definedName>
    <definedName function="false" hidden="true" name="_bdm.20d2ca757f1b411e8764bb404f78216e.edm" vbProcedure="false">#REF!</definedName>
    <definedName function="false" hidden="true" name="_bdm.20d7890ed127451ca74bebb98c1256cd.edm" vbProcedure="false">#REF!</definedName>
    <definedName function="false" hidden="true" name="_bdm.20e35d05abab4b60b49d890737a49339.edm" vbProcedure="false">#REF!</definedName>
    <definedName function="false" hidden="true" name="_bdm.20ea642f3e4d412da5cf8e5b3d60a08c.edm" vbProcedure="false">#REF!</definedName>
    <definedName function="false" hidden="true" name="_bdm.20ed975506164f72b6122b9ba7803804.edm" vbProcedure="false">#REF!</definedName>
    <definedName function="false" hidden="true" name="_bdm.215f5446132140ccb795179a9d4dcf6b.edm" vbProcedure="false">#REF!</definedName>
    <definedName function="false" hidden="true" name="_bdm.21da06d81aa54ce6810789613dc58c08.edm" vbProcedure="false">#REF!</definedName>
    <definedName function="false" hidden="true" name="_bdm.21daca006d074d4cba62d1aa4acb3f4e.edm" vbProcedure="false">#REF!</definedName>
    <definedName function="false" hidden="true" name="_bdm.2240d9784f914b96b7c6dc709adcd84f.edm" vbProcedure="false">#REF!</definedName>
    <definedName function="false" hidden="true" name="_bdm.224a037fd3d74040b1f6e61fdb64345d.edm" vbProcedure="false">#REF!</definedName>
    <definedName function="false" hidden="true" name="_bdm.2255c1776df4455dab1c9341f7373015.edm" vbProcedure="false">#REF!</definedName>
    <definedName function="false" hidden="true" name="_bdm.227eabe5839b4959bacf50d9d4e171b3.edm" vbProcedure="false">#REF!</definedName>
    <definedName function="false" hidden="true" name="_bdm.2285d6e1e3c943d1846dad02f6a210de.edm" vbProcedure="false">#REF!</definedName>
    <definedName function="false" hidden="true" name="_bdm.2289fd37a64546968de3aec9636af9a6.edm" vbProcedure="false">#REF!</definedName>
    <definedName function="false" hidden="true" name="_bdm.22929d59c75a4a70ab644a6af07cb2aa.edm" vbProcedure="false">#REF!</definedName>
    <definedName function="false" hidden="true" name="_bdm.22cac79cae8f46898ad0e2bfc2aa6861.edm" vbProcedure="false">#REF!</definedName>
    <definedName function="false" hidden="true" name="_bdm.22da3f2533654632a155cbbd68cffb54.edm" vbProcedure="false">#REF!</definedName>
    <definedName function="false" hidden="true" name="_bdm.2328be1f4c024ffd935a73e8102eb020.edm" vbProcedure="false">#REF!</definedName>
    <definedName function="false" hidden="true" name="_bdm.235e8d69974440058c3e180a3f5afbd9.edm" vbProcedure="false">#REF!</definedName>
    <definedName function="false" hidden="true" name="_bdm.237c0dfeb01345cbb939af7c270def3a.edm" vbProcedure="false">#REF!</definedName>
    <definedName function="false" hidden="true" name="_bdm.238387b9ce9240c79a631a573efab3da.edm" vbProcedure="false">#REF!</definedName>
    <definedName function="false" hidden="true" name="_bdm.2385e756872b414ab6e0b72ac1a6a61c.edm" vbProcedure="false">#REF!</definedName>
    <definedName function="false" hidden="true" name="_bdm.2386ced4b5b0495495aed9f84d3a31a0.edm" vbProcedure="false">#REF!</definedName>
    <definedName function="false" hidden="true" name="_bdm.23d02aec859b494cabac1f5df67d26f6.edm" vbProcedure="false">#REF!</definedName>
    <definedName function="false" hidden="true" name="_bdm.23fac9ee4b2340bc81f8aafcfa840014.edm" vbProcedure="false">#REF!</definedName>
    <definedName function="false" hidden="true" name="_bdm.24116b03245b4795a9e1b05d5d11bf4f.edm" vbProcedure="false">#REF!</definedName>
    <definedName function="false" hidden="true" name="_bdm.24622d9e058f443d83974989abdf90d9.edm" vbProcedure="false">#REF!</definedName>
    <definedName function="false" hidden="true" name="_bdm.248223207fea4392986bf1fb889e7321.edm" vbProcedure="false">#REF!</definedName>
    <definedName function="false" hidden="true" name="_bdm.2486595c3bb242de88d45c32ef6a9980.edm" vbProcedure="false">#REF!</definedName>
    <definedName function="false" hidden="true" name="_bdm.24938b4418284688828dbc2dc87e058e.edm" vbProcedure="false">#REF!</definedName>
    <definedName function="false" hidden="true" name="_bdm.24ceff6e656049c2b126ba0f467f4f1a.edm" vbProcedure="false">#REF!</definedName>
    <definedName function="false" hidden="true" name="_bdm.24eb6cecdfce429fac83fefcc8237f2f.edm" vbProcedure="false">#REF!</definedName>
    <definedName function="false" hidden="true" name="_bdm.24f91e842b4440cf9b9e6ca2837446a7.edm" vbProcedure="false">#REF!</definedName>
    <definedName function="false" hidden="true" name="_bdm.251fb39cf0724a778966a8a10ddc8bed.edm" vbProcedure="false">#REF!</definedName>
    <definedName function="false" hidden="true" name="_bdm.2529c1c15be0417898c87fa6b1795df4.edm" vbProcedure="false">#REF!</definedName>
    <definedName function="false" hidden="true" name="_bdm.256f024cef2f4feca8bd3fe51d58eda6.edm" vbProcedure="false">#REF!</definedName>
    <definedName function="false" hidden="true" name="_bdm.258142fc867741f58d2dc10598ec69ab.edm" vbProcedure="false">#REF!</definedName>
    <definedName function="false" hidden="true" name="_bdm.25846714d8dd441fae902f33667c8abd.edm" vbProcedure="false">#REF!</definedName>
    <definedName function="false" hidden="true" name="_bdm.258546cdc27d47e48e40df86d4246ebf.edm" vbProcedure="false">#REF!</definedName>
    <definedName function="false" hidden="true" name="_bdm.25a9edc427ee4473b06d33636a975877.edm" vbProcedure="false">#REF!</definedName>
    <definedName function="false" hidden="true" name="_bdm.26042d71de4c4bccb09a612abd0c503d.edm" vbProcedure="false">#REF!</definedName>
    <definedName function="false" hidden="true" name="_bdm.260bd958f63a4c338dcaf6df2c30d404.edm" vbProcedure="false">#REF!</definedName>
    <definedName function="false" hidden="true" name="_bdm.26144dc412204768b8781bee5e4c1cb0.edm" vbProcedure="false">#REF!</definedName>
    <definedName function="false" hidden="true" name="_bdm.2647fe67e24340b0b00405beff87a7a9.edm" vbProcedure="false">#REF!</definedName>
    <definedName function="false" hidden="true" name="_bdm.2658e7065813463abb80205b83215736.edm" vbProcedure="false">#REF!</definedName>
    <definedName function="false" hidden="true" name="_bdm.26649e16bd674f208349de3ef925a7c4.edm" vbProcedure="false">#REF!</definedName>
    <definedName function="false" hidden="true" name="_bdm.266d2931af9b4ceab1e3acaad57382aa.edm" vbProcedure="false">#REF!</definedName>
    <definedName function="false" hidden="true" name="_bdm.26abb15cdaf54c249ef80a85648b0f38.edm" vbProcedure="false">#REF!</definedName>
    <definedName function="false" hidden="true" name="_bdm.26c45d15344c415fa5d7367c57c4787b.edm" vbProcedure="false">#REF!</definedName>
    <definedName function="false" hidden="true" name="_bdm.26d7b49c35754de091e337eaaf6c911d.edm" vbProcedure="false">#REF!</definedName>
    <definedName function="false" hidden="true" name="_bdm.272279ff3ce945c993863614351efe87.edm" vbProcedure="false">#REF!</definedName>
    <definedName function="false" hidden="true" name="_bdm.27859e2611c1416c84dcbcf320368b53.edm" vbProcedure="false">#REF!</definedName>
    <definedName function="false" hidden="true" name="_bdm.2787800783c24adcaf11ef1ff7129f5e.edm" vbProcedure="false">#REF!</definedName>
    <definedName function="false" hidden="true" name="_bdm.27b4524e56fe444c8b9d95ef8b68dc69.edm" vbProcedure="false">#REF!</definedName>
    <definedName function="false" hidden="true" name="_bdm.27c4d0dd81e94bbfa64f96de38b3bfa0.edm" vbProcedure="false">#REF!</definedName>
    <definedName function="false" hidden="true" name="_bdm.27c82b395f8d47eaa275e12c81ea91df.edm" vbProcedure="false">#REF!</definedName>
    <definedName function="false" hidden="true" name="_bdm.27e0d1d492314587a5a7402e1b0e212d.edm" vbProcedure="false">#REF!</definedName>
    <definedName function="false" hidden="true" name="_bdm.27f5f51acdd6438786e5e370c89e94a8.edm" vbProcedure="false">#REF!</definedName>
    <definedName function="false" hidden="true" name="_bdm.280179b950b2488ea4148ac09565a7fd.edm" vbProcedure="false">#REF!</definedName>
    <definedName function="false" hidden="true" name="_bdm.281cad61678b4deaaaa422df950fc161.edm" vbProcedure="false">#REF!</definedName>
    <definedName function="false" hidden="true" name="_bdm.2843d02b5a1e42fca16033d078ab8e52.edm" vbProcedure="false">#REF!</definedName>
    <definedName function="false" hidden="true" name="_bdm.285966f8df484ab3a19c72553dda9f11.edm" vbProcedure="false">#REF!</definedName>
    <definedName function="false" hidden="true" name="_bdm.28657c1bc929478785b16ffc0bf75f48.edm" vbProcedure="false">#REF!</definedName>
    <definedName function="false" hidden="true" name="_bdm.286c1b9e639943ff98c4aa5bd81b7457.edm" vbProcedure="false">#REF!</definedName>
    <definedName function="false" hidden="true" name="_bdm.287fb4fe097f480b84b1f09890eb6622.edm" vbProcedure="false">#REF!</definedName>
    <definedName function="false" hidden="true" name="_bdm.288eecacb0c4415d822529f980656eeb.edm" vbProcedure="false">#REF!</definedName>
    <definedName function="false" hidden="true" name="_bdm.28b5239ecfb54925a5fa3620f2475547.edm" vbProcedure="false">#REF!</definedName>
    <definedName function="false" hidden="true" name="_bdm.28c19f495ff44f98882afbd18a43fc6c.edm" vbProcedure="false">#REF!</definedName>
    <definedName function="false" hidden="true" name="_bdm.29005ced3a6944f0bc49e9d425ba12ed.edm" vbProcedure="false">#REF!</definedName>
    <definedName function="false" hidden="true" name="_bdm.297992a213d34dd5bc7e5e89fc71c4f9.edm" vbProcedure="false">#REF!</definedName>
    <definedName function="false" hidden="true" name="_bdm.298315eac3c24627aa035d61bc652fbc.edm" vbProcedure="false">#REF!</definedName>
    <definedName function="false" hidden="true" name="_bdm.29a9740f22f041f69c84664594e98ec9.edm" vbProcedure="false">#REF!</definedName>
    <definedName function="false" hidden="true" name="_bdm.29b7ff3ac7e8412c978779368f6b45fb.edm" vbProcedure="false">#REF!</definedName>
    <definedName function="false" hidden="true" name="_bdm.29e400880f1a497cb1f28bc23b2e6c70.edm" vbProcedure="false">#REF!</definedName>
    <definedName function="false" hidden="true" name="_bdm.2a2214c6f1344db8baa06e095122f4b0.edm" vbProcedure="false">#REF!</definedName>
    <definedName function="false" hidden="true" name="_bdm.2A36795D6FB4463AA3D4FF23266C5AB6.edm" vbProcedure="false">#REF!</definedName>
    <definedName function="false" hidden="true" name="_bdm.2a58e8916f784c8b8e4f90dee054b8e7.edm" vbProcedure="false">#REF!</definedName>
    <definedName function="false" hidden="true" name="_bdm.2a5e38af7feb4229b7ea7d6ec55437f1.edm" vbProcedure="false">#REF!</definedName>
    <definedName function="false" hidden="true" name="_bdm.2a6633c5f15340b1bda297e7784c4a5a.edm" vbProcedure="false">#REF!</definedName>
    <definedName function="false" hidden="true" name="_bdm.2a68d74519d4421d9afdc68fe8425b7a.edm" vbProcedure="false">#REF!</definedName>
    <definedName function="false" hidden="true" name="_bdm.2a68feea9af24de1856dd7ab34e8f2c5.edm" vbProcedure="false">#REF!</definedName>
    <definedName function="false" hidden="true" name="_bdm.2ae1ab6a63fa40bfba77afebcb61cbb6.edm" vbProcedure="false">#REF!</definedName>
    <definedName function="false" hidden="true" name="_bdm.2ae61cb2dc1e48e5938d79ad3a0ad95e.edm" vbProcedure="false">#REF!</definedName>
    <definedName function="false" hidden="true" name="_bdm.2aeadd3245e44926a393bb02632199ab.edm" vbProcedure="false">#REF!</definedName>
    <definedName function="false" hidden="true" name="_bdm.2aeea01c202a483aa8f41fbb399fc3ea.edm" vbProcedure="false">#REF!</definedName>
    <definedName function="false" hidden="true" name="_bdm.2b8ccb1dd34b4a388ebf8b6e7e16927a.edm" vbProcedure="false">#REF!</definedName>
    <definedName function="false" hidden="true" name="_bdm.2b95fe5f92c94cd1a728c5615f3bf903.edm" vbProcedure="false">#REF!</definedName>
    <definedName function="false" hidden="true" name="_bdm.2bb567a263b54b6cb3052af6a35bd041.edm" vbProcedure="false">#REF!</definedName>
    <definedName function="false" hidden="true" name="_bdm.2c0969a827b640619460300abc054029.edm" vbProcedure="false">#REF!</definedName>
    <definedName function="false" hidden="true" name="_bdm.2c238e05de65469395959a11043fa5d8.edm" vbProcedure="false">#REF!</definedName>
    <definedName function="false" hidden="true" name="_bdm.2c4d35cda88e4fb3827faf8485a03b13.edm" vbProcedure="false">#REF!</definedName>
    <definedName function="false" hidden="true" name="_bdm.2c5c6a6003a34672aa123251688f9011.edm" vbProcedure="false">#REF!</definedName>
    <definedName function="false" hidden="true" name="_bdm.2c61bf4e3f70480ca0c14d8f6cd1e28c.edm" vbProcedure="false">#REF!</definedName>
    <definedName function="false" hidden="true" name="_bdm.2c706fa97f134332a10c7a69c0adb561.edm" vbProcedure="false">#REF!</definedName>
    <definedName function="false" hidden="true" name="_bdm.2c84b2c9eb6c404d9a97a19407f361bc.edm" vbProcedure="false">#REF!</definedName>
    <definedName function="false" hidden="true" name="_bdm.2c9574c7532d4b0aaeed9d7071059920.edm" vbProcedure="false">#REF!</definedName>
    <definedName function="false" hidden="true" name="_bdm.2cb42341de5f47f99b8c26a1eb0b5024.edm" vbProcedure="false">#REF!</definedName>
    <definedName function="false" hidden="true" name="_bdm.2cf3a6f5650c49bda9d8aee9a43f4489.edm" vbProcedure="false">#REF!</definedName>
    <definedName function="false" hidden="true" name="_bdm.2d0ffda2ebf54b84bb5911c53cc8cc02.edm" vbProcedure="false">#REF!</definedName>
    <definedName function="false" hidden="true" name="_bdm.2D1485B8F3C54A6B8803087333C59380.edm" vbProcedure="false">#REF!</definedName>
    <definedName function="false" hidden="true" name="_bdm.2d194ad1d2b0493f9f779dcb0ae8f922.edm" vbProcedure="false">#REF!</definedName>
    <definedName function="false" hidden="true" name="_bdm.2d4ae999330d49259e872ae0ebdf6b5d.edm" vbProcedure="false">#REF!</definedName>
    <definedName function="false" hidden="true" name="_bdm.2d52524606864e86a732923949e79cd3.edm" vbProcedure="false">#REF!</definedName>
    <definedName function="false" hidden="true" name="_bdm.2d59879afdc6443cbf56fde295f06c0d.edm" vbProcedure="false">#REF!</definedName>
    <definedName function="false" hidden="true" name="_bdm.2d6e37d71bfc4b8b837a95a5863e6bbf.edm" vbProcedure="false">#REF!</definedName>
    <definedName function="false" hidden="true" name="_bdm.2d807fe34aa84b01afbdd5b9b228a366.edm" vbProcedure="false">#REF!</definedName>
    <definedName function="false" hidden="true" name="_bdm.2d8d04cafe82411683df4f1f73ad13d6.edm" vbProcedure="false">#REF!</definedName>
    <definedName function="false" hidden="true" name="_bdm.2dad7c6c871644a7a628d1a413b26a84.edm" vbProcedure="false">#REF!</definedName>
    <definedName function="false" hidden="true" name="_bdm.2db15ab14fb644afa3765c4c75cdfaa2.edm" vbProcedure="false">#REF!</definedName>
    <definedName function="false" hidden="true" name="_bdm.2db35b10299148beb1908e085b1d21a3.edm" vbProcedure="false">#REF!</definedName>
    <definedName function="false" hidden="true" name="_bdm.2dc1de23bed64a589f3f99c64e9e5773.edm" vbProcedure="false">#REF!</definedName>
    <definedName function="false" hidden="true" name="_bdm.2dcf3d6fda674204ad1c86150ca32832.edm" vbProcedure="false">#REF!</definedName>
    <definedName function="false" hidden="true" name="_bdm.2de6d484314d470382a8fa5c3e2d9ef0.edm" vbProcedure="false">#REF!</definedName>
    <definedName function="false" hidden="true" name="_bdm.2dfa75997890491885a1d08bf79a22ec.edm" vbProcedure="false">#REF!</definedName>
    <definedName function="false" hidden="true" name="_bdm.2e04c5f6993f4420b03e4768c48009d6.edm" vbProcedure="false">#REF!</definedName>
    <definedName function="false" hidden="true" name="_bdm.2e0d4d17efcc4204bf60f994329d51fe.edm" vbProcedure="false">#REF!</definedName>
    <definedName function="false" hidden="true" name="_bdm.2e1b53ff769544eea735d97251a75cee.edm" vbProcedure="false">#REF!</definedName>
    <definedName function="false" hidden="true" name="_bdm.2e2bbc0f1459459e92c825a80d82fe2c.edm" vbProcedure="false">#REF!</definedName>
    <definedName function="false" hidden="true" name="_bdm.2e3d9c827c8c4348874407ddaf534c3f.edm" vbProcedure="false">#REF!</definedName>
    <definedName function="false" hidden="true" name="_bdm.2e536c7fc7f9418f916c89e30e1926c7.edm" vbProcedure="false">#REF!</definedName>
    <definedName function="false" hidden="true" name="_bdm.2e7d34847f3c4acf9434ee6efde541a0.edm" vbProcedure="false">#REF!</definedName>
    <definedName function="false" hidden="true" name="_bdm.2E9830C7AAE54B55B32AF194C5019EA2.edm" vbProcedure="false">#REF!</definedName>
    <definedName function="false" hidden="true" name="_bdm.2ea54ca7bea74b6387111ff8600e2a94.edm" vbProcedure="false">#REF!</definedName>
    <definedName function="false" hidden="true" name="_bdm.2ea90c3d32de4629b3b250057eae97d4.edm" vbProcedure="false">#REF!</definedName>
    <definedName function="false" hidden="true" name="_bdm.2ec247d312884cfebd46206dc43a159a.edm" vbProcedure="false">#REF!</definedName>
    <definedName function="false" hidden="true" name="_bdm.2ec5ec765a254e56a4294740dcf6adf6.edm" vbProcedure="false">#REF!</definedName>
    <definedName function="false" hidden="true" name="_bdm.2f2c3a733102497183e5931bbebe3a75.edm" vbProcedure="false">#REF!</definedName>
    <definedName function="false" hidden="true" name="_bdm.2f5b556d7f5e4f89b21b0eff83432584.edm" vbProcedure="false">#REF!</definedName>
    <definedName function="false" hidden="true" name="_bdm.2f5df383c23a4fc4af78022c4cc18547.edm" vbProcedure="false">#REF!</definedName>
    <definedName function="false" hidden="true" name="_bdm.2fd26b61a1684c2b809c36491536ed14.edm" vbProcedure="false">#REF!</definedName>
    <definedName function="false" hidden="true" name="_bdm.2fe78d4707394c549e8c7d7c4c211438.edm" vbProcedure="false">#REF!</definedName>
    <definedName function="false" hidden="true" name="_bdm.3031A63E87B046089B4D488F8E6C5AA2.edm" vbProcedure="false">#REF!</definedName>
    <definedName function="false" hidden="true" name="_bdm.303329e8b86e45f694526ed177aaed93.edm" vbProcedure="false">#REF!</definedName>
    <definedName function="false" hidden="true" name="_bdm.3037775981a349fd9c5ddd8e211396ce.edm" vbProcedure="false">#REF!</definedName>
    <definedName function="false" hidden="true" name="_bdm.30444988e23944418497149f326be6ac.edm" vbProcedure="false">#REF!</definedName>
    <definedName function="false" hidden="true" name="_bdm.305715f4a24c4f0595afdb032ff577c9.edm" vbProcedure="false">#REF!</definedName>
    <definedName function="false" hidden="true" name="_bdm.307d02d3b9154953819ce04d5872f6fe.edm" vbProcedure="false">#REF!</definedName>
    <definedName function="false" hidden="true" name="_bdm.30a7acf4011443318a2b1f21c933cbbd.edm" vbProcedure="false">#REF!</definedName>
    <definedName function="false" hidden="true" name="_bdm.30d6d67568ca424fad6db2b746876234.edm" vbProcedure="false">#REF!</definedName>
    <definedName function="false" hidden="true" name="_bdm.30da3f29ed4c4c57bef978d2c86c9723.edm" vbProcedure="false">#REF!</definedName>
    <definedName function="false" hidden="true" name="_bdm.30dc23e9353d473daaf5a2467e48b0ca.edm" vbProcedure="false">#REF!</definedName>
    <definedName function="false" hidden="true" name="_bdm.30f3ece2aef645af90ae1e36a38826ff.edm" vbProcedure="false">#REF!</definedName>
    <definedName function="false" hidden="true" name="_bdm.310e2e5518b64fa5b63cb8a78be6531d.edm" vbProcedure="false">#REF!</definedName>
    <definedName function="false" hidden="true" name="_bdm.314e8f2d08a344ab8de9bcb06ee45376.edm" vbProcedure="false">#REF!</definedName>
    <definedName function="false" hidden="true" name="_bdm.318af60ca3e144bda04706f0ddf1391d.edm" vbProcedure="false">#REF!</definedName>
    <definedName function="false" hidden="true" name="_bdm.31c359319386477c932aabacf1558982.edm" vbProcedure="false">#REF!</definedName>
    <definedName function="false" hidden="true" name="_bdm.31d9cbf41d2b40e78a4a4410598de709.edm" vbProcedure="false">#REF!</definedName>
    <definedName function="false" hidden="true" name="_bdm.3242d0570d3548ab854fdc5837d48544.edm" vbProcedure="false">#REF!</definedName>
    <definedName function="false" hidden="true" name="_bdm.32550ebc8f2c4dd597952d4323c2e681.edm" vbProcedure="false">#REF!</definedName>
    <definedName function="false" hidden="true" name="_bdm.326ea9c8a1614b138c2be7c40bb899a6.edm" vbProcedure="false">#REF!</definedName>
    <definedName function="false" hidden="true" name="_bdm.32d7cd7553a04987929f37c7feafeb7c.edm" vbProcedure="false">#REF!</definedName>
    <definedName function="false" hidden="true" name="_bdm.32f0a8dcd91b4f20bf770fd89c47fde9.edm" vbProcedure="false">#REF!</definedName>
    <definedName function="false" hidden="true" name="_bdm.331ca4aa8b134646a40b5c6d7b0f8b2d.edm" vbProcedure="false">#REF!</definedName>
    <definedName function="false" hidden="true" name="_bdm.335cb985c7d6427296167bfc6de96175.edm" vbProcedure="false">#REF!</definedName>
    <definedName function="false" hidden="true" name="_bdm.33868ca4af50461d96075a853959d55f.edm" vbProcedure="false">#REF!</definedName>
    <definedName function="false" hidden="true" name="_bdm.33873e1aa1194293a49f263438b79663.edm" vbProcedure="false">#REF!</definedName>
    <definedName function="false" hidden="true" name="_bdm.3429f24c01da4229a825295de9304909.edm" vbProcedure="false">#REF!</definedName>
    <definedName function="false" hidden="true" name="_bdm.34392582e39046bbaf9c9a69041c8b30.edm" vbProcedure="false">#REF!</definedName>
    <definedName function="false" hidden="true" name="_bdm.343a87b9b5db41599d308b5ae1dbc058.edm" vbProcedure="false">#REF!</definedName>
    <definedName function="false" hidden="true" name="_bdm.346fdbfff95f47d2b565e052ab1f1469.edm" vbProcedure="false">#REF!</definedName>
    <definedName function="false" hidden="true" name="_bdm.348ce9161fc3488591604f95ce633c02.edm" vbProcedure="false">#REF!</definedName>
    <definedName function="false" hidden="true" name="_bdm.34d81314b5174dc28d79b1fc44c3c2da.edm" vbProcedure="false">#REF!</definedName>
    <definedName function="false" hidden="true" name="_bdm.34e63d44a05f4528be547341952f935d.edm" vbProcedure="false">#REF!</definedName>
    <definedName function="false" hidden="true" name="_bdm.34efe5c066f44e0bb6f595ff18670e34.edm" vbProcedure="false">#REF!</definedName>
    <definedName function="false" hidden="true" name="_bdm.35072d1add1e49a79959243214a2e257.edm" vbProcedure="false">#REF!</definedName>
    <definedName function="false" hidden="true" name="_bdm.35227d166a924492a074c507decd8382.edm" vbProcedure="false">#REF!</definedName>
    <definedName function="false" hidden="true" name="_bdm.354c49240e794b2ea6d8f32142666727.edm" vbProcedure="false">#REF!</definedName>
    <definedName function="false" hidden="true" name="_bdm.3559d31e820a4df48696b9adb53fc12e.edm" vbProcedure="false">#REF!</definedName>
    <definedName function="false" hidden="true" name="_bdm.3576d270fd164c3cbde1475913e3d9b8.edm" vbProcedure="false">#REF!</definedName>
    <definedName function="false" hidden="true" name="_bdm.35acf56512864d6ab5114763a1701e67.edm" vbProcedure="false">#REF!</definedName>
    <definedName function="false" hidden="true" name="_bdm.35d56b7cd4e543c1aa64b30939874c12.edm" vbProcedure="false">#REF!</definedName>
    <definedName function="false" hidden="true" name="_bdm.35ea740b19a14f248f6bd9039b179132.edm" vbProcedure="false">#REF!</definedName>
    <definedName function="false" hidden="true" name="_bdm.361d1f851b6f4eceb320348d8d16d285.edm" vbProcedure="false">#REF!</definedName>
    <definedName function="false" hidden="true" name="_bdm.36434b32aeb5479785c500318071ac01.edm" vbProcedure="false">#REF!</definedName>
    <definedName function="false" hidden="true" name="_bdm.364d16e5eca5436bbe386a4dbf2dcdc8.edm" vbProcedure="false">#REF!</definedName>
    <definedName function="false" hidden="true" name="_bdm.368c5841a5834a02a521b3414e5bcc07.edm" vbProcedure="false">#REF!</definedName>
    <definedName function="false" hidden="true" name="_bdm.36DB0CF9475249ACB3C921B92B640208.edm" vbProcedure="false">#REF!</definedName>
    <definedName function="false" hidden="true" name="_bdm.36eaece0bc2f4544bcd64d1818d4aa72.edm" vbProcedure="false">#REF!</definedName>
    <definedName function="false" hidden="true" name="_bdm.3714a88e33f1422193a3bde530e97a10.edm" vbProcedure="false">#REF!</definedName>
    <definedName function="false" hidden="true" name="_bdm.37569148ba5e40189f1731468d6dfd0a.edm" vbProcedure="false">#REF!</definedName>
    <definedName function="false" hidden="true" name="_bdm.376e4a1efb3d404090fb48c11c0e38e3.edm" vbProcedure="false">#REF!</definedName>
    <definedName function="false" hidden="true" name="_bdm.3773b23a5e8145a18e1f73c1af790238.edm" vbProcedure="false">#REF!</definedName>
    <definedName function="false" hidden="true" name="_bdm.37910c5ca4424637a31fee457d0ae5ba.edm" vbProcedure="false">#REF!</definedName>
    <definedName function="false" hidden="true" name="_bdm.37d5813a4e004311abfaddb814ea042b.edm" vbProcedure="false">#REF!</definedName>
    <definedName function="false" hidden="true" name="_bdm.37eb3984c8744671adfb002974687350.edm" vbProcedure="false">#REF!</definedName>
    <definedName function="false" hidden="true" name="_bdm.37f118ec5c2240f39b09c49f523ddca8.edm" vbProcedure="false">#REF!</definedName>
    <definedName function="false" hidden="true" name="_bdm.3820ac4669e4425f89821f5fb99c3c56.edm" vbProcedure="false">#REF!</definedName>
    <definedName function="false" hidden="true" name="_bdm.38590411cf4047d2a1a2d5363c6be328.edm" vbProcedure="false">#REF!</definedName>
    <definedName function="false" hidden="true" name="_bdm.385e05f1389a425d976c33e913789c7d.edm" vbProcedure="false">#REF!</definedName>
    <definedName function="false" hidden="true" name="_bdm.3860cc8067cd4feca2ccb3ae4d0b5e7e.edm" vbProcedure="false">#REF!</definedName>
    <definedName function="false" hidden="true" name="_bdm.3899bf2daae14d8fabe2331c76a43b56.edm" vbProcedure="false">#REF!</definedName>
    <definedName function="false" hidden="true" name="_bdm.38bce92fd178482d968b180e68fbacc0.edm" vbProcedure="false">#REF!</definedName>
    <definedName function="false" hidden="true" name="_bdm.38ceac53bb524cd88ed8318b02301699.edm" vbProcedure="false">#REF!</definedName>
    <definedName function="false" hidden="true" name="_bdm.38d6473e30174073b9267f27a505b0db.edm" vbProcedure="false">#REF!</definedName>
    <definedName function="false" hidden="true" name="_bdm.38f33e9b5b5a4b8e83ada49ebdb85357.edm" vbProcedure="false">#REF!</definedName>
    <definedName function="false" hidden="true" name="_bdm.3914ea08772a40688d6fb5cefe666ba0.edm" vbProcedure="false">#REF!</definedName>
    <definedName function="false" hidden="true" name="_bdm.3933bf8b462d48aca0c445de72d09db7.edm" vbProcedure="false">#REF!</definedName>
    <definedName function="false" hidden="true" name="_bdm.39370B63C2D14B03AEB86A368973081D.edm" vbProcedure="false">#REF!</definedName>
    <definedName function="false" hidden="true" name="_bdm.39381e5c91774350b05a45c2fe62448c.edm" vbProcedure="false">#REF!</definedName>
    <definedName function="false" hidden="true" name="_bdm.3957f582e6704fcb9be4335b236980c2.edm" vbProcedure="false">#REF!</definedName>
    <definedName function="false" hidden="true" name="_bdm.395d91f842094886b128fa4be817ab74.edm" vbProcedure="false">#REF!</definedName>
    <definedName function="false" hidden="true" name="_bdm.396566156d6b4fe5aa187ec0ee4f2fa0.edm" vbProcedure="false">#REF!</definedName>
    <definedName function="false" hidden="true" name="_bdm.399e26aa66204a9197a4cdca9babc86a.edm" vbProcedure="false">#REF!</definedName>
    <definedName function="false" hidden="true" name="_bdm.39A440F3EBBD413BA99713ABAAC193D2.edm" vbProcedure="false">#REF!</definedName>
    <definedName function="false" hidden="true" name="_bdm.39F3E0143A324B14827F4CD69A59EB94.edm" vbProcedure="false">#REF!</definedName>
    <definedName function="false" hidden="true" name="_bdm.3A2D9EF820474210995D401194B63910.edm" vbProcedure="false">#REF!</definedName>
    <definedName function="false" hidden="true" name="_bdm.3a308e2450424c33b0f32c9cb9f536d2.edm" vbProcedure="false">#REF!</definedName>
    <definedName function="false" hidden="true" name="_bdm.3a3bcececb4848bc93bfaea871cceaea.edm" vbProcedure="false">#REF!</definedName>
    <definedName function="false" hidden="true" name="_bdm.3a76279599854cccb88fe69593f29a9b.edm" vbProcedure="false">#REF!</definedName>
    <definedName function="false" hidden="true" name="_bdm.3A8DF23D878641568DC5CCF28305CC8B.edm" vbProcedure="false">#REF!</definedName>
    <definedName function="false" hidden="true" name="_bdm.3aa8379ad6ca40369a23df031fa96808.edm" vbProcedure="false">#REF!</definedName>
    <definedName function="false" hidden="true" name="_bdm.3aada7dcc96e482d90ea2b87492dd9b7.edm" vbProcedure="false">#REF!</definedName>
    <definedName function="false" hidden="true" name="_bdm.3ad5b7146a3d45c5af9c5be6a0ec758b.edm" vbProcedure="false">#REF!</definedName>
    <definedName function="false" hidden="true" name="_bdm.3adffa034f1d408eac7124fc06e1748e.edm" vbProcedure="false">#REF!</definedName>
    <definedName function="false" hidden="true" name="_bdm.3b204cdea72e4fdba4bfa4bd1430f62b.edm" vbProcedure="false">#REF!</definedName>
    <definedName function="false" hidden="true" name="_bdm.3b21cc89c95b4615b580bd064ef08435.edm" vbProcedure="false">#REF!</definedName>
    <definedName function="false" hidden="true" name="_bdm.3b33c01a95ec47bab66fea5629f691d1.edm" vbProcedure="false">#REF!</definedName>
    <definedName function="false" hidden="true" name="_bdm.3b3da7bc8a0b4098ab531c61a0972386.edm" vbProcedure="false">#REF!</definedName>
    <definedName function="false" hidden="true" name="_bdm.3b4703414e9844b4aa6a3803b655d403.edm" vbProcedure="false">#REF!</definedName>
    <definedName function="false" hidden="true" name="_bdm.3B5573989AB6459F8EBB2701FED53CD9.edm" vbProcedure="false">#REF!</definedName>
    <definedName function="false" hidden="true" name="_bdm.3b8148e054ba45b9a1c86a2796ab2295.edm" vbProcedure="false">#REF!</definedName>
    <definedName function="false" hidden="true" name="_bdm.3b8edd0ea3d2440cbe300f163271811e.edm" vbProcedure="false">#REF!</definedName>
    <definedName function="false" hidden="true" name="_bdm.3bc718db80564f56934632f2d34b09cd.edm" vbProcedure="false">#REF!</definedName>
    <definedName function="false" hidden="true" name="_bdm.3bc888820a5943a5b6dac86490f0be05.edm" vbProcedure="false">#REF!</definedName>
    <definedName function="false" hidden="true" name="_bdm.3be1d16781684c4e81e34a48172a3732.edm" vbProcedure="false">#REF!</definedName>
    <definedName function="false" hidden="true" name="_bdm.3c4df24dd3c54e9a9fd7c9a00a9aebdb.edm" vbProcedure="false">#REF!</definedName>
    <definedName function="false" hidden="true" name="_bdm.3c58fdfc018247cfb6f81ebf349ef4d1.edm" vbProcedure="false">#REF!</definedName>
    <definedName function="false" hidden="true" name="_bdm.3c5ae3afbd6c4a3bb7d00f8bcb10acad.edm" vbProcedure="false">#REF!</definedName>
    <definedName function="false" hidden="true" name="_bdm.3cac10b54e674eacaf901903b46ceeff.edm" vbProcedure="false">#REF!</definedName>
    <definedName function="false" hidden="true" name="_bdm.3cb9f218aa5e44f0af4ddffa173a63d4.edm" vbProcedure="false">#REF!</definedName>
    <definedName function="false" hidden="true" name="_bdm.3cf416180a804a2fa4b7645ba66cfa79.edm" vbProcedure="false">#REF!</definedName>
    <definedName function="false" hidden="true" name="_bdm.3d14d9b38501481e8f0c6503f7214e73.edm" vbProcedure="false">#REF!</definedName>
    <definedName function="false" hidden="true" name="_bdm.3d2d599db1d74fd2b3120518e44b1408.edm" vbProcedure="false">#REF!</definedName>
    <definedName function="false" hidden="true" name="_bdm.3d53e1bd26234df58b0d6ec0d3e0226b.edm" vbProcedure="false">#REF!</definedName>
    <definedName function="false" hidden="true" name="_bdm.3d82aaf11d7446ecbb32eaad6f167a4a.edm" vbProcedure="false">#REF!</definedName>
    <definedName function="false" hidden="true" name="_bdm.3d8954991a0542bfb3bdc43116fe50c9.edm" vbProcedure="false">#REF!</definedName>
    <definedName function="false" hidden="true" name="_bdm.3d8a647edee84ff0b4372304b66edd42.edm" vbProcedure="false">#REF!</definedName>
    <definedName function="false" hidden="true" name="_bdm.3da6c731817f4ccea8a5a31a7d634c22.edm" vbProcedure="false">#REF!</definedName>
    <definedName function="false" hidden="true" name="_bdm.3dc29eadb0ef478999f56de1488bc4e8.edm" vbProcedure="false">#REF!</definedName>
    <definedName function="false" hidden="true" name="_bdm.3dc73858078a444586d262ef392e9aac.edm" vbProcedure="false">#REF!</definedName>
    <definedName function="false" hidden="true" name="_bdm.3dc75e732bdd4bd594287b36c176febf.edm" vbProcedure="false">#REF!</definedName>
    <definedName function="false" hidden="true" name="_bdm.3dec3acf70a149168a3c86340a3a879f.edm" vbProcedure="false">#REF!</definedName>
    <definedName function="false" hidden="true" name="_bdm.3df8bf72ff1946b4a251d60630e0404c.edm" vbProcedure="false">#REF!</definedName>
    <definedName function="false" hidden="true" name="_bdm.3e49514d7b094742acf78990430b9054.edm" vbProcedure="false">#REF!</definedName>
    <definedName function="false" hidden="true" name="_bdm.3e510566a7054aaf852a0b8e71371c85.edm" vbProcedure="false">#REF!</definedName>
    <definedName function="false" hidden="true" name="_bdm.3eb28b12ecdd4bca936ed0c89a343555.edm" vbProcedure="false">#REF!</definedName>
    <definedName function="false" hidden="true" name="_bdm.3eb641757aea45c5814fb82151d643fa.edm" vbProcedure="false">#REF!</definedName>
    <definedName function="false" hidden="true" name="_bdm.3ebd80ee381e446984d50e693ccc0fcb.edm" vbProcedure="false">#REF!</definedName>
    <definedName function="false" hidden="true" name="_bdm.3ee5006b70724c469c112a29e8b905cd.edm" vbProcedure="false">#REF!</definedName>
    <definedName function="false" hidden="true" name="_bdm.3f00922ac8484c81bf15e3ada1d05159.edm" vbProcedure="false">#REF!</definedName>
    <definedName function="false" hidden="true" name="_bdm.3f0c5927e07040d6bb55b4f51ed2481b.edm" vbProcedure="false">#REF!</definedName>
    <definedName function="false" hidden="true" name="_bdm.3f1c552f93fa4c9dbd8bb104729e4564.edm" vbProcedure="false">#REF!</definedName>
    <definedName function="false" hidden="true" name="_bdm.3fa2ec15792b447c9081e7a8780b869b.edm" vbProcedure="false">#REF!</definedName>
    <definedName function="false" hidden="true" name="_bdm.3fb6683f631b4155be294f812777f6da.edm" vbProcedure="false">#REF!</definedName>
    <definedName function="false" hidden="true" name="_bdm.3fbf02b249d54bfda195dec711071a5b.edm" vbProcedure="false">#REF!</definedName>
    <definedName function="false" hidden="true" name="_bdm.3fd22ec8d31742178d25a848950a3af5.edm" vbProcedure="false">#REF!</definedName>
    <definedName function="false" hidden="true" name="_bdm.3FD82FC855F34B27B8FAD951EDDECBFC.edm" vbProcedure="false">#REF!</definedName>
    <definedName function="false" hidden="true" name="_bdm.3FDD5502021344BAAA11FD5DF918CA94.edm" vbProcedure="false">#REF!</definedName>
    <definedName function="false" hidden="true" name="_bdm.3fecf2abccf44cc1b9065d1f975b756e.edm" vbProcedure="false">#REF!</definedName>
    <definedName function="false" hidden="true" name="_bdm.3fefb0fbec854fe7ac38ba2c439dcd79.edm" vbProcedure="false">#REF!</definedName>
    <definedName function="false" hidden="true" name="_bdm.3ff3164e571e4409bb59059d2c8b1a3c.edm" vbProcedure="false">#REF!</definedName>
    <definedName function="false" hidden="true" name="_bdm.3ff81731fa624e34bf57f3c2b347d6c2.edm" vbProcedure="false">#REF!</definedName>
    <definedName function="false" hidden="true" name="_bdm.4026c2b545864fe29c2617ebf0535714.edm" vbProcedure="false">#REF!</definedName>
    <definedName function="false" hidden="true" name="_bdm.4048183e5fee4fb99f79d29b853d2650.edm" vbProcedure="false">#REF!</definedName>
    <definedName function="false" hidden="true" name="_bdm.4076d375124d4b648b7cf13a06cadc81.edm" vbProcedure="false">#REF!</definedName>
    <definedName function="false" hidden="true" name="_bdm.407a27cda8334eddaed125b998082950.edm" vbProcedure="false">#REF!</definedName>
    <definedName function="false" hidden="true" name="_bdm.409e7db11c00440b87e9111802e71c61.edm" vbProcedure="false">#REF!</definedName>
    <definedName function="false" hidden="true" name="_bdm.40C060569D394544B5BDDF97C84FBDD5.edm" vbProcedure="false">#REF!</definedName>
    <definedName function="false" hidden="true" name="_bdm.40deb71ba24c4fa4b6c9489ba4b9de16.edm" vbProcedure="false">#REF!</definedName>
    <definedName function="false" hidden="true" name="_bdm.40e80440e5e44e6987bdf1370e1a7a72.edm" vbProcedure="false">#REF!</definedName>
    <definedName function="false" hidden="true" name="_bdm.41697901d3ea46edb53f098004b2603e.edm" vbProcedure="false">#REF!</definedName>
    <definedName function="false" hidden="true" name="_bdm.41989af32106443caf9dc650f51a0dcc.edm" vbProcedure="false">#REF!</definedName>
    <definedName function="false" hidden="true" name="_bdm.41adbfcd26314ac4b8e312c9429741b4.edm" vbProcedure="false">#REF!</definedName>
    <definedName function="false" hidden="true" name="_bdm.41bae07b62f847058574ef8708649fbb.edm" vbProcedure="false">#REF!</definedName>
    <definedName function="false" hidden="true" name="_bdm.41c7c1f5b2f249528d75af0e65239299.edm" vbProcedure="false">#REF!</definedName>
    <definedName function="false" hidden="true" name="_bdm.41e6ebf5865343d4987e75d12ac9e3d9.edm" vbProcedure="false">#REF!</definedName>
    <definedName function="false" hidden="true" name="_bdm.41e9fc12e38940ee828c9774951c410d.edm" vbProcedure="false">#REF!</definedName>
    <definedName function="false" hidden="true" name="_bdm.427ea54a43b343139d5732479dc7591d.edm" vbProcedure="false">#REF!</definedName>
    <definedName function="false" hidden="true" name="_bdm.42827b8f6bea46d6a38850c3f89c459b.edm" vbProcedure="false">#REF!</definedName>
    <definedName function="false" hidden="true" name="_bdm.42882494a294410a95573953ee80a271.edm" vbProcedure="false">#REF!</definedName>
    <definedName function="false" hidden="true" name="_bdm.43115f6b1da1468680885d27b1b07153.edm" vbProcedure="false">#REF!</definedName>
    <definedName function="false" hidden="true" name="_bdm.4321e388293e4dacb7553833f831ec44.edm" vbProcedure="false">#REF!</definedName>
    <definedName function="false" hidden="true" name="_bdm.432a57487f0c4659a0b0661db90bf801.edm" vbProcedure="false">#REF!</definedName>
    <definedName function="false" hidden="true" name="_bdm.438c96bc0c4c4f4597da3993c926dd59.edm" vbProcedure="false">#REF!</definedName>
    <definedName function="false" hidden="true" name="_bdm.439a95ce9c6b460ca10fbd2e53d89ae1.edm" vbProcedure="false">#REF!</definedName>
    <definedName function="false" hidden="true" name="_bdm.43b513b959ba48f19bd9c7c565db11ae.edm" vbProcedure="false">#REF!</definedName>
    <definedName function="false" hidden="true" name="_bdm.43bdd19adb064005bf31ffa6745fbd68.edm" vbProcedure="false">#REF!</definedName>
    <definedName function="false" hidden="true" name="_bdm.44135007080845a7987cbe699c02ba24.edm" vbProcedure="false">#REF!</definedName>
    <definedName function="false" hidden="true" name="_bdm.4416fdbdd9064eb6825b9c6c5baf08e0.edm" vbProcedure="false">#REF!</definedName>
    <definedName function="false" hidden="true" name="_bdm.446829dfbea54c7b94696cfb15c9fb88.edm" vbProcedure="false">#REF!</definedName>
    <definedName function="false" hidden="true" name="_bdm.44718eb335b1414bad66501ab1e4a4cd.edm" vbProcedure="false">#REF!</definedName>
    <definedName function="false" hidden="true" name="_bdm.449fa23ebafb4fc980999bd9794b7eed.edm" vbProcedure="false">#REF!</definedName>
    <definedName function="false" hidden="true" name="_bdm.44a4da51e8ae4c3eb29911d5f68b6a2a.edm" vbProcedure="false">#REF!</definedName>
    <definedName function="false" hidden="true" name="_bdm.44a9ffbff35444d8846c751d471232ad.edm" vbProcedure="false">#REF!</definedName>
    <definedName function="false" hidden="true" name="_bdm.44cb98312b364e11a2c92f2bf69c8160.edm" vbProcedure="false">#REF!</definedName>
    <definedName function="false" hidden="true" name="_bdm.44d73d22659e4f5186c201f967809744.edm" vbProcedure="false">#REF!</definedName>
    <definedName function="false" hidden="true" name="_bdm.4513864a3e974aeca78704ad7f919f40.edm" vbProcedure="false">#REF!</definedName>
    <definedName function="false" hidden="true" name="_bdm.45325067fef04ed3869caaa892bfaf5a.edm" vbProcedure="false">#REF!</definedName>
    <definedName function="false" hidden="true" name="_bdm.455bf86d0aba44b58e3d5d8a2299e78b.edm" vbProcedure="false">#REF!</definedName>
    <definedName function="false" hidden="true" name="_bdm.45768169185643a393bf70d1a388c0ff.edm" vbProcedure="false">#REF!</definedName>
    <definedName function="false" hidden="true" name="_bdm.457a287009d8406f87e2ff232359f98a.edm" vbProcedure="false">#REF!</definedName>
    <definedName function="false" hidden="true" name="_bdm.457d766664ec4d4da5275e28105ae9ca.edm" vbProcedure="false">#REF!</definedName>
    <definedName function="false" hidden="true" name="_bdm.45a7d626499b4fb2bde57e8ef6603974.edm" vbProcedure="false">#REF!</definedName>
    <definedName function="false" hidden="true" name="_bdm.45c5b8ce1dfc4bf497c4ed44ed043e60.edm" vbProcedure="false">#REF!</definedName>
    <definedName function="false" hidden="true" name="_bdm.45cebef5b59e43d8942950de1a09714b.edm" vbProcedure="false">#REF!</definedName>
    <definedName function="false" hidden="true" name="_bdm.45f1e7b770b34300a4b4f2763187523e.edm" vbProcedure="false">#REF!</definedName>
    <definedName function="false" hidden="true" name="_bdm.46702c2f076b4054bba9947daf2f9383.edm" vbProcedure="false">#REF!</definedName>
    <definedName function="false" hidden="true" name="_bdm.4679b4464b024f9e8ef03c6912905c91.edm" vbProcedure="false">#REF!</definedName>
    <definedName function="false" hidden="true" name="_bdm.468f1c93747542f0838152e10c713c91.edm" vbProcedure="false">#REF!</definedName>
    <definedName function="false" hidden="true" name="_bdm.469c982f3c74478d828a9852b85403be.edm" vbProcedure="false">#REF!</definedName>
    <definedName function="false" hidden="true" name="_bdm.46aa25e5b89a4ef4a4c241fdbbf5f7bc.edm" vbProcedure="false">#REF!</definedName>
    <definedName function="false" hidden="true" name="_bdm.46b5e5f2f22e40ae82bf885f33188994.edm" vbProcedure="false">#REF!</definedName>
    <definedName function="false" hidden="true" name="_bdm.46c294049ede454aa19bb3e4413433b6.edm" vbProcedure="false">#REF!</definedName>
    <definedName function="false" hidden="true" name="_bdm.46e52f0a89ed4a7c906da428a524ae9f.edm" vbProcedure="false">#REF!</definedName>
    <definedName function="false" hidden="true" name="_bdm.46edcee25cf049168f666faad5d59bfe.edm" vbProcedure="false">#REF!</definedName>
    <definedName function="false" hidden="true" name="_bdm.472fc5e1c98f4fdc9478db44bcd8a9ca.edm" vbProcedure="false">#REF!</definedName>
    <definedName function="false" hidden="true" name="_bdm.47363476e79b40a69393e4516f69da2e.edm" vbProcedure="false">#REF!</definedName>
    <definedName function="false" hidden="true" name="_bdm.474aa3b75022418e83c3be22a13eebf3.edm" vbProcedure="false">#REF!</definedName>
    <definedName function="false" hidden="true" name="_bdm.47b02126e4ed4c579f084af8a838b207.edm" vbProcedure="false">#REF!</definedName>
    <definedName function="false" hidden="true" name="_bdm.47bf0574e589474b87cac0166b87488c.edm" vbProcedure="false">#REF!</definedName>
    <definedName function="false" hidden="true" name="_bdm.47d3efb08bc249f6afeb92e89b484ad7.edm" vbProcedure="false">#REF!</definedName>
    <definedName function="false" hidden="true" name="_bdm.47fa5aef879b49c2b097f54631a7fd4e.edm" vbProcedure="false">#REF!</definedName>
    <definedName function="false" hidden="true" name="_bdm.480558feb69f4df4a1cc8f8b55b7337d.edm" vbProcedure="false">#REF!</definedName>
    <definedName function="false" hidden="true" name="_bdm.4819b05e2f5d43d596e5a85e02bdec21.edm" vbProcedure="false">#REF!</definedName>
    <definedName function="false" hidden="true" name="_bdm.48289606587a49d8828083ba87a592c7.edm" vbProcedure="false">#REF!</definedName>
    <definedName function="false" hidden="true" name="_bdm.4829138cea3e46e898f733d18a94efc5.edm" vbProcedure="false">#REF!</definedName>
    <definedName function="false" hidden="true" name="_bdm.484777be913e4e5788ec8b51e656d0dc.edm" vbProcedure="false">#REF!</definedName>
    <definedName function="false" hidden="true" name="_bdm.484863cc1d4742139d1e0e77814acb0a.edm" vbProcedure="false">#REF!</definedName>
    <definedName function="false" hidden="true" name="_bdm.48564ebdfcc34f2aa6481102140d6589.edm" vbProcedure="false">#REF!</definedName>
    <definedName function="false" hidden="true" name="_bdm.4877e683c1e4484dad2ae4bd7e212564.edm" vbProcedure="false">#REF!</definedName>
    <definedName function="false" hidden="true" name="_bdm.488d0f6f35b24be68635154f327c7ddb.edm" vbProcedure="false">#REF!</definedName>
    <definedName function="false" hidden="true" name="_bdm.488DB916BBAC4D2F916D1E3BB901F98D.edm" vbProcedure="false">#REF!</definedName>
    <definedName function="false" hidden="true" name="_bdm.4896c2c9309d4ae0a21de3bf08eae930.edm" vbProcedure="false">#REF!</definedName>
    <definedName function="false" hidden="true" name="_bdm.48d2c475527c41659798329d72219a3a.edm" vbProcedure="false">#REF!</definedName>
    <definedName function="false" hidden="true" name="_bdm.48e19ca8c8b54f3fa81508fa8b8a2a3a.edm" vbProcedure="false">#REF!</definedName>
    <definedName function="false" hidden="true" name="_bdm.490f05659ff640168dcab729cd9a0821.edm" vbProcedure="false">#REF!</definedName>
    <definedName function="false" hidden="true" name="_bdm.49261ce100854c69a114fb451ce8c0fd.edm" vbProcedure="false">#REF!</definedName>
    <definedName function="false" hidden="true" name="_bdm.4945d615a81b4a99b48d8d686f7f9ea1.edm" vbProcedure="false">#REF!</definedName>
    <definedName function="false" hidden="true" name="_bdm.495224349c7e421d8253ce0399561740.edm" vbProcedure="false">#REF!</definedName>
    <definedName function="false" hidden="true" name="_bdm.495735a06ae4446389b88aa2bf08ffb1.edm" vbProcedure="false">#REF!</definedName>
    <definedName function="false" hidden="true" name="_bdm.49605bed07884477be96b068a6146d3c.edm" vbProcedure="false">#REF!</definedName>
    <definedName function="false" hidden="true" name="_bdm.49ed40aabeac44f8a8639c30e546b1da.edm" vbProcedure="false">#REF!</definedName>
    <definedName function="false" hidden="true" name="_bdm.4a0990619ee24ac4a7d257e81eade7e0.edm" vbProcedure="false">#REF!</definedName>
    <definedName function="false" hidden="true" name="_bdm.4a1dcb3eaf984d56be6b24d8c2db944a.edm" vbProcedure="false">#REF!</definedName>
    <definedName function="false" hidden="true" name="_bdm.4a3e0bc6cbef4b75a04501b94d61f71f.edm" vbProcedure="false">#REF!</definedName>
    <definedName function="false" hidden="true" name="_bdm.4a42a47f5381431e8f641108284f7885.edm" vbProcedure="false">#REF!</definedName>
    <definedName function="false" hidden="true" name="_bdm.4a4a770ef6ad48978f3a1ab3309b177d.edm" vbProcedure="false">#REF!</definedName>
    <definedName function="false" hidden="true" name="_bdm.4a4d6bd8cfc54edca720d9c983252747.edm" vbProcedure="false">#REF!</definedName>
    <definedName function="false" hidden="true" name="_bdm.4a72694426af40cb8c00e79d541cc005.edm" vbProcedure="false">#REF!</definedName>
    <definedName function="false" hidden="true" name="_bdm.4A7FFB22EBF84410B299ED979580937D.edm" vbProcedure="false">#REF!</definedName>
    <definedName function="false" hidden="true" name="_bdm.4a8983ea628b4e2bb6ef85d1a84df0ea.edm" vbProcedure="false">#REF!</definedName>
    <definedName function="false" hidden="true" name="_bdm.4acdc71fbb1a48358a4157e1885f3102.edm" vbProcedure="false">#REF!</definedName>
    <definedName function="false" hidden="true" name="_bdm.4ad2733aa6124496a6fe4d1bcb79aeef.edm" vbProcedure="false">#REF!</definedName>
    <definedName function="false" hidden="true" name="_bdm.4afdea70879046cd96f1bda7d81a4867.edm" vbProcedure="false">#REF!</definedName>
    <definedName function="false" hidden="true" name="_bdm.4b3f749c1b3442bbb9eddaaf9adc9f9a.edm" vbProcedure="false">#REF!</definedName>
    <definedName function="false" hidden="true" name="_bdm.4b48edc7f07f40948040779b0c5d3ac8.edm" vbProcedure="false">#REF!</definedName>
    <definedName function="false" hidden="true" name="_bdm.4b6d6d93abe7452f932204f874ffe363.edm" vbProcedure="false">#REF!</definedName>
    <definedName function="false" hidden="true" name="_bdm.4bf0af535a61492ab6a335e558a424fa.edm" vbProcedure="false">#REF!</definedName>
    <definedName function="false" hidden="true" name="_bdm.4c9295732ae04aaebfebf56d9d984a79.edm" vbProcedure="false">#REF!</definedName>
    <definedName function="false" hidden="true" name="_bdm.4ca4483fdba643c6b5ad1d8950a0e400.edm" vbProcedure="false">#REF!</definedName>
    <definedName function="false" hidden="true" name="_bdm.4cae4f0264754e3abae699e5254db873.edm" vbProcedure="false">#REF!</definedName>
    <definedName function="false" hidden="true" name="_bdm.4cb815053be84e26a1bf2f9d6495deb3.edm" vbProcedure="false">#REF!</definedName>
    <definedName function="false" hidden="true" name="_bdm.4d168e1cb19d4cc29224727e1fc62e4a.edm" vbProcedure="false">#REF!</definedName>
    <definedName function="false" hidden="true" name="_bdm.4d1d663749ac4aa197315d0df713c7cf.edm" vbProcedure="false">#REF!</definedName>
    <definedName function="false" hidden="true" name="_bdm.4d3a12a4363a4e93a9f1d46f12dbe192.edm" vbProcedure="false">#REF!</definedName>
    <definedName function="false" hidden="true" name="_bdm.4d65a87b96e64a1b9cecf3e02dcc5153.edm" vbProcedure="false">#REF!</definedName>
    <definedName function="false" hidden="true" name="_bdm.4d6e95fcb1c94bfb82d9b56071abfdb6.edm" vbProcedure="false">#REF!</definedName>
    <definedName function="false" hidden="true" name="_bdm.4ddaa37714c744f4bb91299926d6d633.edm" vbProcedure="false">#REF!</definedName>
    <definedName function="false" hidden="true" name="_bdm.4e10d49e8a194d708c578a9da4f96566.edm" vbProcedure="false">#REF!</definedName>
    <definedName function="false" hidden="true" name="_bdm.4e205677de8c436a83b949d6ed348c74.edm" vbProcedure="false">#REF!</definedName>
    <definedName function="false" hidden="true" name="_bdm.4e4f96e03ca14b7281f189dc888cc06d.edm" vbProcedure="false">#REF!</definedName>
    <definedName function="false" hidden="true" name="_bdm.4e5802dd2a9c4dc293f68c3eae97d1b0.edm" vbProcedure="false">#REF!</definedName>
    <definedName function="false" hidden="true" name="_bdm.4e5a9055392a41068cebef86aa1f7690.edm" vbProcedure="false">#REF!</definedName>
    <definedName function="false" hidden="true" name="_bdm.4e5b4c2a45e741f081dbb1af64aa8fd3.edm" vbProcedure="false">#REF!</definedName>
    <definedName function="false" hidden="true" name="_bdm.4e8f813ef70e4eefbcaa17bd674ed456.edm" vbProcedure="false">#REF!</definedName>
    <definedName function="false" hidden="true" name="_bdm.4ea6444891b042d0917192d8759587d9.edm" vbProcedure="false">#REF!</definedName>
    <definedName function="false" hidden="true" name="_bdm.4F00AF8AD183418AB44EB2F8952D824D.edm" vbProcedure="false">#REF!</definedName>
    <definedName function="false" hidden="true" name="_bdm.4f04834cea854a1195acf9d8e6d2358d.edm" vbProcedure="false">#REF!</definedName>
    <definedName function="false" hidden="true" name="_bdm.4f06ea157f3d4b199f6ddbfffeb69ca2.edm" vbProcedure="false">#REF!</definedName>
    <definedName function="false" hidden="true" name="_bdm.4F3419EB7F574FACB885C5DD5329A41F.edm" vbProcedure="false">#REF!</definedName>
    <definedName function="false" hidden="true" name="_bdm.4f6b448775ae4675a0bade6142bec0a5.edm" vbProcedure="false">#REF!</definedName>
    <definedName function="false" hidden="true" name="_bdm.4f7ad02995b0421da81007f581407614.edm" vbProcedure="false">#REF!</definedName>
    <definedName function="false" hidden="true" name="_bdm.4f8357f12ebd49328a579f521eaadf4a.edm" vbProcedure="false">#REF!</definedName>
    <definedName function="false" hidden="true" name="_bdm.4fc41ef6cb37474aa90b1fce2998eaef.edm" vbProcedure="false">#REF!</definedName>
    <definedName function="false" hidden="true" name="_bdm.4fdf58352f3a4709bb07cd5372db44c0.edm" vbProcedure="false">#REF!</definedName>
    <definedName function="false" hidden="true" name="_bdm.500a2f49555246e79e9e40c8de9b8091.edm" vbProcedure="false">#REF!</definedName>
    <definedName function="false" hidden="true" name="_bdm.502b81c70baf4ecdab4af5ea32e9b745.edm" vbProcedure="false">#REF!</definedName>
    <definedName function="false" hidden="true" name="_bdm.5090f4dae1304e1da06196187cc4c7a9.edm" vbProcedure="false">#REF!</definedName>
    <definedName function="false" hidden="true" name="_bdm.50a9e76ba6834484ae3f20e09ca0e865.edm" vbProcedure="false">#REF!</definedName>
    <definedName function="false" hidden="true" name="_bdm.50e55734c9884e47beca6011b93b97a8.edm" vbProcedure="false">#REF!</definedName>
    <definedName function="false" hidden="true" name="_bdm.50f9901b2ea147519268f4d714d8c213.edm" vbProcedure="false">#REF!</definedName>
    <definedName function="false" hidden="true" name="_bdm.50fc78df4f5c412eb41925815d62b045.edm" vbProcedure="false">#REF!</definedName>
    <definedName function="false" hidden="true" name="_bdm.5142675416a64e4b872136b15c04afc3.edm" vbProcedure="false">#REF!</definedName>
    <definedName function="false" hidden="true" name="_bdm.5148cc7d213f47c6915815dc46f0b753.edm" vbProcedure="false">#REF!</definedName>
    <definedName function="false" hidden="true" name="_bdm.5150b84fa31943e7a7e7e5450c1d3eeb.edm" vbProcedure="false">#REF!</definedName>
    <definedName function="false" hidden="true" name="_bdm.51598f45e9ad479588d9af19b5bda942.edm" vbProcedure="false">#REF!</definedName>
    <definedName function="false" hidden="true" name="_bdm.519c3484149345e8a9c7d8662b276714.edm" vbProcedure="false">#REF!</definedName>
    <definedName function="false" hidden="true" name="_bdm.51ad447a66aa49eb903410d3d24c973d.edm" vbProcedure="false">#REF!</definedName>
    <definedName function="false" hidden="true" name="_bdm.51dacfabee8d468194e76cd10f722f1f.edm" vbProcedure="false">#REF!</definedName>
    <definedName function="false" hidden="true" name="_bdm.51dba896ea6c47b5bfb31ff576e475f3.edm" vbProcedure="false">#REF!</definedName>
    <definedName function="false" hidden="true" name="_bdm.51eab9d50f8f4976bbf8209395f86cb2.edm" vbProcedure="false">#REF!</definedName>
    <definedName function="false" hidden="true" name="_bdm.51f35bb8e5e34c6baadad85ebf09bac3.edm" vbProcedure="false">#REF!</definedName>
    <definedName function="false" hidden="true" name="_bdm.51fa94a18920443683eab25d392d0b2e.edm" vbProcedure="false">#REF!</definedName>
    <definedName function="false" hidden="true" name="_bdm.52114fb038c845a48f78c00ca07a3eee.edm" vbProcedure="false">#REF!</definedName>
    <definedName function="false" hidden="true" name="_bdm.524875d712884137b8529f8ec3ff0269.edm" vbProcedure="false">#REF!</definedName>
    <definedName function="false" hidden="true" name="_bdm.525aab5e442c4090b69a5544f31ecb64.edm" vbProcedure="false">#REF!</definedName>
    <definedName function="false" hidden="true" name="_bdm.527cbe3ed45145b4bc2f5fa1f7c20c93.edm" vbProcedure="false">#REF!</definedName>
    <definedName function="false" hidden="true" name="_bdm.52a15bfe771d481dacd9fd9388e7e5d1.edm" vbProcedure="false">#REF!</definedName>
    <definedName function="false" hidden="true" name="_bdm.52c1e83d2a0549adb024571b209ca808.edm" vbProcedure="false">#REF!</definedName>
    <definedName function="false" hidden="true" name="_bdm.52dee68e1547449e87ecbfa27032b560.edm" vbProcedure="false">#REF!</definedName>
    <definedName function="false" hidden="true" name="_bdm.52e2749ef2ea4531a7ea0a6b2774fb0c.edm" vbProcedure="false">#REF!</definedName>
    <definedName function="false" hidden="true" name="_bdm.534b60e343014f539a142e54f3e49d1b.edm" vbProcedure="false">#REF!</definedName>
    <definedName function="false" hidden="true" name="_bdm.536e6be8f6e94cba812f39fd2dd30440.edm" vbProcedure="false">#REF!</definedName>
    <definedName function="false" hidden="true" name="_bdm.537c6badc5764f02bceec4a86a2ef425.edm" vbProcedure="false">#REF!</definedName>
    <definedName function="false" hidden="true" name="_bdm.53b7232994d64ae1b8aa9df7a8b35ca7.edm" vbProcedure="false">#REF!</definedName>
    <definedName function="false" hidden="true" name="_bdm.53c0984b4ac848f88430fc2390e1a7be.edm" vbProcedure="false">#REF!</definedName>
    <definedName function="false" hidden="true" name="_bdm.53e4a9716ac9416b87e2c48ce69cfb9e.edm" vbProcedure="false">#REF!</definedName>
    <definedName function="false" hidden="true" name="_bdm.53f239aa857d4eaca1dbb61901161d78.edm" vbProcedure="false">#REF!</definedName>
    <definedName function="false" hidden="true" name="_bdm.5435f9cf46c84cc996a684412287bf2a.edm" vbProcedure="false">#REF!</definedName>
    <definedName function="false" hidden="true" name="_bdm.544fdd370fc5454dacfd9bdd033c13a7.edm" vbProcedure="false">#REF!</definedName>
    <definedName function="false" hidden="true" name="_bdm.545e9e80cc464d209266f7eda7d13ec9.edm" vbProcedure="false">#REF!</definedName>
    <definedName function="false" hidden="true" name="_bdm.547cb64481b143a5871a2af1fb13ab34.edm" vbProcedure="false">#REF!</definedName>
    <definedName function="false" hidden="true" name="_bdm.549d22261a9849e5b2631f8f2ce641bc.edm" vbProcedure="false">#REF!</definedName>
    <definedName function="false" hidden="true" name="_bdm.55028d2f4f55465d844179d3861202f5.edm" vbProcedure="false">#REF!</definedName>
    <definedName function="false" hidden="true" name="_bdm.55bd2f0c4f5b4f599189a5bb47e5dfb1.edm" vbProcedure="false">#REF!</definedName>
    <definedName function="false" hidden="true" name="_bdm.55df472617854ae088121de54f29dd7e.edm" vbProcedure="false">#REF!</definedName>
    <definedName function="false" hidden="true" name="_bdm.55ee61cccb6b49da94c2010b2baafdc5.edm" vbProcedure="false">#REF!</definedName>
    <definedName function="false" hidden="true" name="_bdm.560526af42c54e488b72d351388c4db5.edm" vbProcedure="false">#REF!</definedName>
    <definedName function="false" hidden="true" name="_bdm.5622c5ce66a84fe2a9f69a8e6147e06e.edm" vbProcedure="false">#REF!</definedName>
    <definedName function="false" hidden="true" name="_bdm.5635b844c4fd4c6bb937496115e444af.edm" vbProcedure="false">#REF!</definedName>
    <definedName function="false" hidden="true" name="_bdm.563b5029e1824bceaceff18bf0257783.edm" vbProcedure="false">#REF!</definedName>
    <definedName function="false" hidden="true" name="_bdm.564f5485ce1940b8be80338a7e5ddf0c.edm" vbProcedure="false">#REF!</definedName>
    <definedName function="false" hidden="true" name="_bdm.565a8d3add7a4563a4fadb29c6dcca34.edm" vbProcedure="false">#REF!</definedName>
    <definedName function="false" hidden="true" name="_bdm.56798d46f91a4d89898d907b35968ae0.edm" vbProcedure="false">#REF!</definedName>
    <definedName function="false" hidden="true" name="_bdm.567f424e2c734dc2b0aa084a5eca31a1.edm" vbProcedure="false">#REF!</definedName>
    <definedName function="false" hidden="true" name="_bdm.568ef54cb3a64f5eaba995436db72aa7.edm" vbProcedure="false">#REF!</definedName>
    <definedName function="false" hidden="true" name="_bdm.5695d270f4604a4e91474e4a9d6b56b0.edm" vbProcedure="false">#REF!</definedName>
    <definedName function="false" hidden="true" name="_bdm.56983c630e0b47d588ba67714ee5611a.edm" vbProcedure="false">#REF!</definedName>
    <definedName function="false" hidden="true" name="_bdm.569aa8cf46b6401d9766db5d24634a45.edm" vbProcedure="false">#REF!</definedName>
    <definedName function="false" hidden="true" name="_bdm.56a6366740184d8bb3ab49b22f217e19.edm" vbProcedure="false">#REF!</definedName>
    <definedName function="false" hidden="true" name="_bdm.56cb0d4397fd438eb35bff5562d992c2.edm" vbProcedure="false">#REF!</definedName>
    <definedName function="false" hidden="true" name="_bdm.56d087b094df4dd4b7ae81898d813354.edm" vbProcedure="false">#REF!</definedName>
    <definedName function="false" hidden="true" name="_bdm.56e1e9baee7f47b6b076c5221803255e.edm" vbProcedure="false">#REF!</definedName>
    <definedName function="false" hidden="true" name="_bdm.56ef4dae598044339d07db706d5c9cff.edm" vbProcedure="false">#REF!</definedName>
    <definedName function="false" hidden="true" name="_bdm.56fd59e88f7649e9b73cd6b6ddcfc03d.edm" vbProcedure="false">#REF!</definedName>
    <definedName function="false" hidden="true" name="_bdm.5728be3503c548db8cb265ecddd38a3d.edm" vbProcedure="false">#REF!</definedName>
    <definedName function="false" hidden="true" name="_bdm.57385bca7bbd42b28e33b7726bf8c77c.edm" vbProcedure="false">#REF!</definedName>
    <definedName function="false" hidden="true" name="_bdm.57388c25cc1d4099afb642ea2f22250b.edm" vbProcedure="false">#REF!</definedName>
    <definedName function="false" hidden="true" name="_bdm.5781acdb38bb48f8b9c1ec9bf7695604.edm" vbProcedure="false">#REF!</definedName>
    <definedName function="false" hidden="true" name="_bdm.579200ac115444d7bb21201148784ac1.edm" vbProcedure="false">#REF!</definedName>
    <definedName function="false" hidden="true" name="_bdm.57a00e5fcdea4ca586a251947db1d882.edm" vbProcedure="false">#REF!</definedName>
    <definedName function="false" hidden="true" name="_bdm.57e6d874be484e91b676d186620d34c3.edm" vbProcedure="false">#REF!</definedName>
    <definedName function="false" hidden="true" name="_bdm.57e8fa1523e04e0aacd474c4aada779f.edm" vbProcedure="false">#REF!</definedName>
    <definedName function="false" hidden="true" name="_bdm.57ec45a7c4a441de9820fcf6b00ce287.edm" vbProcedure="false">#REF!</definedName>
    <definedName function="false" hidden="true" name="_bdm.57fd16c2a4dd462b973fde1e299c0891.edm" vbProcedure="false">#REF!</definedName>
    <definedName function="false" hidden="true" name="_bdm.580a734e0826493986a8035dceceb9c2.edm" vbProcedure="false">#REF!</definedName>
    <definedName function="false" hidden="true" name="_bdm.581128ce93a748679f24d8f2ecb3fbe2.edm" vbProcedure="false">#REF!</definedName>
    <definedName function="false" hidden="true" name="_bdm.5852a1bb21194966879ffd1f070b68c7.edm" vbProcedure="false">#REF!</definedName>
    <definedName function="false" hidden="true" name="_bdm.587a01b7ebcc40cf8d5f70f262dc9908.edm" vbProcedure="false">#REF!</definedName>
    <definedName function="false" hidden="true" name="_bdm.589B7720E1C2409BA6A908201CD52ED3.edm" vbProcedure="false">#REF!</definedName>
    <definedName function="false" hidden="true" name="_bdm.5921f866f7e347ad961ac1405fb6554f.edm" vbProcedure="false">#REF!</definedName>
    <definedName function="false" hidden="true" name="_bdm.59276b80b93d45cf93a8e0ffbf3135a0.edm" vbProcedure="false">#REF!</definedName>
    <definedName function="false" hidden="true" name="_bdm.5936c008899e4f53ab7809002a295c0c.edm" vbProcedure="false">#REF!</definedName>
    <definedName function="false" hidden="true" name="_bdm.5940f31e010d4a37b22cb87840224b18.edm" vbProcedure="false">#REF!</definedName>
    <definedName function="false" hidden="true" name="_bdm.59488c5a6eef4d30b20d9d64defe1b34.edm" vbProcedure="false">#REF!</definedName>
    <definedName function="false" hidden="true" name="_bdm.596315fd99f7409592c348773efd8b6f.edm" vbProcedure="false">#REF!</definedName>
    <definedName function="false" hidden="true" name="_bdm.597d7da3aded481ba8fee7860165bb1b.edm" vbProcedure="false">#REF!</definedName>
    <definedName function="false" hidden="true" name="_bdm.5980894263ec4d0db95ef96d4deff242.edm" vbProcedure="false">#REF!</definedName>
    <definedName function="false" hidden="true" name="_bdm.599b03590b424314a6cafae652a1b74a.edm" vbProcedure="false">#REF!</definedName>
    <definedName function="false" hidden="true" name="_bdm.5a0d1c4e126947d4b7ca48d534a09518.edm" vbProcedure="false">#REF!</definedName>
    <definedName function="false" hidden="true" name="_bdm.5a590d1806df408faaa23e50640cbfdf.edm" vbProcedure="false">#REF!</definedName>
    <definedName function="false" hidden="true" name="_bdm.5a5af430121e4bcc887af0aa5fb1f017.edm" vbProcedure="false">#REF!</definedName>
    <definedName function="false" hidden="true" name="_bdm.5a8b8302902445aab453ab605fbb2d28.edm" vbProcedure="false">#REF!</definedName>
    <definedName function="false" hidden="true" name="_bdm.5a8f94aa88b8433c8cf2a47e40db6f0c.edm" vbProcedure="false">#REF!</definedName>
    <definedName function="false" hidden="true" name="_bdm.5a9c0c7922fc46878f336d5d0cf37644.edm" vbProcedure="false">#REF!</definedName>
    <definedName function="false" hidden="true" name="_bdm.5B815D7F864D4CA1A483F4EAEC43C796.edm" vbProcedure="false">#REF!</definedName>
    <definedName function="false" hidden="true" name="_bdm.5b8bd9e82aa84b20991d0d97d4d6eddf.edm" vbProcedure="false">#REF!</definedName>
    <definedName function="false" hidden="true" name="_bdm.5b9b8ebaa8ca41dfaa014dae6e285963.edm" vbProcedure="false">#REF!</definedName>
    <definedName function="false" hidden="true" name="_bdm.5b9ba88c3e2641f9aef508b76a1dba58.edm" vbProcedure="false">#REF!</definedName>
    <definedName function="false" hidden="true" name="_bdm.5bf2374d05184a8abf303f22392b29f8.edm" vbProcedure="false">#REF!</definedName>
    <definedName function="false" hidden="true" name="_bdm.5bf711bdc8bc446682c63929a68b9b2c.edm" vbProcedure="false">#REF!</definedName>
    <definedName function="false" hidden="true" name="_bdm.5c033be235214ae7b6187f55801dd8d3.edm" vbProcedure="false">#REF!</definedName>
    <definedName function="false" hidden="true" name="_bdm.5c172c00855f43c596bcfab1aa2f14a9.edm" vbProcedure="false">#REF!</definedName>
    <definedName function="false" hidden="true" name="_bdm.5c476a3e50f24a19a8ed4aeda4b01ec1.edm" vbProcedure="false">#REF!</definedName>
    <definedName function="false" hidden="true" name="_bdm.5c4c937bb29742af8012fc571c478177.edm" vbProcedure="false">#REF!</definedName>
    <definedName function="false" hidden="true" name="_bdm.5c550507137d4247bf76f285a6121231.edm" vbProcedure="false">#REF!</definedName>
    <definedName function="false" hidden="true" name="_bdm.5cb88fe5a37b490b80977a75a21c79c5.edm" vbProcedure="false">#REF!</definedName>
    <definedName function="false" hidden="true" name="_bdm.5cc4ceea3fb84512b8e2009dbb3047d4.edm" vbProcedure="false">#REF!</definedName>
    <definedName function="false" hidden="true" name="_bdm.5cce81406efb437688a3b36975a98095.edm" vbProcedure="false">#REF!</definedName>
    <definedName function="false" hidden="true" name="_bdm.5ce3c083d3e94913b7b6fdc6f2397583.edm" vbProcedure="false">#REF!</definedName>
    <definedName function="false" hidden="true" name="_bdm.5d09c9cecffe49acbc0aac593c20e626.edm" vbProcedure="false">#REF!</definedName>
    <definedName function="false" hidden="true" name="_bdm.5d10ce2b4a26470ca42e6149fc73994e.edm" vbProcedure="false">#REF!</definedName>
    <definedName function="false" hidden="true" name="_bdm.5d582eb20fa040f9955ecc3013e919a8.edm" vbProcedure="false">#REF!</definedName>
    <definedName function="false" hidden="true" name="_bdm.5da2bb19a3cf4a49ad7dcda4daffd3f8.edm" vbProcedure="false">#REF!</definedName>
    <definedName function="false" hidden="true" name="_bdm.5db2b985fd274e49a80be678158d5c01.edm" vbProcedure="false">#REF!</definedName>
    <definedName function="false" hidden="true" name="_bdm.5e158389fbf9443ab408c30b1ea4aca4.edm" vbProcedure="false">#REF!</definedName>
    <definedName function="false" hidden="true" name="_bdm.5e5d737f91724920bab1157fc711f901.edm" vbProcedure="false">#REF!</definedName>
    <definedName function="false" hidden="true" name="_bdm.5e8c7fc175ad4181bc12706d97b50140.edm" vbProcedure="false">#REF!</definedName>
    <definedName function="false" hidden="true" name="_bdm.5e8f8107988f44c9bfbb9ad3adb65f4c.edm" vbProcedure="false">#REF!</definedName>
    <definedName function="false" hidden="true" name="_bdm.5ea283508e944c248b65e313571536da.edm" vbProcedure="false">#REF!</definedName>
    <definedName function="false" hidden="true" name="_bdm.5ec87801bd8642ceafa95b5352956eea.edm" vbProcedure="false">#REF!</definedName>
    <definedName function="false" hidden="true" name="_bdm.5f035699d1404b69bb7b25babfb7ebcc.edm" vbProcedure="false">#REF!</definedName>
    <definedName function="false" hidden="true" name="_bdm.5f194e5c79fe487f90caac17f27ec1f8.edm" vbProcedure="false">#REF!</definedName>
    <definedName function="false" hidden="true" name="_bdm.5f1f4d167cd7430bb7f8b599c1036d18.edm" vbProcedure="false">#REF!</definedName>
    <definedName function="false" hidden="true" name="_bdm.5f306e663fc847b2ae24905019733b93.edm" vbProcedure="false">#REF!</definedName>
    <definedName function="false" hidden="true" name="_bdm.5f609f6e70e24022b44f715831a0c1c1.edm" vbProcedure="false">#REF!</definedName>
    <definedName function="false" hidden="true" name="_bdm.5f7d7394fd1e474ab6f4dd09d0fe2db6.edm" vbProcedure="false">#REF!</definedName>
    <definedName function="false" hidden="true" name="_bdm.5f999cad7095419ab67b07b8fa7c72d4.edm" vbProcedure="false">#REF!</definedName>
    <definedName function="false" hidden="true" name="_bdm.5fada6f1867043a9b3a560793cc3d54f.edm" vbProcedure="false">#REF!</definedName>
    <definedName function="false" hidden="true" name="_bdm.5fba71422e084f83b33db2e18e2fd6fc.edm" vbProcedure="false">#REF!</definedName>
    <definedName function="false" hidden="true" name="_bdm.5fc2714976d84c8abbc486ee06c38a63.edm" vbProcedure="false">#REF!</definedName>
    <definedName function="false" hidden="true" name="_bdm.5fc4823ab2714224969db7c8ed46d746.edm" vbProcedure="false">#REF!</definedName>
    <definedName function="false" hidden="true" name="_bdm.5ff6b9457b69478795f117c064baf307.edm" vbProcedure="false">#REF!</definedName>
    <definedName function="false" hidden="true" name="_bdm.5ffc1faba7b04fb298f1a5ab8fa1e9e8.edm" vbProcedure="false">#REF!</definedName>
    <definedName function="false" hidden="true" name="_bdm.6035c8cc279d4105ba81fc49074f58ac.edm" vbProcedure="false">#REF!</definedName>
    <definedName function="false" hidden="true" name="_bdm.6051d0f848a84a2598b17d59d310a43d.edm" vbProcedure="false">#REF!</definedName>
    <definedName function="false" hidden="true" name="_bdm.60a1d760e53149d8a2f9bf7a9142435e.edm" vbProcedure="false">#REF!</definedName>
    <definedName function="false" hidden="true" name="_bdm.60de6466a6bc4a1684f0e93c6ec26261.edm" vbProcedure="false">#REF!</definedName>
    <definedName function="false" hidden="true" name="_bdm.60def105fe104efcbd5b5340beaa6409.edm" vbProcedure="false">#REF!</definedName>
    <definedName function="false" hidden="true" name="_bdm.60fbd32abe884332a04ee2733109a9f8.edm" vbProcedure="false">#REF!</definedName>
    <definedName function="false" hidden="true" name="_bdm.61109c78ad214c76aa3ddb94ffc51b2f.edm" vbProcedure="false">#REF!</definedName>
    <definedName function="false" hidden="true" name="_bdm.61110e93f3884f4782e3d1881f8ea7f8.edm" vbProcedure="false">#REF!</definedName>
    <definedName function="false" hidden="true" name="_bdm.612d2e7c87be422ea634cb00fd96b92d.edm" vbProcedure="false">#REF!</definedName>
    <definedName function="false" hidden="true" name="_bdm.613fb959cae04904aa2b211d8c7868e2.edm" vbProcedure="false">#REF!</definedName>
    <definedName function="false" hidden="true" name="_bdm.616de68f77e44ce2a7c2df07b10430a9.edm" vbProcedure="false">#REF!</definedName>
    <definedName function="false" hidden="true" name="_bdm.6191a14c0ea14dc1afaae4b383e38378.edm" vbProcedure="false">#REF!</definedName>
    <definedName function="false" hidden="true" name="_bdm.61dbb0ef2e91436ab1b9ba3d171f816b.edm" vbProcedure="false">#REF!</definedName>
    <definedName function="false" hidden="true" name="_bdm.620ec872b2044b378d97130666510d8a.edm" vbProcedure="false">#REF!</definedName>
    <definedName function="false" hidden="true" name="_bdm.622c5c118b3648e29870331518f6979f.edm" vbProcedure="false">#REF!</definedName>
    <definedName function="false" hidden="true" name="_bdm.6297a27599234041874589f012f1b068.edm" vbProcedure="false">#REF!</definedName>
    <definedName function="false" hidden="true" name="_bdm.629bffa6089a465abd108e6982cead04.edm" vbProcedure="false">#REF!</definedName>
    <definedName function="false" hidden="true" name="_bdm.629dfa9000814e24b7f130e6f758bb3d.edm" vbProcedure="false">#REF!</definedName>
    <definedName function="false" hidden="true" name="_bdm.631935781166488ba20f46f6b5d7c98f.edm" vbProcedure="false">#REF!</definedName>
    <definedName function="false" hidden="true" name="_bdm.632a7b0598bf4982bf9ad0db6ea14f6f.edm" vbProcedure="false">#REF!</definedName>
    <definedName function="false" hidden="true" name="_bdm.633573ec173a4f619622779022945ec5.edm" vbProcedure="false">#REF!</definedName>
    <definedName function="false" hidden="true" name="_bdm.6375a47fac8c47df9a8ecf27a4f35714.edm" vbProcedure="false">#REF!</definedName>
    <definedName function="false" hidden="true" name="_bdm.6376c8f27c494c638ad2e7df37109fe3.edm" vbProcedure="false">#REF!</definedName>
    <definedName function="false" hidden="true" name="_bdm.6399203ca75440d9a21077a2563cf5e9.edm" vbProcedure="false">#REF!</definedName>
    <definedName function="false" hidden="true" name="_bdm.63aaa27d0a7146edbf805c0597a098b3.edm" vbProcedure="false">#REF!</definedName>
    <definedName function="false" hidden="true" name="_bdm.63b114ef8f86453d88341cffe6188fe2.edm" vbProcedure="false">#REF!</definedName>
    <definedName function="false" hidden="true" name="_bdm.63b4cfcda0da414595065d0c6cafac83.edm" vbProcedure="false">#REF!</definedName>
    <definedName function="false" hidden="true" name="_bdm.6413eccaa9414ad89fd0010b87979a70.edm" vbProcedure="false">#REF!</definedName>
    <definedName function="false" hidden="true" name="_bdm.641dc7a52c104e9abd1f44195227b0d2.edm" vbProcedure="false">#REF!</definedName>
    <definedName function="false" hidden="true" name="_bdm.643105E3E9D64C63AA6919F96D1EB9E3.edm" vbProcedure="false">#REF!</definedName>
    <definedName function="false" hidden="true" name="_bdm.6431e3b51c634405858b2b961b54a3b5.edm" vbProcedure="false">#REF!</definedName>
    <definedName function="false" hidden="true" name="_bdm.645d3184a2254e22ab5f6c9d2a16c591.edm" vbProcedure="false">#REF!</definedName>
    <definedName function="false" hidden="true" name="_bdm.6464f3d6cd074512b49764419019b5b1.edm" vbProcedure="false">#REF!</definedName>
    <definedName function="false" hidden="true" name="_bdm.646da093b08d480a8ba30d65457d6449.edm" vbProcedure="false">#REF!</definedName>
    <definedName function="false" hidden="true" name="_bdm.649adae95dd84a6988ed722676ac94bc.edm" vbProcedure="false">#REF!</definedName>
    <definedName function="false" hidden="true" name="_bdm.64aa17addaf446a981f2562f873799cd.edm" vbProcedure="false">#REF!</definedName>
    <definedName function="false" hidden="true" name="_bdm.64f0926256fe4f58be43f600ba89c1da.edm" vbProcedure="false">#REF!</definedName>
    <definedName function="false" hidden="true" name="_bdm.6506a810d50a4a54ac36da22ca5c82d1.edm" vbProcedure="false">#REF!</definedName>
    <definedName function="false" hidden="true" name="_bdm.653E5095E43041CB9D66D102EBB27481.edm" vbProcedure="false">#REF!</definedName>
    <definedName function="false" hidden="true" name="_bdm.654c814f983643cda4266573b9175a36.edm" vbProcedure="false">#REF!</definedName>
    <definedName function="false" hidden="true" name="_bdm.656392c17a8e44328b3449766691fa7f.edm" vbProcedure="false">#REF!</definedName>
    <definedName function="false" hidden="true" name="_bdm.65725054bd5141bea2ce0d451a6eabb1.edm" vbProcedure="false">#REF!</definedName>
    <definedName function="false" hidden="true" name="_bdm.658b2814adea44b680b75ebf117c0ea8.edm" vbProcedure="false">#REF!</definedName>
    <definedName function="false" hidden="true" name="_bdm.65b61234a9314ae2ae01938a10b7a650.edm" vbProcedure="false">#REF!</definedName>
    <definedName function="false" hidden="true" name="_bdm.65e83128f0e34acb90ac9482f49e567f.edm" vbProcedure="false">#REF!</definedName>
    <definedName function="false" hidden="true" name="_bdm.662ce352b53f49769c2d60345d750001.edm" vbProcedure="false">#REF!</definedName>
    <definedName function="false" hidden="true" name="_bdm.666ad11a63064dacb03f07a990e626b8.edm" vbProcedure="false">#REF!</definedName>
    <definedName function="false" hidden="true" name="_bdm.6670ED0555404106BC4845B4891AA511.edm" vbProcedure="false">#REF!</definedName>
    <definedName function="false" hidden="true" name="_bdm.6679a24724eb40c28f4eed7348106a2c.edm" vbProcedure="false">#REF!</definedName>
    <definedName function="false" hidden="true" name="_bdm.667d8f480af549b9b992dd6944b06baf.edm" vbProcedure="false">#REF!</definedName>
    <definedName function="false" hidden="true" name="_bdm.6696f142acb841c6bc974774373f665d.edm" vbProcedure="false">#REF!</definedName>
    <definedName function="false" hidden="true" name="_bdm.669813b4719341a38f2ded3f36b291fc.edm" vbProcedure="false">#REF!</definedName>
    <definedName function="false" hidden="true" name="_bdm.66f595bc15b64ca2b55a46c37eb42165.edm" vbProcedure="false">#REF!</definedName>
    <definedName function="false" hidden="true" name="_bdm.673ad7bd2387421493d74a607945dbf8.edm" vbProcedure="false">#REF!</definedName>
    <definedName function="false" hidden="true" name="_bdm.673ef893e6f942f1a69436b51f4a018c.edm" vbProcedure="false">#REF!</definedName>
    <definedName function="false" hidden="true" name="_bdm.677c6556c6fe491fb6e079f3f8a884d4.edm" vbProcedure="false">#REF!</definedName>
    <definedName function="false" hidden="true" name="_bdm.67b618eae7e3401f86f0846ee2fde318.edm" vbProcedure="false">#REF!</definedName>
    <definedName function="false" hidden="true" name="_bdm.67c1ef477fbe4f4caef74fbbcac2519d.edm" vbProcedure="false">#REF!</definedName>
    <definedName function="false" hidden="true" name="_bdm.67c82df1d4a74520b756fb8be5371c9c.edm" vbProcedure="false">#REF!</definedName>
    <definedName function="false" hidden="true" name="_bdm.67d413ca62a842f5bded7c0bcfa89bce.edm" vbProcedure="false">#REF!</definedName>
    <definedName function="false" hidden="true" name="_bdm.681411b405d54f029aa33be4d8a5b141.edm" vbProcedure="false">#REF!</definedName>
    <definedName function="false" hidden="true" name="_bdm.68237296191542f7a566cc07b899db51.edm" vbProcedure="false">#REF!</definedName>
    <definedName function="false" hidden="true" name="_bdm.68460e85cbf54c46b8fea5e37a526c8c.edm" vbProcedure="false">#REF!</definedName>
    <definedName function="false" hidden="true" name="_bdm.686663e6e9d84b7280148e62167eae0c.edm" vbProcedure="false">#REF!</definedName>
    <definedName function="false" hidden="true" name="_bdm.68bfe788c6b142b58ec49b6d9efa3477.edm" vbProcedure="false">#REF!</definedName>
    <definedName function="false" hidden="true" name="_bdm.68d32cf392f747c38954920cb350badc.edm" vbProcedure="false">#REF!</definedName>
    <definedName function="false" hidden="true" name="_bdm.68f9b09081c547f98fa7430903c9d97c.edm" vbProcedure="false">#REF!</definedName>
    <definedName function="false" hidden="true" name="_bdm.692c6ace2e4146258adb86f50682dca9.edm" vbProcedure="false">#REF!</definedName>
    <definedName function="false" hidden="true" name="_bdm.6940f5a0e5f84aeda052f0dfcfcbabfe.edm" vbProcedure="false">#REF!</definedName>
    <definedName function="false" hidden="true" name="_bdm.694a10b223d2410ea2dfe5e4360ce9c3.edm" vbProcedure="false">#REF!</definedName>
    <definedName function="false" hidden="true" name="_bdm.695009459fa143be84c8c85d563cde05.edm" vbProcedure="false">#REF!</definedName>
    <definedName function="false" hidden="true" name="_bdm.695e7d02e35b47e5a082bb5d26b8a880.edm" vbProcedure="false">#REF!</definedName>
    <definedName function="false" hidden="true" name="_bdm.69a1322e59194763808cfc9fc5ca613e.edm" vbProcedure="false">#REF!</definedName>
    <definedName function="false" hidden="true" name="_bdm.69bedb69d31d4fefb5e23d7302a8a057.edm" vbProcedure="false">#REF!</definedName>
    <definedName function="false" hidden="true" name="_bdm.69c3d0d1d70844edb0e459d1ff281ca9.edm" vbProcedure="false">#REF!</definedName>
    <definedName function="false" hidden="true" name="_bdm.6a183fe2223f4e8bb0185d14dfa8c742.edm" vbProcedure="false">#REF!</definedName>
    <definedName function="false" hidden="true" name="_bdm.6a3f02844f5046299bfe42e2498c4fac.edm" vbProcedure="false">#REF!</definedName>
    <definedName function="false" hidden="true" name="_bdm.6a4e829615e8459d8b4d5c269db8ca7b.edm" vbProcedure="false">#REF!</definedName>
    <definedName function="false" hidden="true" name="_bdm.6a5d749f0462412ebf267e5e072ea690.edm" vbProcedure="false">#REF!</definedName>
    <definedName function="false" hidden="true" name="_bdm.6a872b757cf04eb992625591e126dab3.edm" vbProcedure="false">#REF!</definedName>
    <definedName function="false" hidden="true" name="_bdm.6aa2921b52e64c14bb2ddb658de8c4c7.edm" vbProcedure="false">#REF!</definedName>
    <definedName function="false" hidden="true" name="_bdm.6ab1af6ccfe34bd0aa4c0b778601911f.edm" vbProcedure="false">#REF!</definedName>
    <definedName function="false" hidden="true" name="_bdm.6acc0fdb347d4680aaf1394a5eedf457.edm" vbProcedure="false">#REF!</definedName>
    <definedName function="false" hidden="true" name="_bdm.6b1125e688d244cf9a2966e9e8c938e3.edm" vbProcedure="false">#REF!</definedName>
    <definedName function="false" hidden="true" name="_bdm.6b2696a7711a4c8c9274c4744a5c8eb0.edm" vbProcedure="false">#REF!</definedName>
    <definedName function="false" hidden="true" name="_bdm.6b2e2639df394a4e8530870b7c174dd6.edm" vbProcedure="false">#REF!</definedName>
    <definedName function="false" hidden="true" name="_bdm.6b31570b86504319afe2b72b02e27c79.edm" vbProcedure="false">#REF!</definedName>
    <definedName function="false" hidden="true" name="_bdm.6b3a01867e5441daa84400e4102ab591.edm" vbProcedure="false">#REF!</definedName>
    <definedName function="false" hidden="true" name="_bdm.6b3b684fcb434190bf5f45cb697ac30c.edm" vbProcedure="false">#REF!</definedName>
    <definedName function="false" hidden="true" name="_bdm.6bbd935d21384848b82dce209cfb884b.edm" vbProcedure="false">#REF!</definedName>
    <definedName function="false" hidden="true" name="_bdm.6bdc4b66e43743a0b9c2369bee74d72e.edm" vbProcedure="false">#REF!</definedName>
    <definedName function="false" hidden="true" name="_bdm.6c010b0373f74fb7b98a96d8eacf5baa.edm" vbProcedure="false">#REF!</definedName>
    <definedName function="false" hidden="true" name="_bdm.6c065c4a2ec8486f84c31fab0f199529.edm" vbProcedure="false">#REF!</definedName>
    <definedName function="false" hidden="true" name="_bdm.6c16eef79808453d8a37204341f769cd.edm" vbProcedure="false">#REF!</definedName>
    <definedName function="false" hidden="true" name="_bdm.6c2430b94c514c6c98167cdf1e5e6dc9.edm" vbProcedure="false">#REF!</definedName>
    <definedName function="false" hidden="true" name="_bdm.6c29221dff504706a906491c138b2c8b.edm" vbProcedure="false">#REF!</definedName>
    <definedName function="false" hidden="true" name="_bdm.6c3540677bd348fdb52d4edf78a88c94.edm" vbProcedure="false">#REF!</definedName>
    <definedName function="false" hidden="true" name="_bdm.6c41c2e1a5e04438bf55d7e33af42406.edm" vbProcedure="false">#REF!</definedName>
    <definedName function="false" hidden="true" name="_bdm.6c588486fc554b77a37b05604318c398.edm" vbProcedure="false">#REF!</definedName>
    <definedName function="false" hidden="true" name="_bdm.6c932067650c46aca04cf1acef44d5d6.edm" vbProcedure="false">#REF!</definedName>
    <definedName function="false" hidden="true" name="_bdm.6c9f68dfbf4747709b8c91d936198d42.edm" vbProcedure="false">#REF!</definedName>
    <definedName function="false" hidden="true" name="_bdm.6ccb18cf4b2a48feaf82cce67a81b3f6.edm" vbProcedure="false">#REF!</definedName>
    <definedName function="false" hidden="true" name="_bdm.6d033135318c4095b88ff381af7f07a4.edm" vbProcedure="false">#REF!</definedName>
    <definedName function="false" hidden="true" name="_bdm.6d1d835884f346ba8a6c7efbd111ae8f.edm" vbProcedure="false">#REF!</definedName>
    <definedName function="false" hidden="true" name="_bdm.6d1f2d8c53cf419abf9b1ffe1d58584b.edm" vbProcedure="false">#REF!</definedName>
    <definedName function="false" hidden="true" name="_bdm.6d29a8d30fc94f0fa1fe254e0164c450.edm" vbProcedure="false">#REF!</definedName>
    <definedName function="false" hidden="true" name="_bdm.6d32d43bec924bce9b5f1b67a3a71bd6.edm" vbProcedure="false">#REF!</definedName>
    <definedName function="false" hidden="true" name="_bdm.6d39a84999f44678826c1ac5d7e6fc74.edm" vbProcedure="false">#REF!</definedName>
    <definedName function="false" hidden="true" name="_bdm.6d3df5b752844ecc902a14cc3036331a.edm" vbProcedure="false">#REF!</definedName>
    <definedName function="false" hidden="true" name="_bdm.6d5258cfb69a4c4f8a0a0245e45cfded.edm" vbProcedure="false">#REF!</definedName>
    <definedName function="false" hidden="true" name="_bdm.6d6fbe341fda4c0cb9e095a87e5c0c82.edm" vbProcedure="false">#REF!</definedName>
    <definedName function="false" hidden="true" name="_bdm.6db57045c6074b0fb91bf62984a6466f.edm" vbProcedure="false">#REF!</definedName>
    <definedName function="false" hidden="true" name="_bdm.6dc1c75a5500418b8b34d8fb976e948e.edm" vbProcedure="false">#REF!</definedName>
    <definedName function="false" hidden="true" name="_bdm.6DEC288129FA48649D0D88EDC3D45A17.edm" vbProcedure="false">#REF!</definedName>
    <definedName function="false" hidden="true" name="_bdm.6df2725480664fe88b7fd0d9f0e6fdec.edm" vbProcedure="false">#REF!</definedName>
    <definedName function="false" hidden="true" name="_bdm.6df9e683884544faaf14bcdcd9daf409.edm" vbProcedure="false">#REF!</definedName>
    <definedName function="false" hidden="true" name="_bdm.6e1d622775634975a15dab4ef5c1de81.edm" vbProcedure="false">#REF!</definedName>
    <definedName function="false" hidden="true" name="_bdm.6e258d9bf88c43fc8413e357a3fa4f5a.edm" vbProcedure="false">#REF!</definedName>
    <definedName function="false" hidden="true" name="_bdm.6e3304628d63412ca053ae906c3dcf19.edm" vbProcedure="false">#REF!</definedName>
    <definedName function="false" hidden="true" name="_bdm.6e5422b8c04b453297a1f3567d30a316.edm" vbProcedure="false">#REF!</definedName>
    <definedName function="false" hidden="true" name="_bdm.6e64587b31a54c12b9d0468456a4efc2.edm" vbProcedure="false">#REF!</definedName>
    <definedName function="false" hidden="true" name="_bdm.6e7af2df6ca64f629a2f13e2079f1368.edm" vbProcedure="false">#REF!</definedName>
    <definedName function="false" hidden="true" name="_bdm.6e88f2da29fe4da99c918bb1b354b854.edm" vbProcedure="false">#REF!</definedName>
    <definedName function="false" hidden="true" name="_bdm.6E9FB3AA8E1B4ABC901E07C2F09D4DA7.edm" vbProcedure="false">#REF!</definedName>
    <definedName function="false" hidden="true" name="_bdm.6ea9ee0967ff4866a58f4995f4661e6d.edm" vbProcedure="false">#REF!</definedName>
    <definedName function="false" hidden="true" name="_bdm.6edc43991e244d6c87f74c3fcf8bfbd6.edm" vbProcedure="false">#REF!</definedName>
    <definedName function="false" hidden="true" name="_bdm.6eef02bdd11d482dafa7691bccfe7f8f.edm" vbProcedure="false">#REF!</definedName>
    <definedName function="false" hidden="true" name="_bdm.6f1dc2a83d4747c3b698294124b96ece.edm" vbProcedure="false">#REF!</definedName>
    <definedName function="false" hidden="true" name="_bdm.6f3fbbb4e35548f3ac7db191a9be019e.edm" vbProcedure="false">#REF!</definedName>
    <definedName function="false" hidden="true" name="_bdm.6f4cae76b4d0457e8af5414fc2f4491a.edm" vbProcedure="false">#REF!</definedName>
    <definedName function="false" hidden="true" name="_bdm.6f8440b2562b46eba81b5a2bd74ba6a0.edm" vbProcedure="false">#REF!</definedName>
    <definedName function="false" hidden="true" name="_bdm.6fc581c8a02e43d2bc9806f038ff430b.edm" vbProcedure="false">#REF!</definedName>
    <definedName function="false" hidden="true" name="_bdm.6fdb2f3c3a3941b1a6793d67c5fc3808.edm" vbProcedure="false">#REF!</definedName>
    <definedName function="false" hidden="true" name="_bdm.6ff6bfdae2cc497fa0405edbfa545213.edm" vbProcedure="false">#REF!</definedName>
    <definedName function="false" hidden="true" name="_bdm.7050fab9dbe44009a2395d307547c806.edm" vbProcedure="false">#REF!</definedName>
    <definedName function="false" hidden="true" name="_bdm.70A4E76C716C48ABB38B4D811D64AAA4.edm" vbProcedure="false">#REF!</definedName>
    <definedName function="false" hidden="true" name="_bdm.70A53CAC54DE41F6A05E301D686A126F.edm" vbProcedure="false">#REF!</definedName>
    <definedName function="false" hidden="true" name="_bdm.70f8789c18fd4969982204bde8ed966d.edm" vbProcedure="false">#REF!</definedName>
    <definedName function="false" hidden="true" name="_bdm.710eb33a5a184ed7a67efb671286d74a.edm" vbProcedure="false">#REF!</definedName>
    <definedName function="false" hidden="true" name="_bdm.711ca814c76f4c99b320f624be4ad6f8.edm" vbProcedure="false">#REF!</definedName>
    <definedName function="false" hidden="true" name="_bdm.7128CC4ABAA34ABCA20EB887CCA2A232.edm" vbProcedure="false">#REF!</definedName>
    <definedName function="false" hidden="true" name="_bdm.712bd1dd09324bf49854857167b5caf3.edm" vbProcedure="false">#REF!</definedName>
    <definedName function="false" hidden="true" name="_bdm.712E997976FF46E3B7DBFF2B9D1DDA8E.edm" vbProcedure="false">#REF!</definedName>
    <definedName function="false" hidden="true" name="_bdm.71954e6335154a22b7840901c4a9397e.edm" vbProcedure="false">#REF!</definedName>
    <definedName function="false" hidden="true" name="_bdm.7198049a47074b449cb96daf9d4b9630.edm" vbProcedure="false">#REF!</definedName>
    <definedName function="false" hidden="true" name="_bdm.71ab923b135847db912b91fa9d902fa6.edm" vbProcedure="false">#REF!</definedName>
    <definedName function="false" hidden="true" name="_bdm.71af6f96ad6a4ad983041213db820815.edm" vbProcedure="false">#REF!</definedName>
    <definedName function="false" hidden="true" name="_bdm.71c31d083ab2491a975ce82d1f558774.edm" vbProcedure="false">#REF!</definedName>
    <definedName function="false" hidden="true" name="_bdm.71da691ec29e4d1cb197028d3924f30c.edm" vbProcedure="false">#REF!</definedName>
    <definedName function="false" hidden="true" name="_bdm.722e0ddcc8d2469b8a2a547a0087173f.edm" vbProcedure="false">#REF!</definedName>
    <definedName function="false" hidden="true" name="_bdm.7235770aa5074d7c93aee52482173b74.edm" vbProcedure="false">#REF!</definedName>
    <definedName function="false" hidden="true" name="_bdm.72931bbd49224be99d5c11dff49d3bff.edm" vbProcedure="false">#REF!</definedName>
    <definedName function="false" hidden="true" name="_bdm.72b4077f72a4437bbf27d5e9ae68d054.edm" vbProcedure="false">#REF!</definedName>
    <definedName function="false" hidden="true" name="_bdm.72bb2e8da22d4025ae53bac4ebfb1171.edm" vbProcedure="false">#REF!</definedName>
    <definedName function="false" hidden="true" name="_bdm.72dfea65681e40f085449847fb75d6bd.edm" vbProcedure="false">#REF!</definedName>
    <definedName function="false" hidden="true" name="_bdm.731de583d9e24b0282a9735d1f8f7bee.edm" vbProcedure="false">#REF!</definedName>
    <definedName function="false" hidden="true" name="_bdm.7328a4a049104516956886d318b0456b.edm" vbProcedure="false">#REF!</definedName>
    <definedName function="false" hidden="true" name="_bdm.73349a6facc34aedb7550d7a8970328b.edm" vbProcedure="false">#REF!</definedName>
    <definedName function="false" hidden="true" name="_bdm.733d4c1c64424daba629e2d231974b37.edm" vbProcedure="false">#REF!</definedName>
    <definedName function="false" hidden="true" name="_bdm.73712d96ee9148d0a9333f74fb3fd544.edm" vbProcedure="false">#REF!</definedName>
    <definedName function="false" hidden="true" name="_bdm.7377ce60e6e244828d806437f90199ef.edm" vbProcedure="false">#REF!</definedName>
    <definedName function="false" hidden="true" name="_bdm.73b7f9e09aec44d1a891773386df730e.edm" vbProcedure="false">#REF!</definedName>
    <definedName function="false" hidden="true" name="_bdm.73da91768c9349178f7719cd2a1b10dd.edm" vbProcedure="false">#REF!</definedName>
    <definedName function="false" hidden="true" name="_bdm.7409aa0406fc4d1880be33b43ba458cc.edm" vbProcedure="false">#REF!</definedName>
    <definedName function="false" hidden="true" name="_bdm.7425730ebc824662b61cfee8996e138e.edm" vbProcedure="false">#REF!</definedName>
    <definedName function="false" hidden="true" name="_bdm.744bfaf52709420aa1da2bb1c78b64d3.edm" vbProcedure="false">#REF!</definedName>
    <definedName function="false" hidden="true" name="_bdm.746978a1966d4646866489e866d4420a.edm" vbProcedure="false">#REF!</definedName>
    <definedName function="false" hidden="true" name="_bdm.74b956c3f67f49aaaac1dc5a012aeedf.edm" vbProcedure="false">#REF!</definedName>
    <definedName function="false" hidden="true" name="_bdm.7509e4c0cd45400d9d515121b4fb7bd0.edm" vbProcedure="false">#REF!</definedName>
    <definedName function="false" hidden="true" name="_bdm.752660b4e5a142f089484b4f3ffe68b3.edm" vbProcedure="false">#REF!</definedName>
    <definedName function="false" hidden="true" name="_bdm.7532047432374ab69e7742d2acc84f0b.edm" vbProcedure="false">#REF!</definedName>
    <definedName function="false" hidden="true" name="_bdm.758471d4f80b4544b0fa354f52dbf565.edm" vbProcedure="false">#REF!</definedName>
    <definedName function="false" hidden="true" name="_bdm.759451febf784e0ea7522561b45850b5.edm" vbProcedure="false">#REF!</definedName>
    <definedName function="false" hidden="true" name="_bdm.75a3366d718645ad8cb4a5225c22397e.edm" vbProcedure="false">#REF!</definedName>
    <definedName function="false" hidden="true" name="_bdm.75eb2fd8d24f4d96b0c7e1ba0e697978.edm" vbProcedure="false">#REF!</definedName>
    <definedName function="false" hidden="true" name="_bdm.75ecb781b6f54cdb95b2befd1abe5da2.edm" vbProcedure="false">#REF!</definedName>
    <definedName function="false" hidden="true" name="_bdm.75ffd8b3a7434102b031a8d65a387000.edm" vbProcedure="false">#REF!</definedName>
    <definedName function="false" hidden="true" name="_bdm.76012d06939c4a99b1d1b85660ca0133.edm" vbProcedure="false">#REF!</definedName>
    <definedName function="false" hidden="true" name="_bdm.760a3b5ab535456babf9aab43be6e30b.edm" vbProcedure="false">#REF!</definedName>
    <definedName function="false" hidden="true" name="_bdm.7626572cb22f4087ace0f4b770f67d43.edm" vbProcedure="false">#REF!</definedName>
    <definedName function="false" hidden="true" name="_bdm.762908d7621041f8b78f7e6c46914efb.edm" vbProcedure="false">#REF!</definedName>
    <definedName function="false" hidden="true" name="_bdm.7646b94c01264d5f8cca00293d540086.edm" vbProcedure="false">#REF!</definedName>
    <definedName function="false" hidden="true" name="_bdm.7686cc4d820445eb8faa42b08255ea6e.edm" vbProcedure="false">#REF!</definedName>
    <definedName function="false" hidden="true" name="_bdm.768bcaa4b6f8491996469da1bd7a7fb4.edm" vbProcedure="false">#REF!</definedName>
    <definedName function="false" hidden="true" name="_bdm.76ba984f71dd4fd3890f9bbc8e49ccb0.edm" vbProcedure="false">#REF!</definedName>
    <definedName function="false" hidden="true" name="_bdm.76c717d8bd4d4531aca402a50521c701.edm" vbProcedure="false">#REF!</definedName>
    <definedName function="false" hidden="true" name="_bdm.76fcd2e506924975a3e69cc7cfa2251c.edm" vbProcedure="false">#REF!</definedName>
    <definedName function="false" hidden="true" name="_bdm.7704a5bc896547cfb2972a0045170e09.edm" vbProcedure="false">#REF!</definedName>
    <definedName function="false" hidden="true" name="_bdm.771d53f6e40344ba8602c785da49630c.edm" vbProcedure="false">#REF!</definedName>
    <definedName function="false" hidden="true" name="_bdm.7731cc5070e44f88a91f21886649e107.edm" vbProcedure="false">#REF!</definedName>
    <definedName function="false" hidden="true" name="_bdm.77350808508644269d64adfda11161d2.edm" vbProcedure="false">#REF!</definedName>
    <definedName function="false" hidden="true" name="_bdm.77616621b1014e10a27f5cefc8351eb8.edm" vbProcedure="false">#REF!</definedName>
    <definedName function="false" hidden="true" name="_bdm.77676bcad1924946a6402a49cc4bfaca.edm" vbProcedure="false">#REF!</definedName>
    <definedName function="false" hidden="true" name="_bdm.77ba77817a944ee2b8c8bf34deb9daa6.edm" vbProcedure="false">#REF!</definedName>
    <definedName function="false" hidden="true" name="_bdm.77ee0f67359043ab9836abc5fb582716.edm" vbProcedure="false">#REF!</definedName>
    <definedName function="false" hidden="true" name="_bdm.77fca4cd1f6c478db68c358581742bd7.edm" vbProcedure="false">#REF!</definedName>
    <definedName function="false" hidden="true" name="_bdm.77ff663bceba4605afc2dd551ecb306a.edm" vbProcedure="false">#REF!</definedName>
    <definedName function="false" hidden="true" name="_bdm.781bb49b48c04ac88c9c1ad66e7aac35.edm" vbProcedure="false">#REF!</definedName>
    <definedName function="false" hidden="true" name="_bdm.78203511d4e249ce8473d812283b9e46.edm" vbProcedure="false">#REF!</definedName>
    <definedName function="false" hidden="true" name="_bdm.782a3d8f0ae14105a633614174360e05.edm" vbProcedure="false">#REF!</definedName>
    <definedName function="false" hidden="true" name="_bdm.784E310299E8475180BDDF273469B5C6.edm" vbProcedure="false">#REF!</definedName>
    <definedName function="false" hidden="true" name="_bdm.7852ea4a9d80414189f011b17e7705a4.edm" vbProcedure="false">#REF!</definedName>
    <definedName function="false" hidden="true" name="_bdm.78a257752e4e49ca9430acd29ec7daf6.edm" vbProcedure="false">#REF!</definedName>
    <definedName function="false" hidden="true" name="_bdm.78bb4b49eff2410097fa96f8e5586b0c.edm" vbProcedure="false">#REF!</definedName>
    <definedName function="false" hidden="true" name="_bdm.78d750b4e8e74ee7a07482545675ada1.edm" vbProcedure="false">#REF!</definedName>
    <definedName function="false" hidden="true" name="_bdm.78e9e3e6e85241079abaf96a8b0a960a.edm" vbProcedure="false">#REF!</definedName>
    <definedName function="false" hidden="true" name="_bdm.78FE53BAE7654054881F0BD2F1E41662.edm" vbProcedure="false">#REF!</definedName>
    <definedName function="false" hidden="true" name="_bdm.791c7fda585d42cfa451cd20d45df60a.edm" vbProcedure="false">#REF!</definedName>
    <definedName function="false" hidden="true" name="_bdm.79425e0775334344bd11bd757af49c09.edm" vbProcedure="false">#REF!</definedName>
    <definedName function="false" hidden="true" name="_bdm.794345b884b84b3cb1311dc22d7ff950.edm" vbProcedure="false">#REF!</definedName>
    <definedName function="false" hidden="true" name="_bdm.794eb61e57d54b14afe1657d8a409bcd.edm" vbProcedure="false">#REF!</definedName>
    <definedName function="false" hidden="true" name="_bdm.79a4755d94b94198831bfdf87ad51029.edm" vbProcedure="false">#REF!</definedName>
    <definedName function="false" hidden="true" name="_bdm.79e17f913be440f29aa2d1ee08f4eb0c.edm" vbProcedure="false">#REF!</definedName>
    <definedName function="false" hidden="true" name="_bdm.79ef9dfbc4f449bdbf66201d492a0b8a.edm" vbProcedure="false">#REF!</definedName>
    <definedName function="false" hidden="true" name="_bdm.79fbb33758434160b56c6bed3e4d6eb4.edm" vbProcedure="false">#REF!</definedName>
    <definedName function="false" hidden="true" name="_bdm.79fea2115a7e4818a5db61af730a4c8a.edm" vbProcedure="false">#REF!</definedName>
    <definedName function="false" hidden="true" name="_bdm.7a08bf2733ed46ba84e099015f571afb.edm" vbProcedure="false">#REF!</definedName>
    <definedName function="false" hidden="true" name="_bdm.7a1066d383a448329f2243d20577e2c5.edm" vbProcedure="false">#REF!</definedName>
    <definedName function="false" hidden="true" name="_bdm.7a3a10d78cb24aa18e959fa27316b06a.edm" vbProcedure="false">#REF!</definedName>
    <definedName function="false" hidden="true" name="_bdm.7a43f998dc7d40a4b8a640f7780a1daf.edm" vbProcedure="false">#REF!</definedName>
    <definedName function="false" hidden="true" name="_bdm.7a4df6c9643c4e40b402605f9a46cf1b.edm" vbProcedure="false">#REF!</definedName>
    <definedName function="false" hidden="true" name="_bdm.7a6d8108c8654fa8a481b5df4d004cac.edm" vbProcedure="false">#REF!</definedName>
    <definedName function="false" hidden="true" name="_bdm.7a8f557fbf334f368c109173e4755dbe.edm" vbProcedure="false">#REF!</definedName>
    <definedName function="false" hidden="true" name="_bdm.7a924e0372a64097b372be1748858188.edm" vbProcedure="false">#REF!</definedName>
    <definedName function="false" hidden="true" name="_bdm.7ad68fce756d44d9957076dfee85b0bd.edm" vbProcedure="false">#REF!</definedName>
    <definedName function="false" hidden="true" name="_bdm.7adc399f2af74dc38b07bc8467a8d8be.edm" vbProcedure="false">#REF!</definedName>
    <definedName function="false" hidden="true" name="_bdm.7adf74ea38f44aef94b7666bfc9322ca.edm" vbProcedure="false">#REF!</definedName>
    <definedName function="false" hidden="true" name="_bdm.7af60fdd7f28418a8ab9a4c373559a07.edm" vbProcedure="false">#REF!</definedName>
    <definedName function="false" hidden="true" name="_bdm.7b11ef8a2b294498b5737970f26a9e24.edm" vbProcedure="false">#REF!</definedName>
    <definedName function="false" hidden="true" name="_bdm.7b16137021bc4d96a0117aa251ea5db6.edm" vbProcedure="false">#REF!</definedName>
    <definedName function="false" hidden="true" name="_bdm.7b413dfc4d9548bc8078aaa8f594eaca.edm" vbProcedure="false">#REF!</definedName>
    <definedName function="false" hidden="true" name="_bdm.7b549b6bc37c453cb1f9c554dfb8f8cd.edm" vbProcedure="false">#REF!</definedName>
    <definedName function="false" hidden="true" name="_bdm.7b86509dbbe44a45b827fce440a88350.edm" vbProcedure="false">#REF!</definedName>
    <definedName function="false" hidden="true" name="_bdm.7C1BF7AC219B463DB456042FEB3B8518.edm" vbProcedure="false">#REF!</definedName>
    <definedName function="false" hidden="true" name="_bdm.7c3014048cc44e0cba051ae99366a73e.edm" vbProcedure="false">#REF!</definedName>
    <definedName function="false" hidden="true" name="_bdm.7c4b787b50ab4dc59ae5103d6db0682b.edm" vbProcedure="false">#REF!</definedName>
    <definedName function="false" hidden="true" name="_bdm.7c6d9494a94d4cbea704888be978e333.edm" vbProcedure="false">#REF!</definedName>
    <definedName function="false" hidden="true" name="_bdm.7c7fee62ee124afcabba4b9cc7823053.edm" vbProcedure="false">#REF!</definedName>
    <definedName function="false" hidden="true" name="_bdm.7c83e2006b394dda808e0fd6ee470aa1.edm" vbProcedure="false">#REF!</definedName>
    <definedName function="false" hidden="true" name="_bdm.7ce2920de05049deb27a75c1f21d40da.edm" vbProcedure="false">#REF!</definedName>
    <definedName function="false" hidden="true" name="_bdm.7CEA3CA581724F62B84188A8CB7BC4C0.edm" vbProcedure="false">#REF!</definedName>
    <definedName function="false" hidden="true" name="_bdm.7cf3b67fa6694f949e6e50fde8ad7407.edm" vbProcedure="false">#REF!</definedName>
    <definedName function="false" hidden="true" name="_bdm.7cf67be229e24ad1be9a01401b593cc1.edm" vbProcedure="false">#REF!</definedName>
    <definedName function="false" hidden="true" name="_bdm.7d3ec768487149e3b013055591eb9646.edm" vbProcedure="false">#REF!</definedName>
    <definedName function="false" hidden="true" name="_bdm.7dbaa881f5e7440ca48184b9468b203d.edm" vbProcedure="false">#REF!</definedName>
    <definedName function="false" hidden="true" name="_bdm.7e15bee3e69f4c7e95ca2c9c9e792840.edm" vbProcedure="false">#REF!</definedName>
    <definedName function="false" hidden="true" name="_bdm.7e4fb8df565a4767bae3faec35723a04.edm" vbProcedure="false">#REF!</definedName>
    <definedName function="false" hidden="true" name="_bdm.7e628a260c074585b672d492262b819d.edm" vbProcedure="false">#REF!</definedName>
    <definedName function="false" hidden="true" name="_bdm.7e71f4ee9b1642b6bc40230b23adb36f.edm" vbProcedure="false">#REF!</definedName>
    <definedName function="false" hidden="true" name="_bdm.7e9fa211b7e84dd2bd24a1d6fb23bb2f.edm" vbProcedure="false">#REF!</definedName>
    <definedName function="false" hidden="true" name="_bdm.7edecef6638b451089b21ebae8fa5619.edm" vbProcedure="false">#REF!</definedName>
    <definedName function="false" hidden="true" name="_bdm.7f10568bd8d04cd1abc731b6396b446a.edm" vbProcedure="false">#REF!</definedName>
    <definedName function="false" hidden="true" name="_bdm.7f7b18832a564055b85cd9873726d6dc.edm" vbProcedure="false">#REF!</definedName>
    <definedName function="false" hidden="true" name="_bdm.7f8ac35c4b424198b2b0fd4114669bdb.edm" vbProcedure="false">#REF!</definedName>
    <definedName function="false" hidden="true" name="_bdm.7f927a8274144c7e835cc4ae608df3a8.edm" vbProcedure="false">#REF!</definedName>
    <definedName function="false" hidden="true" name="_bdm.7fbfe68169dd477f834cb4a3a7ec301d.edm" vbProcedure="false">#REF!</definedName>
    <definedName function="false" hidden="true" name="_bdm.7fc5571cbc084c70aed0fb528cfa7661.edm" vbProcedure="false">#REF!</definedName>
    <definedName function="false" hidden="true" name="_bdm.8008ccacaadb40bb8e3dafb938ce66d9.edm" vbProcedure="false">#REF!</definedName>
    <definedName function="false" hidden="true" name="_bdm.809FD6E4A80B47EE9A0C658D9CA236AC.edm" vbProcedure="false">#REF!</definedName>
    <definedName function="false" hidden="true" name="_bdm.80b31160f7244eaeb0665ff41ecc582c.edm" vbProcedure="false">#REF!</definedName>
    <definedName function="false" hidden="true" name="_bdm.8104457bb2944677b5c72e193ccc05de.edm" vbProcedure="false">#REF!</definedName>
    <definedName function="false" hidden="true" name="_bdm.816170c0490341a9a20021f6aabd3f84.edm" vbProcedure="false">#REF!</definedName>
    <definedName function="false" hidden="true" name="_bdm.81806d12e5d9462fb2f8542e4ca924ce.edm" vbProcedure="false">#REF!</definedName>
    <definedName function="false" hidden="true" name="_bdm.8185e1ec53114d57bd727b35ce7b62c8.edm" vbProcedure="false">#REF!</definedName>
    <definedName function="false" hidden="true" name="_bdm.81a9f4dcf97e40b8b4f9b877d30d3b78.edm" vbProcedure="false">#REF!</definedName>
    <definedName function="false" hidden="true" name="_bdm.81aa1c469f194e039953be701ed241a6.edm" vbProcedure="false">#REF!</definedName>
    <definedName function="false" hidden="true" name="_bdm.81d076f104bd44118702b3f8dc8eb18e.edm" vbProcedure="false">#REF!</definedName>
    <definedName function="false" hidden="true" name="_bdm.81e0015378db4e2fa4d2b371610044c1.edm" vbProcedure="false">#REF!</definedName>
    <definedName function="false" hidden="true" name="_bdm.81f38c934b254b0999c2fe959b8faba0.edm" vbProcedure="false">#REF!</definedName>
    <definedName function="false" hidden="true" name="_bdm.81fd12166c1b414489ef790b22bad213.edm" vbProcedure="false">#REF!</definedName>
    <definedName function="false" hidden="true" name="_bdm.821b6450140e464281d1a6ead81f2eaf.edm" vbProcedure="false">#REF!</definedName>
    <definedName function="false" hidden="true" name="_bdm.822f3391f5104ddb92c45a44a04ee78f.edm" vbProcedure="false">#REF!</definedName>
    <definedName function="false" hidden="true" name="_bdm.823e2358d5544773ac798d514a9ad753.edm" vbProcedure="false">#REF!</definedName>
    <definedName function="false" hidden="true" name="_bdm.825640934120447dace5c378361e6fec.edm" vbProcedure="false">#REF!</definedName>
    <definedName function="false" hidden="true" name="_bdm.825844f783cf46fba05ddf6d310c84b1.edm" vbProcedure="false">#REF!</definedName>
    <definedName function="false" hidden="true" name="_bdm.825a3d1aa34543ac8c44005018e387be.edm" vbProcedure="false">#REF!</definedName>
    <definedName function="false" hidden="true" name="_bdm.82a05a63651a40819e4d8514f1062d21.edm" vbProcedure="false">#REF!</definedName>
    <definedName function="false" hidden="true" name="_bdm.82b77013f4224753bb91c7ec9f240dd2.edm" vbProcedure="false">#REF!</definedName>
    <definedName function="false" hidden="true" name="_bdm.82e2b18313e946789f63bb664295b240.edm" vbProcedure="false">#REF!</definedName>
    <definedName function="false" hidden="true" name="_bdm.832d0cebeb194278baba21fb6e600276.edm" vbProcedure="false">#REF!</definedName>
    <definedName function="false" hidden="true" name="_bdm.8346df64877549eb91b026c78e66d786.edm" vbProcedure="false">#REF!</definedName>
    <definedName function="false" hidden="true" name="_bdm.836c24fe5c524cfa84c2fb451c5d5802.edm" vbProcedure="false">#REF!</definedName>
    <definedName function="false" hidden="true" name="_bdm.83786f916d46486d8b2ee276e04434db.edm" vbProcedure="false">#REF!</definedName>
    <definedName function="false" hidden="true" name="_bdm.83b9e21d4c2b41f4847bc4a3ef1de67c.edm" vbProcedure="false">#REF!</definedName>
    <definedName function="false" hidden="true" name="_bdm.83f4cbac97354b7e9ed4666bce25e792.edm" vbProcedure="false">#REF!</definedName>
    <definedName function="false" hidden="true" name="_bdm.8459f61a34e24b6791379bd6a8453118.edm" vbProcedure="false">#REF!</definedName>
    <definedName function="false" hidden="true" name="_bdm.8493ca44c8104f65b6a56ed8fa493125.edm" vbProcedure="false">#REF!</definedName>
    <definedName function="false" hidden="true" name="_bdm.849693ee293c42fbbeb8d5c51c05496c.edm" vbProcedure="false">#REF!</definedName>
    <definedName function="false" hidden="true" name="_bdm.84c66a6d8b01424e8952a8753e228c44.edm" vbProcedure="false">#REF!</definedName>
    <definedName function="false" hidden="true" name="_bdm.8517b971e80d41faaa2ef5e6c3d53828.edm" vbProcedure="false">#REF!</definedName>
    <definedName function="false" hidden="true" name="_bdm.8524a4f802f64a328ac8694c237f494d.edm" vbProcedure="false">#REF!</definedName>
    <definedName function="false" hidden="true" name="_bdm.853a9763944e4c398a9e5ec7c519494b.edm" vbProcedure="false">#REF!</definedName>
    <definedName function="false" hidden="true" name="_bdm.8566176825bd4882b4e64388cae1ac71.edm" vbProcedure="false">#REF!</definedName>
    <definedName function="false" hidden="true" name="_bdm.858a82faa73f41d899c1ce8972c094be.edm" vbProcedure="false">#REF!</definedName>
    <definedName function="false" hidden="true" name="_bdm.85bcbcda828442c49208f9ecc5b31ac7.edm" vbProcedure="false">#REF!</definedName>
    <definedName function="false" hidden="true" name="_bdm.85CB6D1ED82E464AAAC6F13CD868E0ED.edm" vbProcedure="false">#REF!</definedName>
    <definedName function="false" hidden="true" name="_bdm.85dd1485d15b412dab5ec22320906225.edm" vbProcedure="false">#REF!</definedName>
    <definedName function="false" hidden="true" name="_bdm.85e2664e9d5040608710aafa9b4be815.edm" vbProcedure="false">#REF!</definedName>
    <definedName function="false" hidden="true" name="_bdm.85e6b19e97324d2c895d9f94e871394b.edm" vbProcedure="false">#REF!</definedName>
    <definedName function="false" hidden="true" name="_bdm.860097f5a955445c8ab40f652084a91a.edm" vbProcedure="false">#REF!</definedName>
    <definedName function="false" hidden="true" name="_bdm.860ea5c8653b4499823a4657e14c4caa.edm" vbProcedure="false">#REF!</definedName>
    <definedName function="false" hidden="true" name="_bdm.860F95D1E5B34727AFC3C2788A25F78B.edm" vbProcedure="false">#REF!</definedName>
    <definedName function="false" hidden="true" name="_bdm.8615a22b96df47c5bcd9e8bf90c17314.edm" vbProcedure="false">#REF!</definedName>
    <definedName function="false" hidden="true" name="_bdm.86334054d93648858aa3115184fe988f.edm" vbProcedure="false">#REF!</definedName>
    <definedName function="false" hidden="true" name="_bdm.863733E22F104CF99B2A8959D6958559.edm" vbProcedure="false">#REF!</definedName>
    <definedName function="false" hidden="true" name="_bdm.86816d11910049a794c2a150eb3cc603.edm" vbProcedure="false">#REF!</definedName>
    <definedName function="false" hidden="true" name="_bdm.86f07ab9173e45b59e331daeea2d3718.edm" vbProcedure="false">#REF!</definedName>
    <definedName function="false" hidden="true" name="_bdm.87175ef3572f41998770b630cf48b1a4.edm" vbProcedure="false">#REF!</definedName>
    <definedName function="false" hidden="true" name="_bdm.872feeef39fe47a4a3bffa5c1976ae6d.edm" vbProcedure="false">#REF!</definedName>
    <definedName function="false" hidden="true" name="_bdm.877a327830234a289b162abe70a6de0c.edm" vbProcedure="false">#REF!</definedName>
    <definedName function="false" hidden="true" name="_bdm.8783c01486b94a539c3a4ee7fd02d533.edm" vbProcedure="false">#REF!</definedName>
    <definedName function="false" hidden="true" name="_bdm.8795a7b615814659ab7192405d446147.edm" vbProcedure="false">#REF!</definedName>
    <definedName function="false" hidden="true" name="_bdm.879a61388c42456e8a9d63a0bcb63136.edm" vbProcedure="false">#REF!</definedName>
    <definedName function="false" hidden="true" name="_bdm.87abe10ef0404bad8d0753c192ae86d8.edm" vbProcedure="false">#REF!</definedName>
    <definedName function="false" hidden="true" name="_bdm.87b837595d0e4ac6a25e65aa2a160c5c.edm" vbProcedure="false">#REF!</definedName>
    <definedName function="false" hidden="true" name="_bdm.87cf9a7f8e82467dadd6d417ec330557.edm" vbProcedure="false">#REF!</definedName>
    <definedName function="false" hidden="true" name="_bdm.87d2aaccb39d4014bb4fe1f4da4720cb.edm" vbProcedure="false">#REF!</definedName>
    <definedName function="false" hidden="true" name="_bdm.87e8b1f967d34641bbcfa5362e4bc1dc.edm" vbProcedure="false">#REF!</definedName>
    <definedName function="false" hidden="true" name="_bdm.87f342081f164709a649339aa76054c8.edm" vbProcedure="false">#REF!</definedName>
    <definedName function="false" hidden="true" name="_bdm.87fb28c307ff49f7a39fc32363e1c704.edm" vbProcedure="false">#REF!</definedName>
    <definedName function="false" hidden="true" name="_bdm.880bd3336c394f639f1dc020d0039571.edm" vbProcedure="false">#REF!</definedName>
    <definedName function="false" hidden="true" name="_bdm.8828dac6330640888826539cdb11ad59.edm" vbProcedure="false">#REF!</definedName>
    <definedName function="false" hidden="true" name="_bdm.886cfb5c4d9c48caa8099488b4925d5f.edm" vbProcedure="false">#REF!</definedName>
    <definedName function="false" hidden="true" name="_bdm.8880a7b50b47403c8c018090c745d52e.edm" vbProcedure="false">#REF!</definedName>
    <definedName function="false" hidden="true" name="_bdm.8895FB99D7274D9F8CD75A30B3396ECE.edm" vbProcedure="false">#REF!</definedName>
    <definedName function="false" hidden="true" name="_bdm.88ac796d59484cc48475e3a73888f923.edm" vbProcedure="false">#REF!</definedName>
    <definedName function="false" hidden="true" name="_bdm.88b803b9982b45b1bcdbe44f8009dc84.edm" vbProcedure="false">#REF!</definedName>
    <definedName function="false" hidden="true" name="_bdm.88e363082d5148279ee9803481ba9b25.edm" vbProcedure="false">#REF!</definedName>
    <definedName function="false" hidden="true" name="_bdm.88ec63edb95b49a196321aaff8f130da.edm" vbProcedure="false">#REF!</definedName>
    <definedName function="false" hidden="true" name="_bdm.88F1BC2FB46E47F0BD5F2EA20905D150.edm" vbProcedure="false">#REF!</definedName>
    <definedName function="false" hidden="true" name="_bdm.89170d7413be461badabfb70e5cbd298.edm" vbProcedure="false">#REF!</definedName>
    <definedName function="false" hidden="true" name="_bdm.892048201e324c16b974096cef123b46.edm" vbProcedure="false">#REF!</definedName>
    <definedName function="false" hidden="true" name="_bdm.89391285807242d9aabf4dc1ee039d81.edm" vbProcedure="false">#REF!</definedName>
    <definedName function="false" hidden="true" name="_bdm.8940f9a43a4b45d0b02a1257f5ec77f6.edm" vbProcedure="false">#REF!</definedName>
    <definedName function="false" hidden="true" name="_bdm.8959d59c647b419b88168f0d98356f13.edm" vbProcedure="false">#REF!</definedName>
    <definedName function="false" hidden="true" name="_bdm.89649f39a6df4d15a6a68300421ed8ac.edm" vbProcedure="false">#REF!</definedName>
    <definedName function="false" hidden="true" name="_bdm.898dde748afb491da8dca6b6c1c005fa.edm" vbProcedure="false">#REF!</definedName>
    <definedName function="false" hidden="true" name="_bdm.89f43454ceee4ff783dbbfdfd4ad31c1.edm" vbProcedure="false">#REF!</definedName>
    <definedName function="false" hidden="true" name="_bdm.8a1c03074e40441b84ef9fb805aeacf0.edm" vbProcedure="false">#REF!</definedName>
    <definedName function="false" hidden="true" name="_bdm.8a2c22ce50284c2984cd1e462c36d990.edm" vbProcedure="false">#REF!</definedName>
    <definedName function="false" hidden="true" name="_bdm.8a5437994ed94ad2b92a602d03509391.edm" vbProcedure="false">#REF!</definedName>
    <definedName function="false" hidden="true" name="_bdm.8a95d854642446aea391772931a9ef94.edm" vbProcedure="false">#REF!</definedName>
    <definedName function="false" hidden="true" name="_bdm.8a9b19eec2d246a6a4d1cba41baf7880.edm" vbProcedure="false">#REF!</definedName>
    <definedName function="false" hidden="true" name="_bdm.8aa3d2d37cce44e68df36649f0321d14.edm" vbProcedure="false">#REF!</definedName>
    <definedName function="false" hidden="true" name="_bdm.8aa869e94c384f919f18d92680d777e5.edm" vbProcedure="false">#REF!</definedName>
    <definedName function="false" hidden="true" name="_bdm.8afb2860b65c446b9c317b600165f137.edm" vbProcedure="false">#REF!</definedName>
    <definedName function="false" hidden="true" name="_bdm.8b044ebe28b847579cb78727fa9e0bd6.edm" vbProcedure="false">#REF!</definedName>
    <definedName function="false" hidden="true" name="_bdm.8b2fb2b49c6c43a0b286dec4ce567b36.edm" vbProcedure="false">#REF!</definedName>
    <definedName function="false" hidden="true" name="_bdm.8b3d3eff48da43908e09735967023838.edm" vbProcedure="false">#REF!</definedName>
    <definedName function="false" hidden="true" name="_bdm.8b4210b3f24046caaea9b8fa7cae58b9.edm" vbProcedure="false">#REF!</definedName>
    <definedName function="false" hidden="true" name="_bdm.8b55112048f647059b6538eb2bad65b9.edm" vbProcedure="false">#REF!</definedName>
    <definedName function="false" hidden="true" name="_bdm.8b611db395754b3084e6e358d858f058.edm" vbProcedure="false">#REF!</definedName>
    <definedName function="false" hidden="true" name="_bdm.8b678a73ad5f4f25acba8a099965afb0.edm" vbProcedure="false">#REF!</definedName>
    <definedName function="false" hidden="true" name="_bdm.8bab081b70eb41cc8e2fa622f0875c41.edm" vbProcedure="false">#REF!</definedName>
    <definedName function="false" hidden="true" name="_bdm.8badee896d0943a7a18745b6fca81dba.edm" vbProcedure="false">#REF!</definedName>
    <definedName function="false" hidden="true" name="_bdm.8bd41ac5cef148ed83ed92777f786655.edm" vbProcedure="false">#REF!</definedName>
    <definedName function="false" hidden="true" name="_bdm.8c11910f05e74ed08c7e8ba3e25f4e91.edm" vbProcedure="false">#REF!</definedName>
    <definedName function="false" hidden="true" name="_bdm.8c261b26f90145f1a7e5322c8665f1d5.edm" vbProcedure="false">#REF!</definedName>
    <definedName function="false" hidden="true" name="_bdm.8c4258c44670400f97bd601100e2ee76.edm" vbProcedure="false">#REF!</definedName>
    <definedName function="false" hidden="true" name="_bdm.8c45070befe241648e10a7433e2c09b7.edm" vbProcedure="false">#REF!</definedName>
    <definedName function="false" hidden="true" name="_bdm.8c4e3f0efad0429ca255ffd228dd5e6d.edm" vbProcedure="false">#REF!</definedName>
    <definedName function="false" hidden="true" name="_bdm.8c635d63327e4061b7ac2b67c9bc6d53.edm" vbProcedure="false">#REF!</definedName>
    <definedName function="false" hidden="true" name="_bdm.8c92f4e27b654dd3ae8b011a21e579d9.edm" vbProcedure="false">#REF!</definedName>
    <definedName function="false" hidden="true" name="_bdm.8c987f3a19ef4a958fe3e1e058c593b3.edm" vbProcedure="false">#REF!</definedName>
    <definedName function="false" hidden="true" name="_bdm.8ca7ea37e8c445ee98569be76a3b3237.edm" vbProcedure="false">#REF!</definedName>
    <definedName function="false" hidden="true" name="_bdm.8cbf41a92e7a4c64b6e1b63e3f37f5b6.edm" vbProcedure="false">#REF!</definedName>
    <definedName function="false" hidden="true" name="_bdm.8cc32ddbd7734b7c91359bbd099219f6.edm" vbProcedure="false">#REF!</definedName>
    <definedName function="false" hidden="true" name="_bdm.8cfb37f27806428db2b1631a843bd16c.edm" vbProcedure="false">#REF!</definedName>
    <definedName function="false" hidden="true" name="_bdm.8d17d17253384a2a9728facfbbc981ba.edm" vbProcedure="false">#REF!</definedName>
    <definedName function="false" hidden="true" name="_bdm.8d234530bc3e42a68b7bf3f46b555672.edm" vbProcedure="false">#REF!</definedName>
    <definedName function="false" hidden="true" name="_bdm.8d452f0135e84be1accde663d5edb9f1.edm" vbProcedure="false">#REF!</definedName>
    <definedName function="false" hidden="true" name="_bdm.8d4876cdc7454c3789d83fbbcc425944.edm" vbProcedure="false">#REF!</definedName>
    <definedName function="false" hidden="true" name="_bdm.8d6ac3346ea94c279e5d9fcd15739205.edm" vbProcedure="false">#REF!</definedName>
    <definedName function="false" hidden="true" name="_bdm.8d6dcca8733945e69a14a5937b3918f8.edm" vbProcedure="false">#REF!</definedName>
    <definedName function="false" hidden="true" name="_bdm.8daa40a4fce94ab2947e7b004748507f.edm" vbProcedure="false">#REF!</definedName>
    <definedName function="false" hidden="true" name="_bdm.8df437c264b2444a83fd1d0041318372.edm" vbProcedure="false">#REF!</definedName>
    <definedName function="false" hidden="true" name="_bdm.8dfefd5b36c7431ca2e11027206ace6b.edm" vbProcedure="false">#REF!</definedName>
    <definedName function="false" hidden="true" name="_bdm.8e71956a2fae4ac8a7d66415249ec710.edm" vbProcedure="false">#REF!</definedName>
    <definedName function="false" hidden="true" name="_bdm.8e727524fbf54dc6bbf7495894dbf8db.edm" vbProcedure="false">#REF!</definedName>
    <definedName function="false" hidden="true" name="_bdm.8e8a122c45c645bfb2f5e0b19fbbc0f2.edm" vbProcedure="false">#REF!</definedName>
    <definedName function="false" hidden="true" name="_bdm.8e9b927b6b6e4e2c8d8afea13e2b8b6b.edm" vbProcedure="false">#REF!</definedName>
    <definedName function="false" hidden="true" name="_bdm.8ea639b4532b415d89db8eea2c26bd92.edm" vbProcedure="false">#REF!</definedName>
    <definedName function="false" hidden="true" name="_bdm.8eacae7d4df74fd282920e62de4a9717.edm" vbProcedure="false">#REF!</definedName>
    <definedName function="false" hidden="true" name="_bdm.8ed68a1847ec43cf8a981bf783f6958f.edm" vbProcedure="false">#REF!</definedName>
    <definedName function="false" hidden="true" name="_bdm.8ed711f4e7374ae0aefa679c74be24e4.edm" vbProcedure="false">#REF!</definedName>
    <definedName function="false" hidden="true" name="_bdm.8f2ec551bc2f493b9ccb15d35ca5976d.edm" vbProcedure="false">#REF!</definedName>
    <definedName function="false" hidden="true" name="_bdm.8f77d1ee8d4747f0a2afa695867c1404.edm" vbProcedure="false">#REF!</definedName>
    <definedName function="false" hidden="true" name="_bdm.8faac5d8c81e4185ab6cc616ca2fca0a.edm" vbProcedure="false">#REF!</definedName>
    <definedName function="false" hidden="true" name="_bdm.8fb5d5265c2745929acbb67e12f90596.edm" vbProcedure="false">#REF!</definedName>
    <definedName function="false" hidden="true" name="_bdm.8fc2eedd16fb4c558f589da5803189aa.edm" vbProcedure="false">#REF!</definedName>
    <definedName function="false" hidden="true" name="_bdm.8fec96869172424997c2f4c0de9b7894.edm" vbProcedure="false">#REF!</definedName>
    <definedName function="false" hidden="true" name="_bdm.900b476dc0a64ccfb8fad1a7815783d8.edm" vbProcedure="false">#REF!</definedName>
    <definedName function="false" hidden="true" name="_bdm.901197a3dd844d4d83fa882b959c1645.edm" vbProcedure="false">#REF!</definedName>
    <definedName function="false" hidden="true" name="_bdm.901dc901ec3f4e6a8da0a13b94f69eec.edm" vbProcedure="false">#REF!</definedName>
    <definedName function="false" hidden="true" name="_bdm.90423e7139864cf490d7c016eac879e8.edm" vbProcedure="false">#REF!</definedName>
    <definedName function="false" hidden="true" name="_bdm.9070a3a7fe0843aba737a35ef3d1d590.edm" vbProcedure="false">#REF!</definedName>
    <definedName function="false" hidden="true" name="_bdm.909815c7cd664a7d9c85f1cb1cacf4d1.edm" vbProcedure="false">#REF!</definedName>
    <definedName function="false" hidden="true" name="_bdm.90b9295a3ae44fd78901ef73e105c27b.edm" vbProcedure="false">#REF!</definedName>
    <definedName function="false" hidden="true" name="_bdm.90ced7f9a37b458ab4f2118e8bb0ab6d.edm" vbProcedure="false">#REF!</definedName>
    <definedName function="false" hidden="true" name="_bdm.90e3e56b12e449f3b25e6156c88b74db.edm" vbProcedure="false">#REF!</definedName>
    <definedName function="false" hidden="true" name="_bdm.91107206a4784e88af54260543a6d4ca.edm" vbProcedure="false">#REF!</definedName>
    <definedName function="false" hidden="true" name="_bdm.913d9e61ec55433d873634321f1ffe93.edm" vbProcedure="false">#REF!</definedName>
    <definedName function="false" hidden="true" name="_bdm.9140f1078c0048268129310510078d6e.edm" vbProcedure="false">#REF!</definedName>
    <definedName function="false" hidden="true" name="_bdm.9178c56e08f74e3fb986fa0ed494d012.edm" vbProcedure="false">#REF!</definedName>
    <definedName function="false" hidden="true" name="_bdm.919b6482cd014484912bb68301cf27d9.edm" vbProcedure="false">#REF!</definedName>
    <definedName function="false" hidden="true" name="_bdm.91faeb37ae1948d9b96088cf8b38da96.edm" vbProcedure="false">#REF!</definedName>
    <definedName function="false" hidden="true" name="_bdm.9208e6077e0343c4a6bea06f1e9df719.edm" vbProcedure="false">#REF!</definedName>
    <definedName function="false" hidden="true" name="_bdm.9212edc92581418595644882e3570f4a.edm" vbProcedure="false">#REF!</definedName>
    <definedName function="false" hidden="true" name="_bdm.9217127b84d04585892322c4b8893bcf.edm" vbProcedure="false">#REF!</definedName>
    <definedName function="false" hidden="true" name="_bdm.922c949f04bf4e7d9bf27665a49b7fa6.edm" vbProcedure="false">#REF!</definedName>
    <definedName function="false" hidden="true" name="_bdm.9269b909d7a54c37a116dd1387678452.edm" vbProcedure="false">#REF!</definedName>
    <definedName function="false" hidden="true" name="_bdm.928b5adf6fcb483f91934b5cf9a46afb.edm" vbProcedure="false">#REF!</definedName>
    <definedName function="false" hidden="true" name="_bdm.92905b7a7b934fc7a928bbcad4deef98.edm" vbProcedure="false">#REF!</definedName>
    <definedName function="false" hidden="true" name="_bdm.929330ef92dd4bcebde97feb713670bc.edm" vbProcedure="false">#REF!</definedName>
    <definedName function="false" hidden="true" name="_bdm.92b60f5a76b4490e9179ded241387812.edm" vbProcedure="false">#REF!</definedName>
    <definedName function="false" hidden="true" name="_bdm.9334b9a8ec9249f4815a8ac391496268.edm" vbProcedure="false">#REF!</definedName>
    <definedName function="false" hidden="true" name="_bdm.9364cae5b7e94ee699e1e529766bcc1a.edm" vbProcedure="false">#REF!</definedName>
    <definedName function="false" hidden="true" name="_bdm.9376629d2684447db699a8730ec3edf6.edm" vbProcedure="false">#REF!</definedName>
    <definedName function="false" hidden="true" name="_bdm.937dc97e915547b78c578e87efc58977.edm" vbProcedure="false">#REF!</definedName>
    <definedName function="false" hidden="true" name="_bdm.939e01603c46423f93f9e520bb0a7e9c.edm" vbProcedure="false">#REF!</definedName>
    <definedName function="false" hidden="true" name="_bdm.93a2f69566374e9f854c54844b80e9de.edm" vbProcedure="false">#REF!</definedName>
    <definedName function="false" hidden="true" name="_bdm.93b9fd1c2a664887af9eae519ec09249.edm" vbProcedure="false">#REF!</definedName>
    <definedName function="false" hidden="true" name="_bdm.93e0bb8536584aeb80d55985c132877e.edm" vbProcedure="false">#REF!</definedName>
    <definedName function="false" hidden="true" name="_bdm.93ef0d7abccd455d982405908eece5da.edm" vbProcedure="false">#REF!</definedName>
    <definedName function="false" hidden="true" name="_bdm.93f0ff37d17a46fdbc7096a9f13bfe4c.edm" vbProcedure="false">#REF!</definedName>
    <definedName function="false" hidden="true" name="_bdm.94093b866614420a9b34e4e7d494b575.edm" vbProcedure="false">#REF!</definedName>
    <definedName function="false" hidden="true" name="_bdm.94098f1282b9469db01d3fb826545972.edm" vbProcedure="false">#REF!</definedName>
    <definedName function="false" hidden="true" name="_bdm.947212e688ca46b08fede302c7e62225.edm" vbProcedure="false">#REF!</definedName>
    <definedName function="false" hidden="true" name="_bdm.9499b44ffdc94c5aa10dffd7882463c7.edm" vbProcedure="false">#REF!</definedName>
    <definedName function="false" hidden="true" name="_bdm.949a083854da4a5db7ffcb0e039d92e2.edm" vbProcedure="false">#REF!</definedName>
    <definedName function="false" hidden="true" name="_bdm.94b135a41b154f098be8a8cb3001914c.edm" vbProcedure="false">#REF!</definedName>
    <definedName function="false" hidden="true" name="_bdm.94df850451174923ad4fbc9eba4f0e7e.edm" vbProcedure="false">#REF!</definedName>
    <definedName function="false" hidden="true" name="_bdm.9556069dab0444a09c27b27a4c1827a1.edm" vbProcedure="false">#REF!</definedName>
    <definedName function="false" hidden="true" name="_bdm.95a23a769d924bc397b6cc150a4bcffa.edm" vbProcedure="false">#REF!</definedName>
    <definedName function="false" hidden="true" name="_bdm.95dbe60e95844450a3feda2e9a62a116.edm" vbProcedure="false">#REF!</definedName>
    <definedName function="false" hidden="true" name="_bdm.95fe59586bfa4fb090ef95d2064ecccb.edm" vbProcedure="false">#REF!</definedName>
    <definedName function="false" hidden="true" name="_bdm.960B3A4DE9B8462085CCB677005C105A.edm" vbProcedure="false">#REF!</definedName>
    <definedName function="false" hidden="true" name="_bdm.9622ac1956e647d5a3924d980d5fe72d.edm" vbProcedure="false">#REF!</definedName>
    <definedName function="false" hidden="true" name="_bdm.969b26e9151a48e488a7da4dc892e722.edm" vbProcedure="false">#REF!</definedName>
    <definedName function="false" hidden="true" name="_bdm.96E80045F2CA4096BA7774BD97C5FAB9.edm" vbProcedure="false">#REF!</definedName>
    <definedName function="false" hidden="true" name="_bdm.96fd6f35883b43b087aff60b783a1133.edm" vbProcedure="false">#REF!</definedName>
    <definedName function="false" hidden="true" name="_bdm.9736bd56a54146fa8526fe8139ca5b9a.edm" vbProcedure="false">#REF!</definedName>
    <definedName function="false" hidden="true" name="_bdm.9751e3eb8c874a76a1a92a2d0f0807e9.edm" vbProcedure="false">#REF!</definedName>
    <definedName function="false" hidden="true" name="_bdm.9761173cc5d247c59aee0b882e5619fc.edm" vbProcedure="false">#REF!</definedName>
    <definedName function="false" hidden="true" name="_bdm.978a314d82bb4959b5076571d29f5efe.edm" vbProcedure="false">#REF!</definedName>
    <definedName function="false" hidden="true" name="_bdm.9812c08c01b04ddb8683e40c26920637.edm" vbProcedure="false">#REF!</definedName>
    <definedName function="false" hidden="true" name="_bdm.9871554e7b7841739a5117aa4f2b68e2.edm" vbProcedure="false">#REF!</definedName>
    <definedName function="false" hidden="true" name="_bdm.987b2689d74d4f5fb2632f3f751f2b71.edm" vbProcedure="false">#REF!</definedName>
    <definedName function="false" hidden="true" name="_bdm.9897f7574d7b4d47ac2a4cac3884c787.edm" vbProcedure="false">#REF!</definedName>
    <definedName function="false" hidden="true" name="_bdm.989a777164074dde82aa38e29abb1d25.edm" vbProcedure="false">#REF!</definedName>
    <definedName function="false" hidden="true" name="_bdm.989c06b89840411ebc42cec4b274f552.edm" vbProcedure="false">#REF!</definedName>
    <definedName function="false" hidden="true" name="_bdm.98a1ff676f884a6db0a79f279058a36d.edm" vbProcedure="false">#REF!</definedName>
    <definedName function="false" hidden="true" name="_bdm.98a4a8708a474c4d96c2091ceda632fa.edm" vbProcedure="false">#REF!</definedName>
    <definedName function="false" hidden="true" name="_bdm.98c8ddc9f5c8451f813dd8449967587f.edm" vbProcedure="false">#REF!</definedName>
    <definedName function="false" hidden="true" name="_bdm.98dcfb76ad2d47c5b07e1a44144ef412.edm" vbProcedure="false">#REF!</definedName>
    <definedName function="false" hidden="true" name="_bdm.98f3089df22247168fefc35dcc30484c.edm" vbProcedure="false">#REF!</definedName>
    <definedName function="false" hidden="true" name="_bdm.992dbce4a1ec4d52aa531a67d78ac219.edm" vbProcedure="false">#REF!</definedName>
    <definedName function="false" hidden="true" name="_bdm.99475c3189c947688e3c77a04b054dc2.edm" vbProcedure="false">#REF!</definedName>
    <definedName function="false" hidden="true" name="_bdm.99710a20063948f1bd0dda2be7f62787.edm" vbProcedure="false">#REF!</definedName>
    <definedName function="false" hidden="true" name="_bdm.997904cd7bb44ad5a57b14b0041885af.edm" vbProcedure="false">#REF!</definedName>
    <definedName function="false" hidden="true" name="_bdm.997c6536484845d8adbc007feb547398.edm" vbProcedure="false">#REF!</definedName>
    <definedName function="false" hidden="true" name="_bdm.99c270143d80468ba42d1353f57aca1f.edm" vbProcedure="false">#REF!</definedName>
    <definedName function="false" hidden="true" name="_bdm.99ff372a35dd46338eb8aca1679c6a79.edm" vbProcedure="false">#REF!</definedName>
    <definedName function="false" hidden="true" name="_bdm.9a0af5b340644ab1b07f1a5260d515aa.edm" vbProcedure="false">#REF!</definedName>
    <definedName function="false" hidden="true" name="_bdm.9a80b6bd9bac46d98c76abcd377f5e18.edm" vbProcedure="false">#REF!</definedName>
    <definedName function="false" hidden="true" name="_bdm.9a8c4251e3dc4bbf886874689ff857fb.edm" vbProcedure="false">#REF!</definedName>
    <definedName function="false" hidden="true" name="_bdm.9b1a770a226f4107b5ab3849d536b542.edm" vbProcedure="false">#REF!</definedName>
    <definedName function="false" hidden="true" name="_bdm.9b313660bddf4313be3175c6a0528be6.edm" vbProcedure="false">#REF!</definedName>
    <definedName function="false" hidden="true" name="_bdm.9b56e4d0509c4add8894c4ad1e8f93ed.edm" vbProcedure="false">#REF!</definedName>
    <definedName function="false" hidden="true" name="_bdm.9b8828e7113c48a2a7329fbcb93c4c20.edm" vbProcedure="false">#REF!</definedName>
    <definedName function="false" hidden="true" name="_bdm.9b9b30bed496495aaaa850f1d11e924b.edm" vbProcedure="false">#REF!</definedName>
    <definedName function="false" hidden="true" name="_bdm.9baa846ce7f84d68875fe84bb73c2cd4.edm" vbProcedure="false">#REF!</definedName>
    <definedName function="false" hidden="true" name="_bdm.9badf1c45cd34694a37f4e3a4fc10e6b.edm" vbProcedure="false">#REF!</definedName>
    <definedName function="false" hidden="true" name="_bdm.9bce91b7db534869829fa15aeaf1b9da.edm" vbProcedure="false">#REF!</definedName>
    <definedName function="false" hidden="true" name="_bdm.9bd9294dbd6845b98ac87a98ad208821.edm" vbProcedure="false">#REF!</definedName>
    <definedName function="false" hidden="true" name="_bdm.9becbfa57c644d6285cdaff0b60b5804.edm" vbProcedure="false">#REF!</definedName>
    <definedName function="false" hidden="true" name="_bdm.9BFF8DBAEC7F48F3A0B59B0BA59E9BA6.edm" vbProcedure="false">#REF!</definedName>
    <definedName function="false" hidden="true" name="_bdm.9c070af4a3e544c5bbc4bdc0d0a90698.edm" vbProcedure="false">#REF!</definedName>
    <definedName function="false" hidden="true" name="_bdm.9c267e41f7e64adc9c7412f59b8c6ce8.edm" vbProcedure="false">#REF!</definedName>
    <definedName function="false" hidden="true" name="_bdm.9c3fa7d3fd624a15b24b956189b090ec.edm" vbProcedure="false">#REF!</definedName>
    <definedName function="false" hidden="true" name="_bdm.9c731057bd0c46b1a601e60e5e26d9c6.edm" vbProcedure="false">#REF!</definedName>
    <definedName function="false" hidden="true" name="_bdm.9c7661e207ec4c12b0c9d353d77aa209.edm" vbProcedure="false">#REF!</definedName>
    <definedName function="false" hidden="true" name="_bdm.9cb76536afc340a1aa532c9a8c3c73bd.edm" vbProcedure="false">#REF!</definedName>
    <definedName function="false" hidden="true" name="_bdm.9cd1aea1dade48b19d298a77c59240a6.edm" vbProcedure="false">#REF!</definedName>
    <definedName function="false" hidden="true" name="_bdm.9ce58376018a4f9f9888b02470dec61b.edm" vbProcedure="false">#REF!</definedName>
    <definedName function="false" hidden="true" name="_bdm.9CF10124A4CD495F928AAF8B7FD4C40E.edm" vbProcedure="false">#REF!</definedName>
    <definedName function="false" hidden="true" name="_bdm.9d110ba646f5481cac40a3676c348de6.edm" vbProcedure="false">#REF!</definedName>
    <definedName function="false" hidden="true" name="_bdm.9d585cc4127f4381af62afb4e862b426.edm" vbProcedure="false">#REF!</definedName>
    <definedName function="false" hidden="true" name="_bdm.9da7df880faa4290927f4af5bacab845.edm" vbProcedure="false">#REF!</definedName>
    <definedName function="false" hidden="true" name="_bdm.9dae918afe6b42438a5039efb94a804d.edm" vbProcedure="false">#REF!</definedName>
    <definedName function="false" hidden="true" name="_bdm.9db3893088ef40319055ee58d9ecfb78.edm" vbProcedure="false">#REF!</definedName>
    <definedName function="false" hidden="true" name="_bdm.9dd77a699b6b47dfad6ae1dac0e5f025.edm" vbProcedure="false">#REF!</definedName>
    <definedName function="false" hidden="true" name="_bdm.9dff1ddea9bf492fbaa9afc1639a8ec7.edm" vbProcedure="false">#REF!</definedName>
    <definedName function="false" hidden="true" name="_bdm.9e196fae06be42728fd4bf68b57e6780.edm" vbProcedure="false">#REF!</definedName>
    <definedName function="false" hidden="true" name="_bdm.9e2ee6c5836f4eca84f561759451f721.edm" vbProcedure="false">#REF!</definedName>
    <definedName function="false" hidden="true" name="_bdm.9e58eee6011f4e6293bff107fef5be86.edm" vbProcedure="false">#REF!</definedName>
    <definedName function="false" hidden="true" name="_bdm.9e80aabf90dc48e598e5173cac001764.edm" vbProcedure="false">#REF!</definedName>
    <definedName function="false" hidden="true" name="_bdm.9ebdc1bc2c024643a0e93ff74cfe5ac0.edm" vbProcedure="false">#REF!</definedName>
    <definedName function="false" hidden="true" name="_bdm.9edb1cc9645843e1af94e6ca671b3355.edm" vbProcedure="false">#REF!</definedName>
    <definedName function="false" hidden="true" name="_bdm.9ef07c3c8e8941ed9139e99870a374d5.edm" vbProcedure="false">#REF!</definedName>
    <definedName function="false" hidden="true" name="_bdm.9f08fa4342614066ae008b1220f3e4d6.edm" vbProcedure="false">#REF!</definedName>
    <definedName function="false" hidden="true" name="_bdm.9f36b8b69d0b4e02b2ef28c6e8791cc0.edm" vbProcedure="false">#REF!</definedName>
    <definedName function="false" hidden="true" name="_bdm.9f4f2ebdb32c46e28d4b99656ee55a15.edm" vbProcedure="false">#REF!</definedName>
    <definedName function="false" hidden="true" name="_bdm.9f53f30726c248638448bdce5480de76.edm" vbProcedure="false">#REF!</definedName>
    <definedName function="false" hidden="true" name="_bdm.9f68d76db53c4144a16be69d7cdcc2a1.edm" vbProcedure="false">#REF!</definedName>
    <definedName function="false" hidden="true" name="_bdm.9f768fe1f0484fe29dda422ae207a71f.edm" vbProcedure="false">#REF!</definedName>
    <definedName function="false" hidden="true" name="_bdm.9f910d6db45f4399bf75f3f18b5c3162.edm" vbProcedure="false">#REF!</definedName>
    <definedName function="false" hidden="true" name="_bdm.9fdc0b5cf1a34fdfad5bb1e619146610.edm" vbProcedure="false">#REF!</definedName>
    <definedName function="false" hidden="true" name="_bdm.9ff1599bd7144023bea2ab6cf07ed113.edm" vbProcedure="false">#REF!</definedName>
    <definedName function="false" hidden="true" name="_bdm.a01bd9e549654ee58dafdac8a53d9924.edm" vbProcedure="false">#REF!</definedName>
    <definedName function="false" hidden="true" name="_bdm.a027286d95a647b3b60ac5dedbc33317.edm" vbProcedure="false">#REF!</definedName>
    <definedName function="false" hidden="true" name="_bdm.a0413ce766f848e78ad5484a4ecbff7f.edm" vbProcedure="false">#REF!</definedName>
    <definedName function="false" hidden="true" name="_bdm.a0ae0c27de314eaf8c5df6a339417142.edm" vbProcedure="false">#REF!</definedName>
    <definedName function="false" hidden="true" name="_bdm.a0c011c571c64b168497bd871a20a730.edm" vbProcedure="false">#REF!</definedName>
    <definedName function="false" hidden="true" name="_bdm.a0f2579d5fc84ab5adf3f4d5cf1924dd.edm" vbProcedure="false">#REF!</definedName>
    <definedName function="false" hidden="true" name="_bdm.a0ffbe5fb34a4d28a056191818eafb7e.edm" vbProcedure="false">#REF!</definedName>
    <definedName function="false" hidden="true" name="_bdm.A109F2F1439141ABA893748A6802949B.edm" vbProcedure="false">#REF!</definedName>
    <definedName function="false" hidden="true" name="_bdm.a123c4ccf6f64e60b793a1efb4defe03.edm" vbProcedure="false">#REF!</definedName>
    <definedName function="false" hidden="true" name="_bdm.a125d0e0378f4b4498af6939b4d0ab45.edm" vbProcedure="false">#REF!</definedName>
    <definedName function="false" hidden="true" name="_bdm.a14bea2f4774494d82cb73ad581717f3.edm" vbProcedure="false">#REF!</definedName>
    <definedName function="false" hidden="true" name="_bdm.a1502f3fd8034730aff95372b94caa51.edm" vbProcedure="false">#REF!</definedName>
    <definedName function="false" hidden="true" name="_bdm.a150c779881e4cbf8668ee04c61980e8.edm" vbProcedure="false">#REF!</definedName>
    <definedName function="false" hidden="true" name="_bdm.a193460567bf49e4b1a90cc7de9a86ba.edm" vbProcedure="false">#REF!</definedName>
    <definedName function="false" hidden="true" name="_bdm.a1c50348ed8145c7833cbe5b1f97472b.edm" vbProcedure="false">#REF!</definedName>
    <definedName function="false" hidden="true" name="_bdm.a1d8e3f6fc474e88a050b7efb0bf8c9f.edm" vbProcedure="false">#REF!</definedName>
    <definedName function="false" hidden="true" name="_bdm.a204a9b8df0146ecbe7b331d51b0f6c9.edm" vbProcedure="false">#REF!</definedName>
    <definedName function="false" hidden="true" name="_bdm.a210dcf118074d6e8ca53c2cfceb32bd.edm" vbProcedure="false">#REF!</definedName>
    <definedName function="false" hidden="true" name="_bdm.a212df466ef54b7c989317c95059d8bd.edm" vbProcedure="false">#REF!</definedName>
    <definedName function="false" hidden="true" name="_bdm.a2458968c42f45fb9182de28e4b0ada6.edm" vbProcedure="false">#REF!</definedName>
    <definedName function="false" hidden="true" name="_bdm.a2483929fbb141308d946cc0a75d8b1e.edm" vbProcedure="false">#REF!</definedName>
    <definedName function="false" hidden="true" name="_bdm.a251fe6913214356ae7ffa8f5be7fa16.edm" vbProcedure="false">#REF!</definedName>
    <definedName function="false" hidden="true" name="_bdm.a26d3d0eb06440478aed3542f2346151.edm" vbProcedure="false">#REF!</definedName>
    <definedName function="false" hidden="true" name="_bdm.a28d3414b2bb43b1a8effdcee45c1123.edm" vbProcedure="false">#REF!</definedName>
    <definedName function="false" hidden="true" name="_bdm.a2dabc83b8fa4a0892da3788a19ecdda.edm" vbProcedure="false">#REF!</definedName>
    <definedName function="false" hidden="true" name="_bdm.a2dbb221714547e5a28b096303975e04.edm" vbProcedure="false">#REF!</definedName>
    <definedName function="false" hidden="true" name="_bdm.a305afdeb0de493a943a37f179e4ad5b.edm" vbProcedure="false">#REF!</definedName>
    <definedName function="false" hidden="true" name="_bdm.A30E20B3AFF548D2930DD0AB27E978E0.edm" vbProcedure="false">#REF!</definedName>
    <definedName function="false" hidden="true" name="_bdm.a31898da172e4fd98cb23259779efcd6.edm" vbProcedure="false">#REF!</definedName>
    <definedName function="false" hidden="true" name="_bdm.a32651dae9fc466c851776f4290bb0ac.edm" vbProcedure="false">#REF!</definedName>
    <definedName function="false" hidden="true" name="_bdm.a335e353090a4419bb8275f9c20743a3.edm" vbProcedure="false">#REF!</definedName>
    <definedName function="false" hidden="true" name="_bdm.a36aef19a6db407fa015387141e7eae6.edm" vbProcedure="false">#REF!</definedName>
    <definedName function="false" hidden="true" name="_bdm.a36cbe3fd7134610933cc36ae1f2af84.edm" vbProcedure="false">#REF!</definedName>
    <definedName function="false" hidden="true" name="_bdm.a39e2314a9ae4997902becb9a5eba75d.edm" vbProcedure="false">#REF!</definedName>
    <definedName function="false" hidden="true" name="_bdm.a3a9c7342ec0424c9898f0e3825d3271.edm" vbProcedure="false">#REF!</definedName>
    <definedName function="false" hidden="true" name="_bdm.a3af3559d6534f598d1f607337ba454a.edm" vbProcedure="false">#REF!</definedName>
    <definedName function="false" hidden="true" name="_bdm.a3bd72511b3d4163852ea0eec06e6d56.edm" vbProcedure="false">#REF!</definedName>
    <definedName function="false" hidden="true" name="_bdm.a3d40559994f4a81a71a504ff2f14595.edm" vbProcedure="false">#REF!</definedName>
    <definedName function="false" hidden="true" name="_bdm.a3effe01e6814539b129c419b4024066.edm" vbProcedure="false">#REF!</definedName>
    <definedName function="false" hidden="true" name="_bdm.a40e7cedc9ab443ca751a2aa7b9c7a90.edm" vbProcedure="false">#REF!</definedName>
    <definedName function="false" hidden="true" name="_bdm.a431ca8613484823aac1e016aac38642.edm" vbProcedure="false">#REF!</definedName>
    <definedName function="false" hidden="true" name="_bdm.a4ba9eaa7f314e70ad7d51a690f96c07.edm" vbProcedure="false">#REF!</definedName>
    <definedName function="false" hidden="true" name="_bdm.a4c38d85406a4de7a56f2298673eaa06.edm" vbProcedure="false">#REF!</definedName>
    <definedName function="false" hidden="true" name="_bdm.a4f67c185d544deb9b2c84801a1e12ce.edm" vbProcedure="false">#REF!</definedName>
    <definedName function="false" hidden="true" name="_bdm.a5135c5977114e4d9f24885f64b31b48.edm" vbProcedure="false">#REF!</definedName>
    <definedName function="false" hidden="true" name="_bdm.a51ad84b16814f3985b5af08c7fbeaf8.edm" vbProcedure="false">#REF!</definedName>
    <definedName function="false" hidden="true" name="_bdm.a5263c5d1727416ea219e3aeb6ad9fba.edm" vbProcedure="false">#REF!</definedName>
    <definedName function="false" hidden="true" name="_bdm.a553e45a22e940b0baf9346e4d63c8eb.edm" vbProcedure="false">#REF!</definedName>
    <definedName function="false" hidden="true" name="_bdm.a581bb2ee0504b1190b17c6180ff2a9a.edm" vbProcedure="false">#REF!</definedName>
    <definedName function="false" hidden="true" name="_bdm.a58338f1f5ac453cb14e80d03af70152.edm" vbProcedure="false">#REF!</definedName>
    <definedName function="false" hidden="true" name="_bdm.a5d42b2258514288bc457462d67de6b8.edm" vbProcedure="false">#REF!</definedName>
    <definedName function="false" hidden="true" name="_bdm.a5f81f3da79b414f88865bcbfb7dd5db.edm" vbProcedure="false">#REF!</definedName>
    <definedName function="false" hidden="true" name="_bdm.a67e467ff9504a94994c51f0c81de2dd.edm" vbProcedure="false">#REF!</definedName>
    <definedName function="false" hidden="true" name="_bdm.A68B3163BC65461B9A3FB60D9FE14BB0.edm" vbProcedure="false">#REF!</definedName>
    <definedName function="false" hidden="true" name="_bdm.a694da75c94b4bc5bfa29861f8dc25eb.edm" vbProcedure="false">#REF!</definedName>
    <definedName function="false" hidden="true" name="_bdm.a6a5ca396fa5422f99854b098dfa534f.edm" vbProcedure="false">#REF!</definedName>
    <definedName function="false" hidden="true" name="_bdm.a6c96972bd734d96ad173fbbd9e9f04d.edm" vbProcedure="false">#REF!</definedName>
    <definedName function="false" hidden="true" name="_bdm.a6e67ba445b843b19a64f2ee749a2537.edm" vbProcedure="false">#REF!</definedName>
    <definedName function="false" hidden="true" name="_bdm.a725135d43a742c188d2db9eba93f817.edm" vbProcedure="false">#REF!</definedName>
    <definedName function="false" hidden="true" name="_bdm.a733f0ec330d4aa3a01dc170deaaf752.edm" vbProcedure="false">#REF!</definedName>
    <definedName function="false" hidden="true" name="_bdm.a752eef1603f459b9f0f338e4d7a4102.edm" vbProcedure="false">#REF!</definedName>
    <definedName function="false" hidden="true" name="_bdm.a79aeb340f4542f3a42087fdf592231c.edm" vbProcedure="false">#REF!</definedName>
    <definedName function="false" hidden="true" name="_bdm.a79da9fc0ff749a7a18ea5e40ef1fb58.edm" vbProcedure="false">#REF!</definedName>
    <definedName function="false" hidden="true" name="_bdm.a7cff00834cb4136ac381f2343a60483.edm" vbProcedure="false">Spreads!$1:$1048576</definedName>
    <definedName function="false" hidden="true" name="_bdm.a8118eb0840d43e4a5c2c1b8464c1ddf.edm" vbProcedure="false">#REF!</definedName>
    <definedName function="false" hidden="true" name="_bdm.a817dc6c41a94df8ba751e2132ff7bb7.edm" vbProcedure="false">#REF!</definedName>
    <definedName function="false" hidden="true" name="_bdm.a81859da50624a5b899854ad997af79c.edm" vbProcedure="false">#REF!</definedName>
    <definedName function="false" hidden="true" name="_bdm.a8327b5ea2ec4e0fb8d32431ced23962.edm" vbProcedure="false">#REF!</definedName>
    <definedName function="false" hidden="true" name="_bdm.a84f6266793f4827aac71f7ea2486b8c.edm" vbProcedure="false">#REF!</definedName>
    <definedName function="false" hidden="true" name="_bdm.a8bc6984ce4540719bed5e0984d4fa3f.edm" vbProcedure="false">#REF!</definedName>
    <definedName function="false" hidden="true" name="_bdm.a8d0d764e03f42ac8daa4931ab325cb2.edm" vbProcedure="false">#REF!</definedName>
    <definedName function="false" hidden="true" name="_bdm.a8d5f24dada14c0ba02c16ce09423279.edm" vbProcedure="false">#REF!</definedName>
    <definedName function="false" hidden="true" name="_bdm.a90ffc14dc8a4eb0b50187778536d887.edm" vbProcedure="false">#REF!</definedName>
    <definedName function="false" hidden="true" name="_bdm.a944f3fddd054248884a10a1bee8d74b.edm" vbProcedure="false">#REF!</definedName>
    <definedName function="false" hidden="true" name="_bdm.a95f431ae9d348978336502c367cc029.edm" vbProcedure="false">#REF!</definedName>
    <definedName function="false" hidden="true" name="_bdm.a964f46a0e1843688b9069a6025d1e96.edm" vbProcedure="false">#REF!</definedName>
    <definedName function="false" hidden="true" name="_bdm.a96bdb5cb74b45e78022079c8abda7da.edm" vbProcedure="false">#REF!</definedName>
    <definedName function="false" hidden="true" name="_bdm.a9806879bcf141f68033b216344a11b5.edm" vbProcedure="false">#REF!</definedName>
    <definedName function="false" hidden="true" name="_bdm.a9b0ac4c5901406386e8399d9921578a.edm" vbProcedure="false">#REF!</definedName>
    <definedName function="false" hidden="true" name="_bdm.a9bc3ad2530a4c739517c48dc94a984b.edm" vbProcedure="false">#REF!</definedName>
    <definedName function="false" hidden="true" name="_bdm.a9e0654e438647caa6151da03d94e12a.edm" vbProcedure="false">#REF!</definedName>
    <definedName function="false" hidden="true" name="_bdm.a9eb8b44e84b44e3aacb10e597e2d59e.edm" vbProcedure="false">#REF!</definedName>
    <definedName function="false" hidden="true" name="_bdm.aa5a5bbd5502424f8e04cadb1d533151.edm" vbProcedure="false">#REF!</definedName>
    <definedName function="false" hidden="true" name="_bdm.aac6463cf98e4ce09c1b6ae69dd1472a.edm" vbProcedure="false">#REF!</definedName>
    <definedName function="false" hidden="true" name="_bdm.aaf4b545218c46079c4874d8c102f57e.edm" vbProcedure="false">#REF!</definedName>
    <definedName function="false" hidden="true" name="_bdm.ab17d42826e94fbe9e41831b594691fd.edm" vbProcedure="false">#REF!</definedName>
    <definedName function="false" hidden="true" name="_bdm.ab23d79761234eb5b41a234d93819eef.edm" vbProcedure="false">#REF!</definedName>
    <definedName function="false" hidden="true" name="_bdm.ab449b203bf1479c803cb7833c33ed8c.edm" vbProcedure="false">#REF!</definedName>
    <definedName function="false" hidden="true" name="_bdm.ab5cd0c0a5804b8982a0e65b730fe223.edm" vbProcedure="false">#REF!</definedName>
    <definedName function="false" hidden="true" name="_bdm.ab5f10d4b375412694c11e16fb2b1298.edm" vbProcedure="false">#REF!</definedName>
    <definedName function="false" hidden="true" name="_bdm.ab84c0bb93e742279ca2ee0afe55f380.edm" vbProcedure="false">#REF!</definedName>
    <definedName function="false" hidden="true" name="_bdm.abd5c1ccfd324a5092f29bb454388068.edm" vbProcedure="false">#REF!</definedName>
    <definedName function="false" hidden="true" name="_bdm.abff126ea4d7412bb5d963d9f8a91b1a.edm" vbProcedure="false">#REF!</definedName>
    <definedName function="false" hidden="true" name="_bdm.ac0802518241403ea87c6f509ab342b5.edm" vbProcedure="false">#REF!</definedName>
    <definedName function="false" hidden="true" name="_bdm.ac1bd9af371d40399bada41c05b50702.edm" vbProcedure="false">#REF!</definedName>
    <definedName function="false" hidden="true" name="_bdm.ac70024f2fe6401a8a296c95f76a121b.edm" vbProcedure="false">#REF!</definedName>
    <definedName function="false" hidden="true" name="_bdm.acbcb0d212c943e8a9c321e2d03e5350.edm" vbProcedure="false">#REF!</definedName>
    <definedName function="false" hidden="true" name="_bdm.acca701b0b2440abbe3f90c07f797c63.edm" vbProcedure="false">#REF!</definedName>
    <definedName function="false" hidden="true" name="_bdm.acf16d184afd43749905eb6730fadc25.edm" vbProcedure="false">#REF!</definedName>
    <definedName function="false" hidden="true" name="_bdm.acf17c93a11a47de9519875fddfc3078.edm" vbProcedure="false">#REF!</definedName>
    <definedName function="false" hidden="true" name="_bdm.ad06fbe14e8348809166881346dac27c.edm" vbProcedure="false">#REF!</definedName>
    <definedName function="false" hidden="true" name="_bdm.ad0723bb58644a299ae5992ac529cf78.edm" vbProcedure="false">#REF!</definedName>
    <definedName function="false" hidden="true" name="_bdm.ad1875aa0e8648c4ba88ff178d0cc484.edm" vbProcedure="false">#REF!</definedName>
    <definedName function="false" hidden="true" name="_bdm.add12356269845a4859043e074658df6.edm" vbProcedure="false">#REF!</definedName>
    <definedName function="false" hidden="true" name="_bdm.ae1ff72815ef4651948f320323bd9c7b.edm" vbProcedure="false">#REF!</definedName>
    <definedName function="false" hidden="true" name="_bdm.ae211529d437460dbe02bd7cffb7c319.edm" vbProcedure="false">#REF!</definedName>
    <definedName function="false" hidden="true" name="_bdm.ae66aba7456245788952e563e1155629.edm" vbProcedure="false">#REF!</definedName>
    <definedName function="false" hidden="true" name="_bdm.ae8d9bc14dc84f4694b6d5b7dfada6d8.edm" vbProcedure="false">#REF!</definedName>
    <definedName function="false" hidden="true" name="_bdm.aea04519f8284091bade38f87b363665.edm" vbProcedure="false">#REF!</definedName>
    <definedName function="false" hidden="true" name="_bdm.aeb187c343294fad877bd179b93c599b.edm" vbProcedure="false">#REF!</definedName>
    <definedName function="false" hidden="true" name="_bdm.aec09f797ae349868d137e978c234478.edm" vbProcedure="false">#REF!</definedName>
    <definedName function="false" hidden="true" name="_bdm.aef3f51a142c4a26b3579541213ab9f0.edm" vbProcedure="false">#REF!</definedName>
    <definedName function="false" hidden="true" name="_bdm.aef5e7f8653e463882e6197bdbbb257a.edm" vbProcedure="false">#REF!</definedName>
    <definedName function="false" hidden="true" name="_bdm.af054b6c883f4a42939639241022c524.edm" vbProcedure="false">#REF!</definedName>
    <definedName function="false" hidden="true" name="_bdm.af2be92e06734c419e303854365236a3.edm" vbProcedure="false">#REF!</definedName>
    <definedName function="false" hidden="true" name="_bdm.af2df4746bce41a6939b4a5b105e8142.edm" vbProcedure="false">#REF!</definedName>
    <definedName function="false" hidden="true" name="_bdm.af39c0eab42b4fa59dab7b71e92e753e.edm" vbProcedure="false">#REF!</definedName>
    <definedName function="false" hidden="true" name="_bdm.af68a45c43884403a697546db92f9395.edm" vbProcedure="false">#REF!</definedName>
    <definedName function="false" hidden="true" name="_bdm.af9636e05423454e8fd429fd456a94e9.edm" vbProcedure="false">#REF!</definedName>
    <definedName function="false" hidden="true" name="_bdm.af964ff126b14d1884b7371e27910dbf.edm" vbProcedure="false">#REF!</definedName>
    <definedName function="false" hidden="true" name="_bdm.afa8cb7f6353446587241b3e9af6aeab.edm" vbProcedure="false">#REF!</definedName>
    <definedName function="false" hidden="true" name="_bdm.afb9cd915fb54f84b2ebb740c4ba62d2.edm" vbProcedure="false">#REF!</definedName>
    <definedName function="false" hidden="true" name="_bdm.afee1a20436144f6ab97ea1bd21d3442.edm" vbProcedure="false">#REF!</definedName>
    <definedName function="false" hidden="true" name="_bdm.afffa2cd7b71466f951e2780193b23ea.edm" vbProcedure="false">#REF!</definedName>
    <definedName function="false" hidden="true" name="_bdm.b015564c079c4093a1ff27871b6147da.edm" vbProcedure="false">#REF!</definedName>
    <definedName function="false" hidden="true" name="_bdm.b036256a62654462b65088ff2cbd08d4.edm" vbProcedure="false">#REF!</definedName>
    <definedName function="false" hidden="true" name="_bdm.b04897f68ab7483ba6978043f9764edb.edm" vbProcedure="false">#REF!</definedName>
    <definedName function="false" hidden="true" name="_bdm.b04cce90d53e46c49e87b6aaa48a6bc7.edm" vbProcedure="false">#REF!</definedName>
    <definedName function="false" hidden="true" name="_bdm.b083749006404db582dde19d5639d588.edm" vbProcedure="false">#REF!</definedName>
    <definedName function="false" hidden="true" name="_bdm.b09f63018ec54d14ad77e992ea7a9f46.edm" vbProcedure="false">#REF!</definedName>
    <definedName function="false" hidden="true" name="_bdm.b0b4082d016d4089a8308c7a80984740.edm" vbProcedure="false">#REF!</definedName>
    <definedName function="false" hidden="true" name="_bdm.B0E69E77654243558A3AD0D7454113DD.edm" vbProcedure="false">#REF!</definedName>
    <definedName function="false" hidden="true" name="_bdm.b0ef6502af4440f08920db0e73c288b0.edm" vbProcedure="false">#REF!</definedName>
    <definedName function="false" hidden="true" name="_bdm.b0fc8643246e461084bf29e38d3d7a37.edm" vbProcedure="false">#REF!</definedName>
    <definedName function="false" hidden="true" name="_bdm.b11cd97344904ffeb6b9f54444743c7f.edm" vbProcedure="false">#REF!</definedName>
    <definedName function="false" hidden="true" name="_bdm.b13cbf08c50a4256965c4402f0ce2fce.edm" vbProcedure="false">#REF!</definedName>
    <definedName function="false" hidden="true" name="_bdm.b1453588b81f49a89e9c856bb40f812c.edm" vbProcedure="false">#REF!</definedName>
    <definedName function="false" hidden="true" name="_bdm.b14e34359a084a469cbadea9060f7789.edm" vbProcedure="false">#REF!</definedName>
    <definedName function="false" hidden="true" name="_bdm.B15C74B414624C8E822D82182EF0CDF4.edm" vbProcedure="false">#REF!</definedName>
    <definedName function="false" hidden="true" name="_bdm.b18661c6fd8a4e60920517104efc7605.edm" vbProcedure="false">#REF!</definedName>
    <definedName function="false" hidden="true" name="_bdm.b190f16e00c84688acbc28e323ef0903.edm" vbProcedure="false">#REF!</definedName>
    <definedName function="false" hidden="true" name="_bdm.b1a67baf0221422482b638b831c8a882.edm" vbProcedure="false">#REF!</definedName>
    <definedName function="false" hidden="true" name="_bdm.b1adf36a37f444eabb75b6ce26f27314.edm" vbProcedure="false">#REF!</definedName>
    <definedName function="false" hidden="true" name="_bdm.b1c42409334b4f7d867e826a1377abed.edm" vbProcedure="false">#REF!</definedName>
    <definedName function="false" hidden="true" name="_bdm.b1e7da578fee467a84b6c910b870b732.edm" vbProcedure="false">#REF!</definedName>
    <definedName function="false" hidden="true" name="_bdm.b1fa75c2230d44588b16f53ebf2745d3.edm" vbProcedure="false">#REF!</definedName>
    <definedName function="false" hidden="true" name="_bdm.b24d72aa52094f23982f43bd45dfad2e.edm" vbProcedure="false">#REF!</definedName>
    <definedName function="false" hidden="true" name="_bdm.b26dcefcfce74a42b803efe86be50d94.edm" vbProcedure="false">#REF!</definedName>
    <definedName function="false" hidden="true" name="_bdm.b28673747e1b4b3eb74d5db09499f1fb.edm" vbProcedure="false">#REF!</definedName>
    <definedName function="false" hidden="true" name="_bdm.b299fedecc5a4161ac1d1edf647d7299.edm" vbProcedure="false">#REF!</definedName>
    <definedName function="false" hidden="true" name="_bdm.b29c47bf02744b23b0a9c6438fe3bb6d.edm" vbProcedure="false">#REF!</definedName>
    <definedName function="false" hidden="true" name="_bdm.b2c2caeccd214b9eb02d0d88cc97e428.edm" vbProcedure="false">#REF!</definedName>
    <definedName function="false" hidden="true" name="_bdm.b2c98a98d57441689b562f97eb12090b.edm" vbProcedure="false">#REF!</definedName>
    <definedName function="false" hidden="true" name="_bdm.b2fd3bffeaec40e78e88854e6e206d37.edm" vbProcedure="false">#REF!</definedName>
    <definedName function="false" hidden="true" name="_bdm.b334076cdc3c4bd5a0c3d3bf2d99dc73.edm" vbProcedure="false">#REF!</definedName>
    <definedName function="false" hidden="true" name="_bdm.b33a497ec99b4c1ebb7017363afc4f69.edm" vbProcedure="false">#REF!</definedName>
    <definedName function="false" hidden="true" name="_bdm.b34ecb647c3a4a38b8ef0b38163afbd4.edm" vbProcedure="false">#REF!</definedName>
    <definedName function="false" hidden="true" name="_bdm.b3a1779a47bd49ad9d0889b05a056a30.edm" vbProcedure="false">#REF!</definedName>
    <definedName function="false" hidden="true" name="_bdm.b3d1b9132f7d42d08477353bbb037391.edm" vbProcedure="false">#REF!</definedName>
    <definedName function="false" hidden="true" name="_bdm.b3e0db13c57e4f33b2681f41ac1e1001.edm" vbProcedure="false">#REF!</definedName>
    <definedName function="false" hidden="true" name="_bdm.B407B6D82C07447CB53803EA86C4E465.edm" vbProcedure="false">#REF!</definedName>
    <definedName function="false" hidden="true" name="_bdm.b40fbc88d326441fbe5699cd92548c02.edm" vbProcedure="false">#REF!</definedName>
    <definedName function="false" hidden="true" name="_bdm.b4421bd7750842679b7568258e49d89a.edm" vbProcedure="false">#REF!</definedName>
    <definedName function="false" hidden="true" name="_bdm.b4661446a2a64773ac81502fb354d98c.edm" vbProcedure="false">#REF!</definedName>
    <definedName function="false" hidden="true" name="_bdm.b47219554e2f4e86a9c7912803dd134a.edm" vbProcedure="false">#REF!</definedName>
    <definedName function="false" hidden="true" name="_bdm.b4789bee7da94cdbb965b655976db65f.edm" vbProcedure="false">#REF!</definedName>
    <definedName function="false" hidden="true" name="_bdm.b47a1a043d0148929042de19fb082737.edm" vbProcedure="false">#REF!</definedName>
    <definedName function="false" hidden="true" name="_bdm.b48af2028c5d40f4877b20844215bea1.edm" vbProcedure="false">#REF!</definedName>
    <definedName function="false" hidden="true" name="_bdm.b49219bb0e8d45e2b38b69b438eac562.edm" vbProcedure="false">#REF!</definedName>
    <definedName function="false" hidden="true" name="_bdm.b4a0a880d17d4cc3998d260ada7315b1.edm" vbProcedure="false">#REF!</definedName>
    <definedName function="false" hidden="true" name="_bdm.b4a1db2651ce4cee83b27d84121cfb45.edm" vbProcedure="false">#REF!</definedName>
    <definedName function="false" hidden="true" name="_bdm.b4bcf3651082473899ad865eb1bb85c7.edm" vbProcedure="false">#REF!</definedName>
    <definedName function="false" hidden="true" name="_bdm.b4c365ec1a4a47ae91c0e7c4914fc422.edm" vbProcedure="false">#REF!</definedName>
    <definedName function="false" hidden="true" name="_bdm.b4c5fe7f1d5e4258bd34719543fe529b.edm" vbProcedure="false">#REF!</definedName>
    <definedName function="false" hidden="true" name="_bdm.b4d15b157eec4cae98ee93bf16f1d8b9.edm" vbProcedure="false">#REF!</definedName>
    <definedName function="false" hidden="true" name="_bdm.b4f0a38b8d3f4083b296cae79a389c67.edm" vbProcedure="false">#REF!</definedName>
    <definedName function="false" hidden="true" name="_bdm.b50970fbf7bd4d62859467e49eb8dcc4.edm" vbProcedure="false">#REF!</definedName>
    <definedName function="false" hidden="true" name="_bdm.b51fc654b7d04a69a6a1cbf1119683bd.edm" vbProcedure="false">#REF!</definedName>
    <definedName function="false" hidden="true" name="_bdm.b5252555e5944d4690ef055ceb4541d7.edm" vbProcedure="false">#REF!</definedName>
    <definedName function="false" hidden="true" name="_bdm.b53e7a1484bb4044acf6f345091aff3e.edm" vbProcedure="false">#REF!</definedName>
    <definedName function="false" hidden="true" name="_bdm.b5662bc93fb749d78588693745f34149.edm" vbProcedure="false">#REF!</definedName>
    <definedName function="false" hidden="true" name="_bdm.b583744884bf4cd9b8cbae2e57d51c1d.edm" vbProcedure="false">#REF!</definedName>
    <definedName function="false" hidden="true" name="_bdm.b59dd9b730d049f3a18ab06733d73525.edm" vbProcedure="false">#REF!</definedName>
    <definedName function="false" hidden="true" name="_bdm.b5b67710110f49ffb6a872eeaf35cdab.edm" vbProcedure="false">#REF!</definedName>
    <definedName function="false" hidden="true" name="_bdm.b5c3d01a31514d47a0e3e07b6991dcfc.edm" vbProcedure="false">#REF!</definedName>
    <definedName function="false" hidden="true" name="_bdm.b5ecc131d15f4675806c36e8fc3786b2.edm" vbProcedure="false">#REF!</definedName>
    <definedName function="false" hidden="true" name="_bdm.b60b9c43d4de4e8e9798ef5aba32d1af.edm" vbProcedure="false">#REF!</definedName>
    <definedName function="false" hidden="true" name="_bdm.b626dc5647274187bf083fb644e8254e.edm" vbProcedure="false">#REF!</definedName>
    <definedName function="false" hidden="true" name="_bdm.b654bff058fe4593ab3783673d7145a7.edm" vbProcedure="false">#REF!</definedName>
    <definedName function="false" hidden="true" name="_bdm.b671d8f61175433c8b418b1a7c60102c.edm" vbProcedure="false">#REF!</definedName>
    <definedName function="false" hidden="true" name="_bdm.b6767927880d48f5a3cbcf2beaa49449.edm" vbProcedure="false">#REF!</definedName>
    <definedName function="false" hidden="true" name="_bdm.b6b278e4a3c948379f6e72af4b2253bd.edm" vbProcedure="false">#REF!</definedName>
    <definedName function="false" hidden="true" name="_bdm.b6bb4748f42c4ea3871aba2ab68e33b4.edm" vbProcedure="false">#REF!</definedName>
    <definedName function="false" hidden="true" name="_bdm.b6c89b19194b4dfd90f2806a5c91e092.edm" vbProcedure="false">#REF!</definedName>
    <definedName function="false" hidden="true" name="_bdm.b6df5a5ea1334e8a90c912012e80ac8d.edm" vbProcedure="false">#REF!</definedName>
    <definedName function="false" hidden="true" name="_bdm.b6fb85aaf9ac4b7f80d5fb398ee0c2d1.edm" vbProcedure="false">#REF!</definedName>
    <definedName function="false" hidden="true" name="_bdm.b701495a4e424ffead9855a9c12dc66d.edm" vbProcedure="false">#REF!</definedName>
    <definedName function="false" hidden="true" name="_bdm.b71c32136fd04c439a3c6fc0567114ef.edm" vbProcedure="false">#REF!</definedName>
    <definedName function="false" hidden="true" name="_bdm.b71d41c2de5d46438b2cfa4b432e236b.edm" vbProcedure="false">#REF!</definedName>
    <definedName function="false" hidden="true" name="_bdm.b72a795fc3fe43f793d6ad98cefcc1d7.edm" vbProcedure="false">#REF!</definedName>
    <definedName function="false" hidden="true" name="_bdm.b743125099844fc0a703d6f6816abc09.edm" vbProcedure="false">#REF!</definedName>
    <definedName function="false" hidden="true" name="_bdm.b74ebaac55c44eafaaa37328a09a5f7a.edm" vbProcedure="false">#REF!</definedName>
    <definedName function="false" hidden="true" name="_bdm.b75f021ca4024b9181af255b56d4e7b4.edm" vbProcedure="false">#REF!</definedName>
    <definedName function="false" hidden="true" name="_bdm.b769520242d24ea68f95be45e48ef96d.edm" vbProcedure="false">#REF!</definedName>
    <definedName function="false" hidden="true" name="_bdm.b781818afe914ce995c82fd5f9a91b89.edm" vbProcedure="false">#REF!</definedName>
    <definedName function="false" hidden="true" name="_bdm.b7977b41c5714049a7dfbd997236479e.edm" vbProcedure="false">#REF!</definedName>
    <definedName function="false" hidden="true" name="_bdm.b7a4b712ec8b45f495b9783287e75aa0.edm" vbProcedure="false">#REF!</definedName>
    <definedName function="false" hidden="true" name="_bdm.b7ad9162836241f48ea68c4523d33848.edm" vbProcedure="false">#REF!</definedName>
    <definedName function="false" hidden="true" name="_bdm.b7b43f1b9e34403c83dc4a5439f3234b.edm" vbProcedure="false">#REF!</definedName>
    <definedName function="false" hidden="true" name="_bdm.b824d64531084d8f9264ab08bb173653.edm" vbProcedure="false">#REF!</definedName>
    <definedName function="false" hidden="true" name="_bdm.b830f5b7c5444327b925d5df840602f9.edm" vbProcedure="false">#REF!</definedName>
    <definedName function="false" hidden="true" name="_bdm.b87f2c6c2b45489bb8ecaf5608c2592c.edm" vbProcedure="false">#REF!</definedName>
    <definedName function="false" hidden="true" name="_bdm.b8ce3205405b4d7dbe9563315c8008ec.edm" vbProcedure="false">#REF!</definedName>
    <definedName function="false" hidden="true" name="_bdm.b8cf10b0a56f43bfb099799cca09dd82.edm" vbProcedure="false">#REF!</definedName>
    <definedName function="false" hidden="true" name="_bdm.b8d4c2ff284743e998c26d9109b7fa60.edm" vbProcedure="false">#REF!</definedName>
    <definedName function="false" hidden="true" name="_bdm.b8d5285b9c9846ee98adcdfabb8d9a31.edm" vbProcedure="false">#REF!</definedName>
    <definedName function="false" hidden="true" name="_bdm.b8d529cb5b9e47b09a93189e53d3d0c0.edm" vbProcedure="false">#REF!</definedName>
    <definedName function="false" hidden="true" name="_bdm.b8dc595da18149db93820fda9b07a7af.edm" vbProcedure="false">#REF!</definedName>
    <definedName function="false" hidden="true" name="_bdm.b8f95809fabc4392ba6036301ce4159c.edm" vbProcedure="false">#REF!</definedName>
    <definedName function="false" hidden="true" name="_bdm.b8fdb322cb9049549da2c762a21a5432.edm" vbProcedure="false">#REF!</definedName>
    <definedName function="false" hidden="true" name="_bdm.b909d86fe4d64f98bad0528a5a82974d.edm" vbProcedure="false">#REF!</definedName>
    <definedName function="false" hidden="true" name="_bdm.b91154165cbb4363acca129846e39ab0.edm" vbProcedure="false">#REF!</definedName>
    <definedName function="false" hidden="true" name="_bdm.b9130ce61144452ea8af4f6b9ca31383.edm" vbProcedure="false">#REF!</definedName>
    <definedName function="false" hidden="true" name="_bdm.b918cb7869c44667a462e645a7659a51.edm" vbProcedure="false">#REF!</definedName>
    <definedName function="false" hidden="true" name="_bdm.b93fdf0508c943859ee006b2bf0eb347.edm" vbProcedure="false">#REF!</definedName>
    <definedName function="false" hidden="true" name="_bdm.b9582f3fd23c4c3ea5b53406edfff15b.edm" vbProcedure="false">#REF!</definedName>
    <definedName function="false" hidden="true" name="_bdm.b959c7343aa4489b82961dcd89b78728.edm" vbProcedure="false">#REF!</definedName>
    <definedName function="false" hidden="true" name="_bdm.b976af2a21ae40b5ba3c0b6978f4a8e1.edm" vbProcedure="false">#REF!</definedName>
    <definedName function="false" hidden="true" name="_bdm.b993598820d6412abc54df8aab2b9cdb.edm" vbProcedure="false">#REF!</definedName>
    <definedName function="false" hidden="true" name="_bdm.b9a4cdfdbd0741fe9d0f9beb4da156ee.edm" vbProcedure="false">#REF!</definedName>
    <definedName function="false" hidden="true" name="_bdm.b9bf32c63c9949dbabb2aee4fd89b783.edm" vbProcedure="false">#REF!</definedName>
    <definedName function="false" hidden="true" name="_bdm.b9d7c12a2c2549a097145e4bb26ad7ef.edm" vbProcedure="false">#REF!</definedName>
    <definedName function="false" hidden="true" name="_bdm.b9f15fcee7f94d459892a307bc13236e.edm" vbProcedure="false">#REF!</definedName>
    <definedName function="false" hidden="true" name="_bdm.b9f7ea3844884ff499a0e258ea810c9e.edm" vbProcedure="false">#REF!</definedName>
    <definedName function="false" hidden="true" name="_bdm.ba1d9ca12f8d4d79829010ac4fc2befd.edm" vbProcedure="false">#REF!</definedName>
    <definedName function="false" hidden="true" name="_bdm.ba37f47dc5e9413ba1252f85ada9d764.edm" vbProcedure="false">#REF!</definedName>
    <definedName function="false" hidden="true" name="_bdm.ba9a6d74c65447fab7336522679f782e.edm" vbProcedure="false">#REF!</definedName>
    <definedName function="false" hidden="true" name="_bdm.bad843cdeecd4a1281d90814316c77a7.edm" vbProcedure="false">#REF!</definedName>
    <definedName function="false" hidden="true" name="_bdm.baea4da7cd2e49fab53f8ff941dded4a.edm" vbProcedure="false">#REF!</definedName>
    <definedName function="false" hidden="true" name="_bdm.baec9f88fc1c4c57af4c748785e36c88.edm" vbProcedure="false">#REF!</definedName>
    <definedName function="false" hidden="true" name="_bdm.bb0c0ee450ea4a6dbbb55ded47a05b42.edm" vbProcedure="false">#REF!</definedName>
    <definedName function="false" hidden="true" name="_bdm.bb110be76ac44f21a6ec4dce7b589de9.edm" vbProcedure="false">#REF!</definedName>
    <definedName function="false" hidden="true" name="_bdm.bb4c410e652d49e3855f461a71c88d7b.edm" vbProcedure="false">#REF!</definedName>
    <definedName function="false" hidden="true" name="_bdm.bb575bda02cc45abaa81c03fc4025043.edm" vbProcedure="false">#REF!</definedName>
    <definedName function="false" hidden="true" name="_bdm.bb6aff87f90d4820a76df9fe10dad506.edm" vbProcedure="false">#REF!</definedName>
    <definedName function="false" hidden="true" name="_bdm.bb843c70bea04218842ae8b117a7a7ba.edm" vbProcedure="false">#REF!</definedName>
    <definedName function="false" hidden="true" name="_bdm.bb96f9fc015a427a9f0640802ce1245b.edm" vbProcedure="false">#REF!</definedName>
    <definedName function="false" hidden="true" name="_bdm.bbb51dc360b84f018c9aaed0b2b12acd.edm" vbProcedure="false">#REF!</definedName>
    <definedName function="false" hidden="true" name="_bdm.bbd24a1e26d14ca698ea6f7e3d307aac.edm" vbProcedure="false">#REF!</definedName>
    <definedName function="false" hidden="true" name="_bdm.bc1cd52496114268ac70a08f994b3288.edm" vbProcedure="false">#REF!</definedName>
    <definedName function="false" hidden="true" name="_bdm.bc45e9173cf14a68aaca5789bddfb5d1.edm" vbProcedure="false">#REF!</definedName>
    <definedName function="false" hidden="true" name="_bdm.bc55a300c1fd43a38ff17c318cb908ee.edm" vbProcedure="false">#REF!</definedName>
    <definedName function="false" hidden="true" name="_bdm.bc8e0226f38e4be9b6fc616442c5bbe3.edm" vbProcedure="false">#REF!</definedName>
    <definedName function="false" hidden="true" name="_bdm.bcc16e4a68de40fea58d4a579618ad42.edm" vbProcedure="false">#REF!</definedName>
    <definedName function="false" hidden="true" name="_bdm.bd10709611b142cb8a8faadd156c6272.edm" vbProcedure="false">#REF!</definedName>
    <definedName function="false" hidden="true" name="_bdm.bd407094c9d146c394ecb4b630525ae8.edm" vbProcedure="false">#REF!</definedName>
    <definedName function="false" hidden="true" name="_bdm.bd5d18ae43244bbe91ddd076c0034ce4.edm" vbProcedure="false">#REF!</definedName>
    <definedName function="false" hidden="true" name="_bdm.bdadc235863d4f068215f4ec7a93ec21.edm" vbProcedure="false">#REF!</definedName>
    <definedName function="false" hidden="true" name="_bdm.bdbcfa31692f46b5a9dc2cb718c7a5c0.edm" vbProcedure="false">#REF!</definedName>
    <definedName function="false" hidden="true" name="_bdm.bdc93709c4e34b8b85191fbf0326a751.edm" vbProcedure="false">#REF!</definedName>
    <definedName function="false" hidden="true" name="_bdm.bdd1cdffcc314bb1aeb5f4c1ae1f3698.edm" vbProcedure="false">#REF!</definedName>
    <definedName function="false" hidden="true" name="_bdm.be06c3bf3d5441c3a3d269e98945aaac.edm" vbProcedure="false">#REF!</definedName>
    <definedName function="false" hidden="true" name="_bdm.be0bc60f67774d22a43ffe62c12f7322.edm" vbProcedure="false">#REF!</definedName>
    <definedName function="false" hidden="true" name="_bdm.be3c2116238642e497e4bf91a8449e46.edm" vbProcedure="false">#REF!</definedName>
    <definedName function="false" hidden="true" name="_bdm.be5c804a0ed749cb8d1400d05a141edb.edm" vbProcedure="false">#REF!</definedName>
    <definedName function="false" hidden="true" name="_bdm.be8d5d23283b4e48b3ba8fa4322edf6e.edm" vbProcedure="false">#REF!</definedName>
    <definedName function="false" hidden="true" name="_bdm.be9b0ea64ffc4c35a63710b53b3c2925.edm" vbProcedure="false">#REF!</definedName>
    <definedName function="false" hidden="true" name="_bdm.beb69a1348054d6c8328266617120375.edm" vbProcedure="false">#REF!</definedName>
    <definedName function="false" hidden="true" name="_bdm.BEBF6F9D5A4149538851B5F399DE0BDF.edm" vbProcedure="false">#REF!</definedName>
    <definedName function="false" hidden="true" name="_bdm.befd3768654e4b19a9bc9334a0465fca.edm" vbProcedure="false">#REF!</definedName>
    <definedName function="false" hidden="true" name="_bdm.bf0b0b995bf3457ebb5a44514119baab.edm" vbProcedure="false">#REF!</definedName>
    <definedName function="false" hidden="true" name="_bdm.bf48e112d4d443a2a1f7766eab2adaa3.edm" vbProcedure="false">#REF!</definedName>
    <definedName function="false" hidden="true" name="_bdm.bf69370f79254a3aa894efb0c1b33970.edm" vbProcedure="false">#REF!</definedName>
    <definedName function="false" hidden="true" name="_bdm.bf69f16fd1b2464c9baf745e84929f94.edm" vbProcedure="false">#REF!</definedName>
    <definedName function="false" hidden="true" name="_bdm.BF6B8AA1B33248828CAE17E9368430B2.edm" vbProcedure="false">#REF!</definedName>
    <definedName function="false" hidden="true" name="_bdm.bf799fb822534ab1a308fc5df6889887.edm" vbProcedure="false">#REF!</definedName>
    <definedName function="false" hidden="true" name="_bdm.bf86711afc0e4e69ae3f727ab6a94b97.edm" vbProcedure="false">#REF!</definedName>
    <definedName function="false" hidden="true" name="_bdm.BFA321AFD44340AEA84AFBD0B48C7B4F.edm" vbProcedure="false">#REF!</definedName>
    <definedName function="false" hidden="true" name="_bdm.bfcccc6ccb864bf6bdf59fb3dad3cd8d.edm" vbProcedure="false">#REF!</definedName>
    <definedName function="false" hidden="true" name="_bdm.bfdbdcb808274867bf729dde3e4b7d05.edm" vbProcedure="false">#REF!</definedName>
    <definedName function="false" hidden="true" name="_bdm.bfec27343c664e0f95d33d57e8d6dfd9.edm" vbProcedure="false">#REF!</definedName>
    <definedName function="false" hidden="true" name="_bdm.C02641B8B74046488B889FED35196D1B.edm" vbProcedure="false">#REF!</definedName>
    <definedName function="false" hidden="true" name="_bdm.c04bf38718264e0085b942ddf77f76be.edm" vbProcedure="false">#REF!</definedName>
    <definedName function="false" hidden="true" name="_bdm.c06f7e55a808472e8a2f82ba01ccd6a6.edm" vbProcedure="false">#REF!</definedName>
    <definedName function="false" hidden="true" name="_bdm.c08b2f1dde824948b9cdc2d067fba873.edm" vbProcedure="false">#REF!</definedName>
    <definedName function="false" hidden="true" name="_bdm.c08d3296228b4a2ea5c3decd17534f0c.edm" vbProcedure="false">#REF!</definedName>
    <definedName function="false" hidden="true" name="_bdm.c0b55dd154d840df862af5ad2102698c.edm" vbProcedure="false">#REF!</definedName>
    <definedName function="false" hidden="true" name="_bdm.c0c1bdcffeb94e5bbd32561b45cfa677.edm" vbProcedure="false">#REF!</definedName>
    <definedName function="false" hidden="true" name="_bdm.c0cc5a7803474cafb1a1eca43ca211a6.edm" vbProcedure="false">#REF!</definedName>
    <definedName function="false" hidden="true" name="_bdm.c0ffba5a74c341bda103cb89d4d50623.edm" vbProcedure="false">#REF!</definedName>
    <definedName function="false" hidden="true" name="_bdm.C10E1036C1384E13A656F96B6C42261C.edm" vbProcedure="false">#REF!</definedName>
    <definedName function="false" hidden="true" name="_bdm.c10f282c4b9842439d13d2c1c667408c.edm" vbProcedure="false">#REF!</definedName>
    <definedName function="false" hidden="true" name="_bdm.C13BF8691D07404E84438FACF24F0FE3.edm" vbProcedure="false">#REF!</definedName>
    <definedName function="false" hidden="true" name="_bdm.c13ffa8bab7245aa9e37acd647e8bc34.edm" vbProcedure="false">#REF!</definedName>
    <definedName function="false" hidden="true" name="_bdm.c140c4ab769b4d609a010e88e20de090.edm" vbProcedure="false">#REF!</definedName>
    <definedName function="false" hidden="true" name="_bdm.c14df780816541f3a8bb7006e9b8190f.edm" vbProcedure="false">#REF!</definedName>
    <definedName function="false" hidden="true" name="_bdm.c15aecc4f22d422a84aeb13ca9018760.edm" vbProcedure="false">#REF!</definedName>
    <definedName function="false" hidden="true" name="_bdm.c1a9bcdbe32549dea1793756281ebe48.edm" vbProcedure="false">#REF!</definedName>
    <definedName function="false" hidden="true" name="_bdm.c1de96f942be4c55adb563fc4dd55d7b.edm" vbProcedure="false">#REF!</definedName>
    <definedName function="false" hidden="true" name="_bdm.c234d66f3a1e4c129452eb1bfe3e1cab.edm" vbProcedure="false">#REF!</definedName>
    <definedName function="false" hidden="true" name="_bdm.c2422d5e8d4c45efb6091bb94a0ed58d.edm" vbProcedure="false">#REF!</definedName>
    <definedName function="false" hidden="true" name="_bdm.c2a8550e0f464f62a4885512f5ba8bef.edm" vbProcedure="false">#REF!</definedName>
    <definedName function="false" hidden="true" name="_bdm.c2d864c4f10d4da4abfd551fb54e78fa.edm" vbProcedure="false">#REF!</definedName>
    <definedName function="false" hidden="true" name="_bdm.c3397e2044484bdc9daff4ad1620b20f.edm" vbProcedure="false">#REF!</definedName>
    <definedName function="false" hidden="true" name="_bdm.c33e086ed0ad41348b27c1086108e427.edm" vbProcedure="false">#REF!</definedName>
    <definedName function="false" hidden="true" name="_bdm.c3f2b4720a974be19db646f88bd41c01.edm" vbProcedure="false">#REF!</definedName>
    <definedName function="false" hidden="true" name="_bdm.c425652e018c4d668f5f5840de16683b.edm" vbProcedure="false">#REF!</definedName>
    <definedName function="false" hidden="true" name="_bdm.c443747ae4b44f8096c608f972a98c20.edm" vbProcedure="false">#REF!</definedName>
    <definedName function="false" hidden="true" name="_bdm.c4699b30d147479bbff342a53a2904ec.edm" vbProcedure="false">#REF!</definedName>
    <definedName function="false" hidden="true" name="_bdm.c46eca7fdbe34ee09454340adeba5287.edm" vbProcedure="false">#REF!</definedName>
    <definedName function="false" hidden="true" name="_bdm.c47878ab603a48f995b5715de957a1b2.edm" vbProcedure="false">#REF!</definedName>
    <definedName function="false" hidden="true" name="_bdm.c47cf3c649d64d54834a8352b8ab91f0.edm" vbProcedure="false">#REF!</definedName>
    <definedName function="false" hidden="true" name="_bdm.c48323b2361043358dd15bd413d27a85.edm" vbProcedure="false">#REF!</definedName>
    <definedName function="false" hidden="true" name="_bdm.c496b60fcb93441b93524dac3bfe4ecf.edm" vbProcedure="false">#REF!</definedName>
    <definedName function="false" hidden="true" name="_bdm.c4a99cbb049b4b6cb17015f90ab46ae2.edm" vbProcedure="false">#REF!</definedName>
    <definedName function="false" hidden="true" name="_bdm.c4e2fe58842e4c91932255de4c8941d0.edm" vbProcedure="false">#REF!</definedName>
    <definedName function="false" hidden="true" name="_bdm.c50a8c01d5274fbfb3f21973fa02d7eb.edm" vbProcedure="false">#REF!</definedName>
    <definedName function="false" hidden="true" name="_bdm.c50fa268db0a4110be2c7346c68673ac.edm" vbProcedure="false">#REF!</definedName>
    <definedName function="false" hidden="true" name="_bdm.c5243dde61344d51a21983f3730813d1.edm" vbProcedure="false">#REF!</definedName>
    <definedName function="false" hidden="true" name="_bdm.c5495e8060ca4ff89576e112e81d0eb8.edm" vbProcedure="false">#REF!</definedName>
    <definedName function="false" hidden="true" name="_bdm.c5550e9461134ef8b2e0efe659656f9b.edm" vbProcedure="false">#REF!</definedName>
    <definedName function="false" hidden="true" name="_bdm.c5886e580091436c859cd4ea38e65c4c.edm" vbProcedure="false">#REF!</definedName>
    <definedName function="false" hidden="true" name="_bdm.c58bd56570ab41b7b9157b471a9ce74e.edm" vbProcedure="false">#REF!</definedName>
    <definedName function="false" hidden="true" name="_bdm.C5DC8BC9A25F42C2801DB9ADAE79A995.edm" vbProcedure="false">#REF!</definedName>
    <definedName function="false" hidden="true" name="_bdm.c5fcb40b6e994fac84865b3141032dbc.edm" vbProcedure="false">#REF!</definedName>
    <definedName function="false" hidden="true" name="_bdm.c606d352906445fcb1557592e9be5437.edm" vbProcedure="false">#REF!</definedName>
    <definedName function="false" hidden="true" name="_bdm.c641c63513c4452e9cf25b67415c5cfc.edm" vbProcedure="false">#REF!</definedName>
    <definedName function="false" hidden="true" name="_bdm.c6685c703c874fcaac0c49e3378cebbc.edm" vbProcedure="false">#REF!</definedName>
    <definedName function="false" hidden="true" name="_bdm.c6a78384508c4f40891c24a2972f1a09.edm" vbProcedure="false">#REF!</definedName>
    <definedName function="false" hidden="true" name="_bdm.c6a872c512c246c7a8ecd1ebc46ce955.edm" vbProcedure="false">#REF!</definedName>
    <definedName function="false" hidden="true" name="_bdm.c6bae7bab53e4201a12b92c4e9e0a178.edm" vbProcedure="false">#REF!</definedName>
    <definedName function="false" hidden="true" name="_bdm.c6d8cf01aa0e46f9aa4f8b85029499bc.edm" vbProcedure="false">#REF!</definedName>
    <definedName function="false" hidden="true" name="_bdm.c6db740ec9184c7e9ccf9c62577120e2.edm" vbProcedure="false">#REF!</definedName>
    <definedName function="false" hidden="true" name="_bdm.c6fc1250d0bd4395812e03f096a91eeb.edm" vbProcedure="false">#REF!</definedName>
    <definedName function="false" hidden="true" name="_bdm.c712da6b5c484a30823d5659407b3b21.edm" vbProcedure="false">#REF!</definedName>
    <definedName function="false" hidden="true" name="_bdm.c74a51a780eb4bf7b571a2bab4d7634b.edm" vbProcedure="false">#REF!</definedName>
    <definedName function="false" hidden="true" name="_bdm.c751d0fa6ecd4d8faa06ed7b8c9eddab.edm" vbProcedure="false">#REF!</definedName>
    <definedName function="false" hidden="true" name="_bdm.c75e6bb47701404c988daf3df0204e9b.edm" vbProcedure="false">#REF!</definedName>
    <definedName function="false" hidden="true" name="_bdm.C771D4E38BBE462093A270A3AD0C0DD9.edm" vbProcedure="false">#REF!</definedName>
    <definedName function="false" hidden="true" name="_bdm.c7bc87eb2fad461e8302c41fec51098d.edm" vbProcedure="false">#REF!</definedName>
    <definedName function="false" hidden="true" name="_bdm.c7bd2c29273c44608bc67b10c68dabc6.edm" vbProcedure="false">#REF!</definedName>
    <definedName function="false" hidden="true" name="_bdm.c7db7edd4896455b8ff4968a8963130d.edm" vbProcedure="false">#REF!</definedName>
    <definedName function="false" hidden="true" name="_bdm.c7e033e8e11048deb6618b5d2400cc38.edm" vbProcedure="false">#REF!</definedName>
    <definedName function="false" hidden="true" name="_bdm.c7f33cdb6e314995985f389c05b50cd5.edm" vbProcedure="false">#REF!</definedName>
    <definedName function="false" hidden="true" name="_bdm.c7fa1aeb22274f1987454106d6e8952f.edm" vbProcedure="false">#REF!</definedName>
    <definedName function="false" hidden="true" name="_bdm.c8070db58e9e414bbb1a0fe04593e2ea.edm" vbProcedure="false">#REF!</definedName>
    <definedName function="false" hidden="true" name="_bdm.c87f1ecc6ef74ede846108a6e1029a7f.edm" vbProcedure="false">#REF!</definedName>
    <definedName function="false" hidden="true" name="_bdm.c88213eb823241d1bea47a4e8d3e7255.edm" vbProcedure="false">#REF!</definedName>
    <definedName function="false" hidden="true" name="_bdm.c8a5e83c23b24a63accc4d894f664b1f.edm" vbProcedure="false">#REF!</definedName>
    <definedName function="false" hidden="true" name="_bdm.c8be88b3d1ad4989b049e2bfae46a1fb.edm" vbProcedure="false">#REF!</definedName>
    <definedName function="false" hidden="true" name="_bdm.c8cb88313f6d4f38bae775160ea4d7e7.edm" vbProcedure="false">#REF!</definedName>
    <definedName function="false" hidden="true" name="_bdm.c8cfae2928ae48c28b627f1fbacf82d4.edm" vbProcedure="false">#REF!</definedName>
    <definedName function="false" hidden="true" name="_bdm.c8d66e71774643c990578831bb0a1feb.edm" vbProcedure="false">#REF!</definedName>
    <definedName function="false" hidden="true" name="_bdm.c8d9251e6abf4f25ac17d6316948f15f.edm" vbProcedure="false">#REF!</definedName>
    <definedName function="false" hidden="true" name="_bdm.c8e8f7b3f31d42bf91dc5ac2730a949c.edm" vbProcedure="false">#REF!</definedName>
    <definedName function="false" hidden="true" name="_bdm.c8eed470cdd0431893f2e6d7756297e7.edm" vbProcedure="false">#REF!</definedName>
    <definedName function="false" hidden="true" name="_bdm.c91532a1c5f7431a858949fced17f040.edm" vbProcedure="false">#REF!</definedName>
    <definedName function="false" hidden="true" name="_bdm.c924d743e6bf4b43b25375866ff32f9d.edm" vbProcedure="false">#REF!</definedName>
    <definedName function="false" hidden="true" name="_bdm.c92744ddb67e41d89936027491ee9dc9.edm" vbProcedure="false">#REF!</definedName>
    <definedName function="false" hidden="true" name="_bdm.c9330f7ae7c44f1eb8cc7acd7342e684.edm" vbProcedure="false">#REF!</definedName>
    <definedName function="false" hidden="true" name="_bdm.c9445584ec124f31b4bbce6e8c5ea282.edm" vbProcedure="false">#REF!</definedName>
    <definedName function="false" hidden="true" name="_bdm.c9642948b7e549c2afd5d6505a66a0cc.edm" vbProcedure="false">#REF!</definedName>
    <definedName function="false" hidden="true" name="_bdm.c96d26b99e8347e48908d8c811b22580.edm" vbProcedure="false">#REF!</definedName>
    <definedName function="false" hidden="true" name="_bdm.c996b0f8bad84f8e9ec421fe05e40a73.edm" vbProcedure="false">#REF!</definedName>
    <definedName function="false" hidden="true" name="_bdm.c9b1b86b4a3645aeac9d28ac1ec3eda9.edm" vbProcedure="false">#REF!</definedName>
    <definedName function="false" hidden="true" name="_bdm.c9bae1a739db42e3bee7c4217d748646.edm" vbProcedure="false">#REF!</definedName>
    <definedName function="false" hidden="true" name="_bdm.ca2c539f14fc4a95ba77aceec9c6b9ac.edm" vbProcedure="false">#REF!</definedName>
    <definedName function="false" hidden="true" name="_bdm.ca2cf31975af4e60a1fd63fa271865ab.edm" vbProcedure="false">#REF!</definedName>
    <definedName function="false" hidden="true" name="_bdm.ca37df9f12b84f4687debbee5c58c541.edm" vbProcedure="false">#REF!</definedName>
    <definedName function="false" hidden="true" name="_bdm.ca3d7b278edc43c7bea26e2988066b76.edm" vbProcedure="false">#REF!</definedName>
    <definedName function="false" hidden="true" name="_bdm.ca5d3083d12042a9939b64864a8b6f37.edm" vbProcedure="false">#REF!</definedName>
    <definedName function="false" hidden="true" name="_bdm.ca6154a57c074873a3d8e18f5c823deb.edm" vbProcedure="false">#REF!</definedName>
    <definedName function="false" hidden="true" name="_bdm.ca8b63e4f3e3408f992cc21050055abf.edm" vbProcedure="false">#REF!</definedName>
    <definedName function="false" hidden="true" name="_bdm.cac19c7f751a4991b0123e956dc72d25.edm" vbProcedure="false">#REF!</definedName>
    <definedName function="false" hidden="true" name="_bdm.cac9cac79a124f1bb2b0e3e983da0189.edm" vbProcedure="false">#REF!</definedName>
    <definedName function="false" hidden="true" name="_bdm.cb8ce8f55db2409d82cfbe416518575d.edm" vbProcedure="false">#REF!</definedName>
    <definedName function="false" hidden="true" name="_bdm.cbb493076d2f4ad198ca0269721bc19b.edm" vbProcedure="false">#REF!</definedName>
    <definedName function="false" hidden="true" name="_bdm.cbc5b602ab824392bff8a90aa6bd5335.edm" vbProcedure="false">#REF!</definedName>
    <definedName function="false" hidden="true" name="_bdm.cbe0ba5985984ea693949858f65bebce.edm" vbProcedure="false">#REF!</definedName>
    <definedName function="false" hidden="true" name="_bdm.cbe2612fb1fa4ba4b11aefac5418fac0.edm" vbProcedure="false">#REF!</definedName>
    <definedName function="false" hidden="true" name="_bdm.cc161abbdbf942b090d3bbfadd872bd5.edm" vbProcedure="false">#REF!</definedName>
    <definedName function="false" hidden="true" name="_bdm.CC1B3F5AD897477487B8DA74E3D26D6B.edm" vbProcedure="false">#REF!</definedName>
    <definedName function="false" hidden="true" name="_bdm.CC3E4F420B5B4C8FB4BE29E1203143C6.edm" vbProcedure="false">#REF!</definedName>
    <definedName function="false" hidden="true" name="_bdm.cc44af730dc742e89067d5a14f17f849.edm" vbProcedure="false">#REF!</definedName>
    <definedName function="false" hidden="true" name="_bdm.cc7bfc9ab83941c18df1826421abab77.edm" vbProcedure="false">#REF!</definedName>
    <definedName function="false" hidden="true" name="_bdm.cc7ca0d5c03e4e7fa087dade46c604d5.edm" vbProcedure="false">#REF!</definedName>
    <definedName function="false" hidden="true" name="_bdm.cc7e3d201cdd4fd788a2609e104af817.edm" vbProcedure="false">#REF!</definedName>
    <definedName function="false" hidden="true" name="_bdm.cc8056d50a8a4d05aa18fcf2be8d36b1.edm" vbProcedure="false">#REF!</definedName>
    <definedName function="false" hidden="true" name="_bdm.ccfd3b444b5741c692664e1e6b22a858.edm" vbProcedure="false">#REF!</definedName>
    <definedName function="false" hidden="true" name="_bdm.cd070cd9790944ba9393d55660e0cb4d.edm" vbProcedure="false">#REF!</definedName>
    <definedName function="false" hidden="true" name="_bdm.cd075dd987514c9c9991f382a91d8d47.edm" vbProcedure="false">#REF!</definedName>
    <definedName function="false" hidden="true" name="_bdm.cd211e751ad140eeb451b49d0cb22be1.edm" vbProcedure="false">#REF!</definedName>
    <definedName function="false" hidden="true" name="_bdm.cd24a28dd90349fe9012829d17d2c420.edm" vbProcedure="false">#REF!</definedName>
    <definedName function="false" hidden="true" name="_bdm.cd9594a4104b4b13824697c939a46f8c.edm" vbProcedure="false">#REF!</definedName>
    <definedName function="false" hidden="true" name="_bdm.cd96c72a2e844387b1784610eefd46cd.edm" vbProcedure="false">#REF!</definedName>
    <definedName function="false" hidden="true" name="_bdm.cda19469f13b454d80d6fcae7e7834aa.edm" vbProcedure="false">#REF!</definedName>
    <definedName function="false" hidden="true" name="_bdm.cda760acd5a340a19d7caece25ecd4c6.edm" vbProcedure="false">#REF!</definedName>
    <definedName function="false" hidden="true" name="_bdm.cda93b4b6bbb4ffab6793ac67a6c7556.edm" vbProcedure="false">#REF!</definedName>
    <definedName function="false" hidden="true" name="_bdm.cdb529e427a84de988a2f00396cbb1d1.edm" vbProcedure="false">#REF!</definedName>
    <definedName function="false" hidden="true" name="_bdm.cdd2c953f47f4b01b34bbb0bce9acda5.edm" vbProcedure="false">#REF!</definedName>
    <definedName function="false" hidden="true" name="_bdm.cdf5d39a9eee498ea9ef19dcfd34747b.edm" vbProcedure="false">#REF!</definedName>
    <definedName function="false" hidden="true" name="_bdm.ce02a832101d4b10892a28b574e24518.edm" vbProcedure="false">#REF!</definedName>
    <definedName function="false" hidden="true" name="_bdm.ce1504716c624a9182ac28441f899fd8.edm" vbProcedure="false">#REF!</definedName>
    <definedName function="false" hidden="true" name="_bdm.ce18ca7db3714068a71eab83e9aa597d.edm" vbProcedure="false">#REF!</definedName>
    <definedName function="false" hidden="true" name="_bdm.ce3bbfb59e8f49cdbd50e0cc9d7afee3.edm" vbProcedure="false">#REF!</definedName>
    <definedName function="false" hidden="true" name="_bdm.ce5527f7aefa419ab4cad75e36af7a24.edm" vbProcedure="false">#REF!</definedName>
    <definedName function="false" hidden="true" name="_bdm.ce938768f94947e2a79ed2d9c0b3d485.edm" vbProcedure="false">#REF!</definedName>
    <definedName function="false" hidden="true" name="_bdm.ce98e236b94d48c7b5e1b0fc75c9c629.edm" vbProcedure="false">#REF!</definedName>
    <definedName function="false" hidden="true" name="_bdm.ce9d806f7d6746c38409d4087a58078a.edm" vbProcedure="false">#REF!</definedName>
    <definedName function="false" hidden="true" name="_bdm.ceae774fde27454fa5562e90faa86bd0.edm" vbProcedure="false">#REF!</definedName>
    <definedName function="false" hidden="true" name="_bdm.cecbc4647ec34112bff129d0263dded9.edm" vbProcedure="false">#REF!</definedName>
    <definedName function="false" hidden="true" name="_bdm.cf096c31003c4e7a87a81a9fff924129.edm" vbProcedure="false">#REF!</definedName>
    <definedName function="false" hidden="true" name="_bdm.cf16235736ee4b7eb0498b17d01c485a.edm" vbProcedure="false">#REF!</definedName>
    <definedName function="false" hidden="true" name="_bdm.cf294094edb24631ae83b75b2fb3476a.edm" vbProcedure="false">#REF!</definedName>
    <definedName function="false" hidden="true" name="_bdm.cf365d6e37954bcc9b6dae19baad683a.edm" vbProcedure="false">#REF!</definedName>
    <definedName function="false" hidden="true" name="_bdm.cf573f458d9c44e8ae864f9aa12d1331.edm" vbProcedure="false">#REF!</definedName>
    <definedName function="false" hidden="true" name="_bdm.cfb1625c869640dba3a6086caa53b1fa.edm" vbProcedure="false">#REF!</definedName>
    <definedName function="false" hidden="true" name="_bdm.d028ca3eefb142609eae63022fbb5363.edm" vbProcedure="false">#REF!</definedName>
    <definedName function="false" hidden="true" name="_bdm.d0615adf342741eeb9c67f31f095cdc3.edm" vbProcedure="false">#REF!</definedName>
    <definedName function="false" hidden="true" name="_bdm.d078c895c9664dc3a1d250d3eca09d15.edm" vbProcedure="false">#REF!</definedName>
    <definedName function="false" hidden="true" name="_bdm.d0e09f9fbd3743968e20e210565d555b.edm" vbProcedure="false">#REF!</definedName>
    <definedName function="false" hidden="true" name="_bdm.d0ef1a1d8dae4266bf4e0ca2c28326ba.edm" vbProcedure="false">#REF!</definedName>
    <definedName function="false" hidden="true" name="_bdm.d0eff7163fc2430a972e459766659ecd.edm" vbProcedure="false">#REF!</definedName>
    <definedName function="false" hidden="true" name="_bdm.d0f43dabf73c42faa6163b845dd52455.edm" vbProcedure="false">#REF!</definedName>
    <definedName function="false" hidden="true" name="_bdm.d0fad44685eb4c45914109d2f0c75a1c.edm" vbProcedure="false">#REF!</definedName>
    <definedName function="false" hidden="true" name="_bdm.d105c35de36449b79992490b1c07a558.edm" vbProcedure="false">#REF!</definedName>
    <definedName function="false" hidden="true" name="_bdm.d111776ff1c9480d9e85a094933e0eca.edm" vbProcedure="false">#REF!</definedName>
    <definedName function="false" hidden="true" name="_bdm.d1465afed54e40ffb5a9d45f11d45d86.edm" vbProcedure="false">#REF!</definedName>
    <definedName function="false" hidden="true" name="_bdm.d1851aa2d172470183b86a7945a14aea.edm" vbProcedure="false">#REF!</definedName>
    <definedName function="false" hidden="true" name="_bdm.d1a286cdac40472c9ded1545f515f03f.edm" vbProcedure="false">#REF!</definedName>
    <definedName function="false" hidden="true" name="_bdm.d1da36911c7948a8adf04883e436962a.edm" vbProcedure="false">#REF!</definedName>
    <definedName function="false" hidden="true" name="_bdm.d1def36485694999a45f08af2df60186.edm" vbProcedure="false">#REF!</definedName>
    <definedName function="false" hidden="true" name="_bdm.d1fa6878b1634d078c41758d7886d367.edm" vbProcedure="false">#REF!</definedName>
    <definedName function="false" hidden="true" name="_bdm.d2007c55530d45309f6c996c4f0155d6.edm" vbProcedure="false">#REF!</definedName>
    <definedName function="false" hidden="true" name="_bdm.d22e8e16a3f6447396f498763e815a70.edm" vbProcedure="false">#REF!</definedName>
    <definedName function="false" hidden="true" name="_bdm.d241ef2d96044880a0e29178e7e6870f.edm" vbProcedure="false">#REF!</definedName>
    <definedName function="false" hidden="true" name="_bdm.d2499894f8484b479bce44161b596807.edm" vbProcedure="false">#REF!</definedName>
    <definedName function="false" hidden="true" name="_bdm.d25d3c1c96824bebba66f0eb0512e89a.edm" vbProcedure="false">#REF!</definedName>
    <definedName function="false" hidden="true" name="_bdm.d26b65f54fe74241a329c60bed6c8f48.edm" vbProcedure="false">#REF!</definedName>
    <definedName function="false" hidden="true" name="_bdm.d278b728b2444ad69021f4bfe0168c3b.edm" vbProcedure="false">#REF!</definedName>
    <definedName function="false" hidden="true" name="_bdm.d28d67cb302d42208fa58c197a894450.edm" vbProcedure="false">#REF!</definedName>
    <definedName function="false" hidden="true" name="_bdm.d2c26966b17547699043735f2aff98de.edm" vbProcedure="false">#REF!</definedName>
    <definedName function="false" hidden="true" name="_bdm.d2cb21dc38f846288087e7fc9623c3e1.edm" vbProcedure="false">#REF!</definedName>
    <definedName function="false" hidden="true" name="_bdm.d2cd993eed0e48918876500a5c3b4c7b.edm" vbProcedure="false">#REF!</definedName>
    <definedName function="false" hidden="true" name="_bdm.d313312f4098462eb0ba8cfa408e9a74.edm" vbProcedure="false">#REF!</definedName>
    <definedName function="false" hidden="true" name="_bdm.d31a291b2dc345b688a14e5e766a3611.edm" vbProcedure="false">#REF!</definedName>
    <definedName function="false" hidden="true" name="_bdm.D33120DBF07C4800846672D5BDDAAF16.edm" vbProcedure="false">#REF!</definedName>
    <definedName function="false" hidden="true" name="_bdm.d3331b4df81047a78a3901bb5319b75e.edm" vbProcedure="false">#REF!</definedName>
    <definedName function="false" hidden="true" name="_bdm.d3444e65558c4c45ba50be06e9ab04ce.edm" vbProcedure="false">#REF!</definedName>
    <definedName function="false" hidden="true" name="_bdm.d3956a426ed144e8a6e590968ceb47b4.edm" vbProcedure="false">#REF!</definedName>
    <definedName function="false" hidden="true" name="_bdm.d40fd8ff4d74419cb673d48310ff217d.edm" vbProcedure="false">#REF!</definedName>
    <definedName function="false" hidden="true" name="_bdm.d4151da0e3b7461bb6a003b1eee27643.edm" vbProcedure="false">#REF!</definedName>
    <definedName function="false" hidden="true" name="_bdm.d46cd2fcc2f54d308f908904390f92c2.edm" vbProcedure="false">#REF!</definedName>
    <definedName function="false" hidden="true" name="_bdm.d4720d551d614b128b995b5cfd266e7a.edm" vbProcedure="false">#REF!</definedName>
    <definedName function="false" hidden="true" name="_bdm.d475d967887644aa85fb7306202a0de5.edm" vbProcedure="false">#REF!</definedName>
    <definedName function="false" hidden="true" name="_bdm.d48351acaf32481ca414e58fda293422.edm" vbProcedure="false">#REF!</definedName>
    <definedName function="false" hidden="true" name="_bdm.d4b3722dc0204174b6424352403f43e2.edm" vbProcedure="false">#REF!</definedName>
    <definedName function="false" hidden="true" name="_bdm.d4ce31cf41bf4185a4e626df03cd3c9e.edm" vbProcedure="false">#REF!</definedName>
    <definedName function="false" hidden="true" name="_bdm.d4cedde872294e3fb3540c3ca73bbecb.edm" vbProcedure="false">#REF!</definedName>
    <definedName function="false" hidden="true" name="_bdm.d5011fa0cefe4b1b892c89ceca1b831b.edm" vbProcedure="false">#REF!</definedName>
    <definedName function="false" hidden="true" name="_bdm.D5249F0013A946339B059DFA5B6EEF75.edm" vbProcedure="false">#REF!</definedName>
    <definedName function="false" hidden="true" name="_bdm.d543b02892344c2fa120503e5f23e645.edm" vbProcedure="false">#REF!</definedName>
    <definedName function="false" hidden="true" name="_bdm.d5729730d6ac4215a15da49668adcb2c.edm" vbProcedure="false">#REF!</definedName>
    <definedName function="false" hidden="true" name="_bdm.d5765eb88c0b488390cc6f8ce720ef4a.edm" vbProcedure="false">#REF!</definedName>
    <definedName function="false" hidden="true" name="_bdm.d5cec8317d574481aa0166a2e5307310.edm" vbProcedure="false">#REF!</definedName>
    <definedName function="false" hidden="true" name="_bdm.d62ae22bef5541c3bab7b8df923e3372.edm" vbProcedure="false">#REF!</definedName>
    <definedName function="false" hidden="true" name="_bdm.d632e933d80e4c6fa8a99f5a321c9796.edm" vbProcedure="false">#REF!</definedName>
    <definedName function="false" hidden="true" name="_bdm.d64e1ea10eb24ace88523866e55bc9fe.edm" vbProcedure="false">#REF!</definedName>
    <definedName function="false" hidden="true" name="_bdm.d68b234338a247aaac27e25666d45c09.edm" vbProcedure="false">#REF!</definedName>
    <definedName function="false" hidden="true" name="_bdm.d69b9f9b24cb4449a827192f3d071cf9.edm" vbProcedure="false">#REF!</definedName>
    <definedName function="false" hidden="true" name="_bdm.d6b8efd74740480fa4e2095bce620d0e.edm" vbProcedure="false">#REF!</definedName>
    <definedName function="false" hidden="true" name="_bdm.d6c8e01c1bfb430db3c533ab824d9ca5.edm" vbProcedure="false">#REF!</definedName>
    <definedName function="false" hidden="true" name="_bdm.d730d656c6294d3a9efcbda8a5f43790.edm" vbProcedure="false">#REF!</definedName>
    <definedName function="false" hidden="true" name="_bdm.d740d5f63112436da981f3ec1877c8dc.edm" vbProcedure="false">#REF!</definedName>
    <definedName function="false" hidden="true" name="_bdm.d761d9f63385443dbdcb31deea121133.edm" vbProcedure="false">#REF!</definedName>
    <definedName function="false" hidden="true" name="_bdm.d762c391d57940c9abb446d0b47fefd5.edm" vbProcedure="false">#REF!</definedName>
    <definedName function="false" hidden="true" name="_bdm.d76961903f4b47048afd0671e7ce1e75.edm" vbProcedure="false">#REF!</definedName>
    <definedName function="false" hidden="true" name="_bdm.d7ade17d270a48818cd84e171b1ab2b5.edm" vbProcedure="false">#REF!</definedName>
    <definedName function="false" hidden="true" name="_bdm.d7d45b04dcad471297858533b8e88f67.edm" vbProcedure="false">#REF!</definedName>
    <definedName function="false" hidden="true" name="_bdm.d7ee8228b1c74295875c61dffdbce46c.edm" vbProcedure="false">#REF!</definedName>
    <definedName function="false" hidden="true" name="_bdm.d82ab5d0d60446b49e866b8cc5120a31.edm" vbProcedure="false">#REF!</definedName>
    <definedName function="false" hidden="true" name="_bdm.d83fac89551541b4b8d33c28fddc824b.edm" vbProcedure="false">#REF!</definedName>
    <definedName function="false" hidden="true" name="_bdm.d847cb5e70194b50b5e66e43db0db692.edm" vbProcedure="false">#REF!</definedName>
    <definedName function="false" hidden="true" name="_bdm.d84c1132869a413a920f394915d8b0e9.edm" vbProcedure="false">#REF!</definedName>
    <definedName function="false" hidden="true" name="_bdm.d8867672556d4564a39b5fa02b461bc4.edm" vbProcedure="false">#REF!</definedName>
    <definedName function="false" hidden="true" name="_bdm.d89a160f338e41b3b198c998e8f3c87d.edm" vbProcedure="false">#REF!</definedName>
    <definedName function="false" hidden="true" name="_bdm.d8a5371e678f4d13a07eb0f1ab36c32d.edm" vbProcedure="false">#REF!</definedName>
    <definedName function="false" hidden="true" name="_bdm.d8a5eae678d84c1ab91a5a1221e79038.edm" vbProcedure="false">#REF!</definedName>
    <definedName function="false" hidden="true" name="_bdm.d8a77f92dc9e492c9b771d43139e6c8b.edm" vbProcedure="false">#REF!</definedName>
    <definedName function="false" hidden="true" name="_bdm.D8B143687AD74B0687CB326911A0527A.edm" vbProcedure="false">#REF!</definedName>
    <definedName function="false" hidden="true" name="_bdm.d8b70d621456443a903fdc745d9a330e.edm" vbProcedure="false">#REF!</definedName>
    <definedName function="false" hidden="true" name="_bdm.D9592F4AF97A462B9A4059160F485783.edm" vbProcedure="false">#REF!</definedName>
    <definedName function="false" hidden="true" name="_bdm.d98cedf1b72d4ef7bcd689208364e94a.edm" vbProcedure="false">#REF!</definedName>
    <definedName function="false" hidden="true" name="_bdm.d99c3bf86c19435fa00a8f3fa0f1da05.edm" vbProcedure="false">#REF!</definedName>
    <definedName function="false" hidden="true" name="_bdm.d9be015380c64fb9b5a4c715cf00573c.edm" vbProcedure="false">#REF!</definedName>
    <definedName function="false" hidden="true" name="_bdm.d9dd0953567940e0b7136669ea1c3665.edm" vbProcedure="false">#REF!</definedName>
    <definedName function="false" hidden="true" name="_bdm.d9f730aad00f4a22aadb5bbc01f2db48.edm" vbProcedure="false">#REF!</definedName>
    <definedName function="false" hidden="true" name="_bdm.da1008db3e214be1a542713680f2fb31.edm" vbProcedure="false">#REF!</definedName>
    <definedName function="false" hidden="true" name="_bdm.da10b5aa1f9741c7bde1fb93715b3e63.edm" vbProcedure="false">#REF!</definedName>
    <definedName function="false" hidden="true" name="_bdm.da292355ca064df0b9dd47d365904296.edm" vbProcedure="false">#REF!</definedName>
    <definedName function="false" hidden="true" name="_bdm.da4c79a875e6408285407f29b856712c.edm" vbProcedure="false">#REF!</definedName>
    <definedName function="false" hidden="true" name="_bdm.da5b0824e9e64eac891907400c891dfd.edm" vbProcedure="false">#REF!</definedName>
    <definedName function="false" hidden="true" name="_bdm.da97a9b2d41245ce84a0c1cf3e057680.edm" vbProcedure="false">#REF!</definedName>
    <definedName function="false" hidden="true" name="_bdm.dad1c51257fa46d8bfc45c4f38579124.edm" vbProcedure="false">#REF!</definedName>
    <definedName function="false" hidden="true" name="_bdm.daee6bd8c09f4030a9530141956b6220.edm" vbProcedure="false">#REF!</definedName>
    <definedName function="false" hidden="true" name="_bdm.daf13591c3f44a5cb617df0b5cfe17cd.edm" vbProcedure="false">#REF!</definedName>
    <definedName function="false" hidden="true" name="_bdm.db1c444ea8a64fe79334a67062742054.edm" vbProcedure="false">#REF!</definedName>
    <definedName function="false" hidden="true" name="_bdm.db426e80776840f2add906332990897e.edm" vbProcedure="false">#REF!</definedName>
    <definedName function="false" hidden="true" name="_bdm.db617935b31c409aba07903c3eb5f65f.edm" vbProcedure="false">#REF!</definedName>
    <definedName function="false" hidden="true" name="_bdm.db63c93d896c46c5846ea7afe70f870c.edm" vbProcedure="false">#REF!</definedName>
    <definedName function="false" hidden="true" name="_bdm.db7987fcc17643d1a7b6e6f35e4d30e0.edm" vbProcedure="false">#REF!</definedName>
    <definedName function="false" hidden="true" name="_bdm.db8d74e31cc144d5a637ef7461135f44.edm" vbProcedure="false">#REF!</definedName>
    <definedName function="false" hidden="true" name="_bdm.dba43aac7be7476b8f7f3e3948d5fc75.edm" vbProcedure="false">#REF!</definedName>
    <definedName function="false" hidden="true" name="_bdm.dba862f53048431f870990eac6881c2f.edm" vbProcedure="false">#REF!</definedName>
    <definedName function="false" hidden="true" name="_bdm.dbabdcdbf8c644b4b6bdb7b7358c03f7.edm" vbProcedure="false">#REF!</definedName>
    <definedName function="false" hidden="true" name="_bdm.DBE913A70B7945C89D294E73A1D4C4DD.edm" vbProcedure="false">#REF!</definedName>
    <definedName function="false" hidden="true" name="_bdm.dc1b640b2abb4b6e8ee75369aef6e157.edm" vbProcedure="false">#REF!</definedName>
    <definedName function="false" hidden="true" name="_bdm.dc2fd175e28440368170bca437c3ac23.edm" vbProcedure="false">#REF!</definedName>
    <definedName function="false" hidden="true" name="_bdm.dc4008c9ddca4e9cbb344535206e1eeb.edm" vbProcedure="false">#REF!</definedName>
    <definedName function="false" hidden="true" name="_bdm.dc68002186964d53931b80a1f6c89b31.edm" vbProcedure="false">#REF!</definedName>
    <definedName function="false" hidden="true" name="_bdm.dc7b01ff821940a1ae69d542b16fc2cd.edm" vbProcedure="false">#REF!</definedName>
    <definedName function="false" hidden="true" name="_bdm.dc8582da2e1e46b484a95964513e79a0.edm" vbProcedure="false">#REF!</definedName>
    <definedName function="false" hidden="true" name="_bdm.dca532e8d3cb42a59bf2cb79dc72e07f.edm" vbProcedure="false">#REF!</definedName>
    <definedName function="false" hidden="true" name="_bdm.dcad27e06dd44ab0b8a1d00695d9d939.edm" vbProcedure="false">#REF!</definedName>
    <definedName function="false" hidden="true" name="_bdm.dcbd25f25894448f9faaa58274c4c0e3.edm" vbProcedure="false">#REF!</definedName>
    <definedName function="false" hidden="true" name="_bdm.dcdedfd9ef084e3ea61b814acf362a66.edm" vbProcedure="false">#REF!</definedName>
    <definedName function="false" hidden="true" name="_bdm.dcfb9e8e75e14ed4b635fa3e49cbf305.edm" vbProcedure="false">#REF!</definedName>
    <definedName function="false" hidden="true" name="_bdm.dd40012b36bf48c2bdecdda5c5edd28e.edm" vbProcedure="false">#REF!</definedName>
    <definedName function="false" hidden="true" name="_bdm.dd4a8af012744960a7d4b0c33659952a.edm" vbProcedure="false">#REF!</definedName>
    <definedName function="false" hidden="true" name="_bdm.dd637bc0a6644b4681dd352d49bf91c5.edm" vbProcedure="false">#REF!</definedName>
    <definedName function="false" hidden="true" name="_bdm.dd94f88709484de794c75b4a2a226bfe.edm" vbProcedure="false">#REF!</definedName>
    <definedName function="false" hidden="true" name="_bdm.dda49c5625b74db9ae648bc17c9f4aa5.edm" vbProcedure="false">#REF!</definedName>
    <definedName function="false" hidden="true" name="_bdm.ddaa1198702b4d9ab661c34a324759da.edm" vbProcedure="false">#REF!</definedName>
    <definedName function="false" hidden="true" name="_bdm.dde423ce3541415cb77ea8fef9b714c4.edm" vbProcedure="false">#REF!</definedName>
    <definedName function="false" hidden="true" name="_bdm.ddf4ba89501e462698a6c22933060067.edm" vbProcedure="false">#REF!</definedName>
    <definedName function="false" hidden="true" name="_bdm.ddf8e5233a2a4216a09dbce4cd4c08d5.edm" vbProcedure="false">#REF!</definedName>
    <definedName function="false" hidden="true" name="_bdm.de18752ae8134e6889ed838150fc1c00.edm" vbProcedure="false">#REF!</definedName>
    <definedName function="false" hidden="true" name="_bdm.de18c441d79842d5a08f950561e73a1d.edm" vbProcedure="false">#REF!</definedName>
    <definedName function="false" hidden="true" name="_bdm.de3162e205d3416192743fdb9e736cfa.edm" vbProcedure="false">#REF!</definedName>
    <definedName function="false" hidden="true" name="_bdm.de3f724da3794fe2bb8971b6c4393c72.edm" vbProcedure="false">#REF!</definedName>
    <definedName function="false" hidden="true" name="_bdm.de42ec4b93b5452c85d9285b69e72f70.edm" vbProcedure="false">#REF!</definedName>
    <definedName function="false" hidden="true" name="_bdm.de5d15cf08c44058a55b567854c28c6c.edm" vbProcedure="false">#REF!</definedName>
    <definedName function="false" hidden="true" name="_bdm.de5f5caed0314748b7df311b8b5e9022.edm" vbProcedure="false">#REF!</definedName>
    <definedName function="false" hidden="true" name="_bdm.de6a7532c08d4e35b35249a644ddd6b0.edm" vbProcedure="false">#REF!</definedName>
    <definedName function="false" hidden="true" name="_bdm.de6ed954cbea4c67954432fac7e02e3c.edm" vbProcedure="false">#REF!</definedName>
    <definedName function="false" hidden="true" name="_bdm.dea38f1bb89f4c279a6fc44018b296e0.edm" vbProcedure="false">#REF!</definedName>
    <definedName function="false" hidden="true" name="_bdm.deabb4f1e44943c88a58b6dd8a3a0790.edm" vbProcedure="false">#REF!</definedName>
    <definedName function="false" hidden="true" name="_bdm.dec7ea2c7a0c4dcb8275b1f2012bb644.edm" vbProcedure="false">#REF!</definedName>
    <definedName function="false" hidden="true" name="_bdm.deecfc841452470aa3f4ffc95202fbf7.edm" vbProcedure="false">#REF!</definedName>
    <definedName function="false" hidden="true" name="_bdm.df056cd7a0164a6c937902f1c0907c1d.edm" vbProcedure="false">#REF!</definedName>
    <definedName function="false" hidden="true" name="_bdm.df115a6b90884fe8ade7c22a91cef9ba.edm" vbProcedure="false">#REF!</definedName>
    <definedName function="false" hidden="true" name="_bdm.df1661114f3141718ec531bacf073e13.edm" vbProcedure="false">#REF!</definedName>
    <definedName function="false" hidden="true" name="_bdm.df1e42147c8d41398b991c5a2b4a7f20.edm" vbProcedure="false">#REF!</definedName>
    <definedName function="false" hidden="true" name="_bdm.df513b398b6b453caa88034793c430b6.edm" vbProcedure="false">#REF!</definedName>
    <definedName function="false" hidden="true" name="_bdm.df66810e65fd4782a8dd651e975caadc.edm" vbProcedure="false">#REF!</definedName>
    <definedName function="false" hidden="true" name="_bdm.df670f64bb794e459dc6f9402c085e9f.edm" vbProcedure="false">#REF!</definedName>
    <definedName function="false" hidden="true" name="_bdm.df70b3503efb4ba689ac91816760f382.edm" vbProcedure="false">#REF!</definedName>
    <definedName function="false" hidden="true" name="_bdm.dfaa9dd41fb140ed82a591ad6deae411.edm" vbProcedure="false">#REF!</definedName>
    <definedName function="false" hidden="true" name="_bdm.dfcb3355d3244dfaa3dc9a302d35f900.edm" vbProcedure="false">#REF!</definedName>
    <definedName function="false" hidden="true" name="_bdm.dfdbdff5eeef4b879f03f02a6ede67fd.edm" vbProcedure="false">#REF!</definedName>
    <definedName function="false" hidden="true" name="_bdm.dff8ee99990e40e0aafdae76c0370f92.edm" vbProcedure="false">#REF!</definedName>
    <definedName function="false" hidden="true" name="_bdm.e002bfae64bd44d4887da55f3946b1f8.edm" vbProcedure="false">#REF!</definedName>
    <definedName function="false" hidden="true" name="_bdm.e0337be38d044b92854147b77b2c8493.edm" vbProcedure="false">#REF!</definedName>
    <definedName function="false" hidden="true" name="_bdm.e03688be4beb463b8396b1748c8c5248.edm" vbProcedure="false">#REF!</definedName>
    <definedName function="false" hidden="true" name="_bdm.e060d74ee4b442a5a013e872737a3a36.edm" vbProcedure="false">#REF!</definedName>
    <definedName function="false" hidden="true" name="_bdm.e06eb856b5e14ac19c3875ec19745613.edm" vbProcedure="false">#REF!</definedName>
    <definedName function="false" hidden="true" name="_bdm.e072ccb02df94bd2bbec031cf0064ae5.edm" vbProcedure="false">#REF!</definedName>
    <definedName function="false" hidden="true" name="_bdm.e07e1f2845c84224bc05bdfc94fc0b6c.edm" vbProcedure="false">#REF!</definedName>
    <definedName function="false" hidden="true" name="_bdm.e091383f1fbb4e248a0439fe4da4f3d8.edm" vbProcedure="false">#REF!</definedName>
    <definedName function="false" hidden="true" name="_bdm.e0941686b8784e7aa6faa392a129f0c4.edm" vbProcedure="false">#REF!</definedName>
    <definedName function="false" hidden="true" name="_bdm.e0a6f0c64fac40b2949eefe9eee12226.edm" vbProcedure="false">#REF!</definedName>
    <definedName function="false" hidden="true" name="_bdm.e0e6e980ce914354970f4dbe626f9682.edm" vbProcedure="false">#REF!</definedName>
    <definedName function="false" hidden="true" name="_bdm.e1119b8cbb6b46bdadf0631a99cfc7b4.edm" vbProcedure="false">#REF!</definedName>
    <definedName function="false" hidden="true" name="_bdm.e11608bf02974dc8936eb6411cdfad0a.edm" vbProcedure="false">#REF!</definedName>
    <definedName function="false" hidden="true" name="_bdm.e118aa5540224ae396ea5a0bc9d85f9f.edm" vbProcedure="false">#REF!</definedName>
    <definedName function="false" hidden="true" name="_bdm.e12b4509ac5b431eb4b2ba66f63be5c7.edm" vbProcedure="false">#REF!</definedName>
    <definedName function="false" hidden="true" name="_bdm.e172b62baf9e491c8b9705c3bd44c72d.edm" vbProcedure="false">#REF!</definedName>
    <definedName function="false" hidden="true" name="_bdm.e180d869999546dd94a8b163c6c3c2db.edm" vbProcedure="false">#REF!</definedName>
    <definedName function="false" hidden="true" name="_bdm.e18261c264c44aaa8d6c6980eddf92ff.edm" vbProcedure="false">#REF!</definedName>
    <definedName function="false" hidden="true" name="_bdm.e1cf01be5f0645d88a6621da8b938a71.edm" vbProcedure="false">#REF!</definedName>
    <definedName function="false" hidden="true" name="_bdm.e1ed211fe7794e15af4c82e67a28e89b.edm" vbProcedure="false">#REF!</definedName>
    <definedName function="false" hidden="true" name="_bdm.e2069d8129bc4c5b8c68a0da90efe1b4.edm" vbProcedure="false">#REF!</definedName>
    <definedName function="false" hidden="true" name="_bdm.e213c25336924eeeabfdbaee78e93bcd.edm" vbProcedure="false">#REF!</definedName>
    <definedName function="false" hidden="true" name="_bdm.e2303266ef954d57a55e017fdb3ba79a.edm" vbProcedure="false">#REF!</definedName>
    <definedName function="false" hidden="true" name="_bdm.e23d8c9ff7b6419cbaa76f16666d7874.edm" vbProcedure="false">#REF!</definedName>
    <definedName function="false" hidden="true" name="_bdm.e2bad0d75cf9476da2dd7ce73906dfb7.edm" vbProcedure="false">#REF!</definedName>
    <definedName function="false" hidden="true" name="_bdm.e2d62f2998f242c682a0da3adf72fcb4.edm" vbProcedure="false">#REF!</definedName>
    <definedName function="false" hidden="true" name="_bdm.e2fbc29baa704bb4a6236b124f484124.edm" vbProcedure="false">#REF!</definedName>
    <definedName function="false" hidden="true" name="_bdm.e30f73101cca46479b6e17e73e7a62ac.edm" vbProcedure="false">#REF!</definedName>
    <definedName function="false" hidden="true" name="_bdm.e319ab2d64fe47c7866964f6c9603683.edm" vbProcedure="false">#REF!</definedName>
    <definedName function="false" hidden="true" name="_bdm.e31dd135c31f4a6780fc7fba51c2d05b.edm" vbProcedure="false">#REF!</definedName>
    <definedName function="false" hidden="true" name="_bdm.e32897d5055c41158ee84de6df4b588c.edm" vbProcedure="false">#REF!</definedName>
    <definedName function="false" hidden="true" name="_bdm.e33e620c70e94a659958fc583fed21f4.edm" vbProcedure="false">#REF!</definedName>
    <definedName function="false" hidden="true" name="_bdm.e346e8563ab24321abc8d01f6433afd2.edm" vbProcedure="false">#REF!</definedName>
    <definedName function="false" hidden="true" name="_bdm.e353ebf3b82b47d2be932e7e272dea57.edm" vbProcedure="false">#REF!</definedName>
    <definedName function="false" hidden="true" name="_bdm.e3f5a39668fc4da2b71152f541c86b75.edm" vbProcedure="false">#REF!</definedName>
    <definedName function="false" hidden="true" name="_bdm.e3fa14761d4e4b08a2a2a3b93756174d.edm" vbProcedure="false">#REF!</definedName>
    <definedName function="false" hidden="true" name="_bdm.e4176864483c428397c6ed0bdb9ee578.edm" vbProcedure="false">#REF!</definedName>
    <definedName function="false" hidden="true" name="_bdm.e41f15e5a64f4b29963da5653e323c35.edm" vbProcedure="false">#REF!</definedName>
    <definedName function="false" hidden="true" name="_bdm.e4519125c4ee41ef9b8bbea28ecc191c.edm" vbProcedure="false">#REF!</definedName>
    <definedName function="false" hidden="true" name="_bdm.e457fcb57b444b23b2d5c22941457fec.edm" vbProcedure="false">#REF!</definedName>
    <definedName function="false" hidden="true" name="_bdm.e47d3e99c4684b9cad29ddfb4d26d5df.edm" vbProcedure="false">#REF!</definedName>
    <definedName function="false" hidden="true" name="_bdm.e48086c7641d4faabb05343ee299f13b.edm" vbProcedure="false">#REF!</definedName>
    <definedName function="false" hidden="true" name="_bdm.e4a1b287707c465db0febe27292bc983.edm" vbProcedure="false">#REF!</definedName>
    <definedName function="false" hidden="true" name="_bdm.e4aa5cae8e3543498fb11e655fd95e78.edm" vbProcedure="false">#REF!</definedName>
    <definedName function="false" hidden="true" name="_bdm.e4b203dabbea4d828af5916a6d4aa648.edm" vbProcedure="false">#REF!</definedName>
    <definedName function="false" hidden="true" name="_bdm.e4c1c453ef0b4b19a50c677a86549a7b.edm" vbProcedure="false">#REF!</definedName>
    <definedName function="false" hidden="true" name="_bdm.e4d4980c1a1a46a7b39a9b3eceac83c9.edm" vbProcedure="false">#REF!</definedName>
    <definedName function="false" hidden="true" name="_bdm.e4e50ab1c88e476ea7b429e49dcecfe4.edm" vbProcedure="false">#REF!</definedName>
    <definedName function="false" hidden="true" name="_bdm.E4E88800B6F74ACFA2709175875367E2.edm" vbProcedure="false">#REF!</definedName>
    <definedName function="false" hidden="true" name="_bdm.e50e723cbf294a448e286becaff3363e.edm" vbProcedure="false">#REF!</definedName>
    <definedName function="false" hidden="true" name="_bdm.e5355865cb084548bf3c3935d279b020.edm" vbProcedure="false">#REF!</definedName>
    <definedName function="false" hidden="true" name="_bdm.e53af592976c49e289707400751ede48.edm" vbProcedure="false">#REF!</definedName>
    <definedName function="false" hidden="true" name="_bdm.e54372db787e4f4f9e6b4f12f89ed26e.edm" vbProcedure="false">#REF!</definedName>
    <definedName function="false" hidden="true" name="_bdm.e55c801d3a064d6693c16b0f20d82022.edm" vbProcedure="false">#REF!</definedName>
    <definedName function="false" hidden="true" name="_bdm.e569353dc5f44444b4f5de8994cbcb72.edm" vbProcedure="false">#REF!</definedName>
    <definedName function="false" hidden="true" name="_bdm.e58b8711d7f244cc88ac4f17f056f3ca.edm" vbProcedure="false">#REF!</definedName>
    <definedName function="false" hidden="true" name="_bdm.e5994af4511c4734adc99a02750d383f.edm" vbProcedure="false">#REF!</definedName>
    <definedName function="false" hidden="true" name="_bdm.e5a706355cd74701937027173634601b.edm" vbProcedure="false">#REF!</definedName>
    <definedName function="false" hidden="true" name="_bdm.e5b93ac52ed94183ad4c08c88af627d1.edm" vbProcedure="false">#REF!</definedName>
    <definedName function="false" hidden="true" name="_bdm.e5d42af190f947bc87ba855b7088eef4.edm" vbProcedure="false">#REF!</definedName>
    <definedName function="false" hidden="true" name="_bdm.e5ec4e578ab94fef9aa0fcaa3f752fb6.edm" vbProcedure="false">#REF!</definedName>
    <definedName function="false" hidden="true" name="_bdm.e5f2b85d1be940548e09ef29986dd324.edm" vbProcedure="false">#REF!</definedName>
    <definedName function="false" hidden="true" name="_bdm.e5f440748a004f3a91fe092860b533ff.edm" vbProcedure="false">#REF!</definedName>
    <definedName function="false" hidden="true" name="_bdm.e5fea9c3e1d54746982aad9cb76986f5.edm" vbProcedure="false">#REF!</definedName>
    <definedName function="false" hidden="true" name="_bdm.e614556ecf714de5a3d879a6705388a6.edm" vbProcedure="false">#REF!</definedName>
    <definedName function="false" hidden="true" name="_bdm.e63838acfb0748c69eb59b3a0a423c4c.edm" vbProcedure="false">#REF!</definedName>
    <definedName function="false" hidden="true" name="_bdm.e6578beacbde4cac84c46745106c2956.edm" vbProcedure="false">#REF!</definedName>
    <definedName function="false" hidden="true" name="_bdm.e6754d3919d84d32bd2be71472215c8e.edm" vbProcedure="false">#REF!</definedName>
    <definedName function="false" hidden="true" name="_bdm.e693a6bfe42642abafa8bb48fc9178ec.edm" vbProcedure="false">#REF!</definedName>
    <definedName function="false" hidden="true" name="_bdm.e6951167ae3b44cfb2d93aa6343928a1.edm" vbProcedure="false">#REF!</definedName>
    <definedName function="false" hidden="true" name="_bdm.e728c8c31f574ac5b5ecb448b3fba711.edm" vbProcedure="false">#REF!</definedName>
    <definedName function="false" hidden="true" name="_bdm.e7455f4a938645d3b8d5a5106c0b6032.edm" vbProcedure="false">#REF!</definedName>
    <definedName function="false" hidden="true" name="_bdm.e765b615b21d4835b5df956373c53698.edm" vbProcedure="false">#REF!</definedName>
    <definedName function="false" hidden="true" name="_bdm.e7d63cd571d04179bc3037ee2b53a06b.edm" vbProcedure="false">#REF!</definedName>
    <definedName function="false" hidden="true" name="_bdm.e80d810be7ad4b588348b24ada4d6bb1.edm" vbProcedure="false">#REF!</definedName>
    <definedName function="false" hidden="true" name="_bdm.e81b15ecaf0e4ed69aa3a5c509b69a2a.edm" vbProcedure="false">#REF!</definedName>
    <definedName function="false" hidden="true" name="_bdm.e854e61dbf3c4df8a76f79c8a1d1319a.edm" vbProcedure="false">#REF!</definedName>
    <definedName function="false" hidden="true" name="_bdm.e8632a52798b4b50822ec14c5e8e3033.edm" vbProcedure="false">#REF!</definedName>
    <definedName function="false" hidden="true" name="_bdm.e86e259230e84d64b852bfb8e1032078.edm" vbProcedure="false">#REF!</definedName>
    <definedName function="false" hidden="true" name="_bdm.e884405c074e4da7828df9c396b55e4d.edm" vbProcedure="false">#REF!</definedName>
    <definedName function="false" hidden="true" name="_bdm.e897919fcb0e4fe3a204ccc816c656b0.edm" vbProcedure="false">#REF!</definedName>
    <definedName function="false" hidden="true" name="_bdm.e8a082cebe9147c5ab1176a07f1d8bfa.edm" vbProcedure="false">#REF!</definedName>
    <definedName function="false" hidden="true" name="_bdm.e8b3e07b5fcb42af8214283727d9d2ee.edm" vbProcedure="false">#REF!</definedName>
    <definedName function="false" hidden="true" name="_bdm.e8c8091f81954848a0b4733d8fad09f6.edm" vbProcedure="false">#REF!</definedName>
    <definedName function="false" hidden="true" name="_bdm.E8CE1CE18D9F4F2E94EBA7AF12A926EB.edm" vbProcedure="false">#REF!</definedName>
    <definedName function="false" hidden="true" name="_bdm.e92412f3641948b19a6cf6893133ff56.edm" vbProcedure="false">#REF!</definedName>
    <definedName function="false" hidden="true" name="_bdm.E92EA7A0058343A89B8422225539C79A.edm" vbProcedure="false">#REF!</definedName>
    <definedName function="false" hidden="true" name="_bdm.e975843d8a8d4b7e91fc8d09bde93f48.edm" vbProcedure="false">#REF!</definedName>
    <definedName function="false" hidden="true" name="_bdm.E9E8436DEA474DEBA4659181EE05A4EB.edm" vbProcedure="false">#REF!</definedName>
    <definedName function="false" hidden="true" name="_bdm.e9f18a21e331458fa4730fd8d9d5cb39.edm" vbProcedure="false">#REF!</definedName>
    <definedName function="false" hidden="true" name="_bdm.ea0f369f34e4416d821a7d40915a9d6c.edm" vbProcedure="false">#REF!</definedName>
    <definedName function="false" hidden="true" name="_bdm.ea236d7393954f958e1d3005d8f98fff.edm" vbProcedure="false">#REF!</definedName>
    <definedName function="false" hidden="true" name="_bdm.eaa3a5238e5345d18533a88575de7689.edm" vbProcedure="false">#REF!</definedName>
    <definedName function="false" hidden="true" name="_bdm.eab9735a62554c7f902936c842b1dec7.edm" vbProcedure="false">#REF!</definedName>
    <definedName function="false" hidden="true" name="_bdm.eacad83ec899452191e6cbdf6e186815.edm" vbProcedure="false">#REF!</definedName>
    <definedName function="false" hidden="true" name="_bdm.ead743ec1ff749999ab09ca157d6d97f.edm" vbProcedure="false">#REF!</definedName>
    <definedName function="false" hidden="true" name="_bdm.eae64f028d0e4705a4ed3cce10176ae2.edm" vbProcedure="false">#REF!</definedName>
    <definedName function="false" hidden="true" name="_bdm.eb13e33cc24f44f08019b44260068d2d.edm" vbProcedure="false">#REF!</definedName>
    <definedName function="false" hidden="true" name="_bdm.eb3c19c5196d48078041538414f7d158.edm" vbProcedure="false">#REF!</definedName>
    <definedName function="false" hidden="true" name="_bdm.eb75473c62704bb496d3c8cadc22e76c.edm" vbProcedure="false">#REF!</definedName>
    <definedName function="false" hidden="true" name="_bdm.ec00aeebfe824667a136f24dfc7041f7.edm" vbProcedure="false">#REF!</definedName>
    <definedName function="false" hidden="true" name="_bdm.EC2EF3B8E763448DA771DCBAF8A0EABC.edm" vbProcedure="false">#REF!</definedName>
    <definedName function="false" hidden="true" name="_bdm.ec73b68a91f944ddb01cde26e2b94a49.edm" vbProcedure="false">#REF!</definedName>
    <definedName function="false" hidden="true" name="_bdm.eccbf3f7da1e4104b8e00e0d887d3a43.edm" vbProcedure="false">#REF!</definedName>
    <definedName function="false" hidden="true" name="_bdm.ecd2d6fb41e44feda1d50e223b421de8.edm" vbProcedure="false">#REF!</definedName>
    <definedName function="false" hidden="true" name="_bdm.ECD9C1FA807C443AAEF64D3365F8722C.edm" vbProcedure="false">#REF!</definedName>
    <definedName function="false" hidden="true" name="_bdm.ecf359879d0046a3ab8b143210524a89.edm" vbProcedure="false">#REF!</definedName>
    <definedName function="false" hidden="true" name="_bdm.ed09903850414b81b3f353ee1145e3a8.edm" vbProcedure="false">#REF!</definedName>
    <definedName function="false" hidden="true" name="_bdm.ed0b48032e63499bbdc91290454ff443.edm" vbProcedure="false">#REF!</definedName>
    <definedName function="false" hidden="true" name="_bdm.ed0cc214e0374f90b297697e7038e1c8.edm" vbProcedure="false">#REF!</definedName>
    <definedName function="false" hidden="true" name="_bdm.ed19355ea401402ba116eaea3c5cfbe7.edm" vbProcedure="false">#REF!</definedName>
    <definedName function="false" hidden="true" name="_bdm.ed1c3a686aac4da38b27ee46dbc7887d.edm" vbProcedure="false">#REF!</definedName>
    <definedName function="false" hidden="true" name="_bdm.ed2ba61235ca4df0b920302fa1f526d1.edm" vbProcedure="false">#REF!</definedName>
    <definedName function="false" hidden="true" name="_bdm.ed3655e451c543a7bbb8c57f0613175d.edm" vbProcedure="false">#REF!</definedName>
    <definedName function="false" hidden="true" name="_bdm.ed50d0a3712346949941f7a02cffbe41.edm" vbProcedure="false">#REF!</definedName>
    <definedName function="false" hidden="true" name="_bdm.ed88bcad295146c689f65a16041dffb3.edm" vbProcedure="false">#REF!</definedName>
    <definedName function="false" hidden="true" name="_bdm.ed8dad98e2b249988b95e3e582dd8dc7.edm" vbProcedure="false">#REF!</definedName>
    <definedName function="false" hidden="true" name="_bdm.ed9ac18972374b2fb851e2da873f9038.edm" vbProcedure="false">#REF!</definedName>
    <definedName function="false" hidden="true" name="_bdm.edb47d5a25d74139b6cd285a794a912d.edm" vbProcedure="false">#REF!</definedName>
    <definedName function="false" hidden="true" name="_bdm.edcd6eaf331a487cac6b72e9ab53dfef.edm" vbProcedure="false">#REF!</definedName>
    <definedName function="false" hidden="true" name="_bdm.ede19a55d238419993bc5bd2539dc223.edm" vbProcedure="false">#REF!</definedName>
    <definedName function="false" hidden="true" name="_bdm.ede62bd54d4e483ab8baa46691315d97.edm" vbProcedure="false">#REF!</definedName>
    <definedName function="false" hidden="true" name="_bdm.ee1cddc69d2f48439ea3013d14902530.edm" vbProcedure="false">#REF!</definedName>
    <definedName function="false" hidden="true" name="_bdm.ee882d41fcfd49a48f3021fc8e17b5e9.edm" vbProcedure="false">#REF!</definedName>
    <definedName function="false" hidden="true" name="_bdm.eee2813b9132491eb3d4c2fabe72e34d.edm" vbProcedure="false">#REF!</definedName>
    <definedName function="false" hidden="true" name="_bdm.eeea104222f8430b9fd412c6072c8f5a.edm" vbProcedure="false">#REF!</definedName>
    <definedName function="false" hidden="true" name="_bdm.eeefcfb7bcc94c1faa997ab36d26b677.edm" vbProcedure="false">#REF!</definedName>
    <definedName function="false" hidden="true" name="_bdm.ef19802564924a858e42608c35ee968b.edm" vbProcedure="false">#REF!</definedName>
    <definedName function="false" hidden="true" name="_bdm.ef1f0bcd66b24485bbe19c970953e21f.edm" vbProcedure="false">#REF!</definedName>
    <definedName function="false" hidden="true" name="_bdm.efddf7061e6f4fb59e33cc650043dd9f.edm" vbProcedure="false">#REF!</definedName>
    <definedName function="false" hidden="true" name="_bdm.efe2ae349a4149c3a4f0ecf155ef60bf.edm" vbProcedure="false">#REF!</definedName>
    <definedName function="false" hidden="true" name="_bdm.efec5284f1624385a87a51ed6efb586b.edm" vbProcedure="false">#REF!</definedName>
    <definedName function="false" hidden="true" name="_bdm.f0043976849844bd94ca9a7b31c7f0ce.edm" vbProcedure="false">#REF!</definedName>
    <definedName function="false" hidden="true" name="_bdm.f00fd40373a94a27b97577faf8d4b04c.edm" vbProcedure="false">#REF!</definedName>
    <definedName function="false" hidden="true" name="_bdm.f05e9602de174128a3b9e0a82fb3c6b9.edm" vbProcedure="false">#REF!</definedName>
    <definedName function="false" hidden="true" name="_bdm.f0880e8e6a76452db3ed4dd2561cee58.edm" vbProcedure="false">#REF!</definedName>
    <definedName function="false" hidden="true" name="_bdm.f093e09b9fa34d508bfcf5c9c665c01b.edm" vbProcedure="false">#REF!</definedName>
    <definedName function="false" hidden="true" name="_bdm.f0b3c641f519464c8b0568c9927580db.edm" vbProcedure="false">#REF!</definedName>
    <definedName function="false" hidden="true" name="_bdm.f0c48998c01d41d690912c422459060f.edm" vbProcedure="false">#REF!</definedName>
    <definedName function="false" hidden="true" name="_bdm.f0c8c323318747999e65f270684d32c7.edm" vbProcedure="false">#REF!</definedName>
    <definedName function="false" hidden="true" name="_bdm.f0f7d6395bbd4e8c965aceca7a12131b.edm" vbProcedure="false">#REF!</definedName>
    <definedName function="false" hidden="true" name="_bdm.f11e7026c3384d4b89fbda04761a4066.edm" vbProcedure="false">#REF!</definedName>
    <definedName function="false" hidden="true" name="_bdm.f12a2beeda6f4537bbd6877674689349.edm" vbProcedure="false">#REF!</definedName>
    <definedName function="false" hidden="true" name="_bdm.f14126bc55684f0fbec8997cb9359d9a.edm" vbProcedure="false">#REF!</definedName>
    <definedName function="false" hidden="true" name="_bdm.f174faee4b9d4d91a91d50c9bc566779.edm" vbProcedure="false">#REF!</definedName>
    <definedName function="false" hidden="true" name="_bdm.F17C66753BE047C5A881FF82C551586B.edm" vbProcedure="false">#REF!</definedName>
    <definedName function="false" hidden="true" name="_bdm.f1834dbfc55c40f9a6b5209883904a36.edm" vbProcedure="false">#REF!</definedName>
    <definedName function="false" hidden="true" name="_bdm.f189a3f756244d37a0edce44ad516dc1.edm" vbProcedure="false">#REF!</definedName>
    <definedName function="false" hidden="true" name="_bdm.f189cd7d2adb4629bffac5eadfe4372b.edm" vbProcedure="false">#REF!</definedName>
    <definedName function="false" hidden="true" name="_bdm.f18b8529c1504503ba11863735ff6998.edm" vbProcedure="false">#REF!</definedName>
    <definedName function="false" hidden="true" name="_bdm.f198a9eedaba4b22a9908602a9c76cca.edm" vbProcedure="false">#REF!</definedName>
    <definedName function="false" hidden="true" name="_bdm.f198bfbe9c7d4425a28a8508a25cd9bc.edm" vbProcedure="false">#REF!</definedName>
    <definedName function="false" hidden="true" name="_bdm.f1d8570ef47746f28d60dbf6231f532e.edm" vbProcedure="false">#REF!</definedName>
    <definedName function="false" hidden="true" name="_bdm.f24c9fb45a7b4644a0b63fe051d508bd.edm" vbProcedure="false">#REF!</definedName>
    <definedName function="false" hidden="true" name="_bdm.f26b348de87448e99c179aac08b9026d.edm" vbProcedure="false">#REF!</definedName>
    <definedName function="false" hidden="true" name="_bdm.f26df7bb012a49c5badd1672d24bf6de.edm" vbProcedure="false">#REF!</definedName>
    <definedName function="false" hidden="true" name="_bdm.F276F7BE358242D5B77991B004CE8199.edm" vbProcedure="false">#REF!</definedName>
    <definedName function="false" hidden="true" name="_bdm.f2a4957a107d48708480a1d47880d393.edm" vbProcedure="false">#REF!</definedName>
    <definedName function="false" hidden="true" name="_bdm.f2b6a8ddf7b24a3880d304e0bcf851b0.edm" vbProcedure="false">#REF!</definedName>
    <definedName function="false" hidden="true" name="_bdm.f2b926223f9a4a7e91159b67fbbd8daa.edm" vbProcedure="false">#REF!</definedName>
    <definedName function="false" hidden="true" name="_bdm.f2ba7dc061c14be9894cc373603ccc57.edm" vbProcedure="false">#REF!</definedName>
    <definedName function="false" hidden="true" name="_bdm.f2bdc9f21b184fb5bde04d530c7d40e0.edm" vbProcedure="false">#REF!</definedName>
    <definedName function="false" hidden="true" name="_bdm.f2c54d266ee940dda17e34b26d96360d.edm" vbProcedure="false">#REF!</definedName>
    <definedName function="false" hidden="true" name="_bdm.f2d4ede2ca944620949bfcdad9d825d5.edm" vbProcedure="false">#REF!</definedName>
    <definedName function="false" hidden="true" name="_bdm.f2f516c155e14c1b89132190e8d09a28.edm" vbProcedure="false">#REF!</definedName>
    <definedName function="false" hidden="true" name="_bdm.f30c9cdd4a284388a78c79d56b14d7b9.edm" vbProcedure="false">#REF!</definedName>
    <definedName function="false" hidden="true" name="_bdm.f30ecc7bbf92464eb944ac269e6bc5b1.edm" vbProcedure="false">#REF!</definedName>
    <definedName function="false" hidden="true" name="_bdm.f32980da5a6a4b4e8bbd076558b16502.edm" vbProcedure="false">#REF!</definedName>
    <definedName function="false" hidden="true" name="_bdm.f34a58e18dee40faa127414733ee4739.edm" vbProcedure="false">#REF!</definedName>
    <definedName function="false" hidden="true" name="_bdm.f38517acb16f4bf6adabc8193fe28dd2.edm" vbProcedure="false">#REF!</definedName>
    <definedName function="false" hidden="true" name="_bdm.f38692584c0e4be5a0a6c8b88ce19122.edm" vbProcedure="false">#REF!</definedName>
    <definedName function="false" hidden="true" name="_bdm.f3894241777c4498897f879b79a288a2.edm" vbProcedure="false">#REF!</definedName>
    <definedName function="false" hidden="true" name="_bdm.f3a19a5c598241e1a774463a98c6d38e.edm" vbProcedure="false">#REF!</definedName>
    <definedName function="false" hidden="true" name="_bdm.f402d6c2c2e447e5ac566e476d9e2df6.edm" vbProcedure="false">#REF!</definedName>
    <definedName function="false" hidden="true" name="_bdm.f4100e984b4f458b9f1c6992012687a1.edm" vbProcedure="false">#REF!</definedName>
    <definedName function="false" hidden="true" name="_bdm.f411bbdfc2b54074a01b8c638baaf861.edm" vbProcedure="false">#REF!</definedName>
    <definedName function="false" hidden="true" name="_bdm.f41514cb4d274466b4c895048d81ccfd.edm" vbProcedure="false">#REF!</definedName>
    <definedName function="false" hidden="true" name="_bdm.f41aacfb68614636b4b5fff0d6a2baaa.edm" vbProcedure="false">#REF!</definedName>
    <definedName function="false" hidden="true" name="_bdm.f4a1c5513dc841b5a19f2ed76bf4e804.edm" vbProcedure="false">#REF!</definedName>
    <definedName function="false" hidden="true" name="_bdm.f4f607a7763a47d0ae2989c937b7bb52.edm" vbProcedure="false">#REF!</definedName>
    <definedName function="false" hidden="true" name="_bdm.f4fcda1d786e4fa48c0e6ac50bb6a78d.edm" vbProcedure="false">#REF!</definedName>
    <definedName function="false" hidden="true" name="_bdm.f51202db4fa44d50a795fef8f19b2d56.edm" vbProcedure="false">#REF!</definedName>
    <definedName function="false" hidden="true" name="_bdm.F522D938C40D4F24B3EAA2AEAEF0C96F.edm" vbProcedure="false">#REF!</definedName>
    <definedName function="false" hidden="true" name="_bdm.f55a1190c0c14de185b352ce79318295.edm" vbProcedure="false">#REF!</definedName>
    <definedName function="false" hidden="true" name="_bdm.f567d28fc4bd4776a9c18babddc32431.edm" vbProcedure="false">#REF!</definedName>
    <definedName function="false" hidden="true" name="_bdm.f5869584b84e4edeb96819df09c8e064.edm" vbProcedure="false">#REF!</definedName>
    <definedName function="false" hidden="true" name="_bdm.f5b0172221d54d7a8ee187136ba99238.edm" vbProcedure="false">#REF!</definedName>
    <definedName function="false" hidden="true" name="_bdm.f5d08c7be89a49c5b1edd8467624c3d4.edm" vbProcedure="false">#REF!</definedName>
    <definedName function="false" hidden="true" name="_bdm.f5da5f979e3b4d1f930159ce395cc471.edm" vbProcedure="false">#REF!</definedName>
    <definedName function="false" hidden="true" name="_bdm.f5e22948b7364e809f494501e1ebb536.edm" vbProcedure="false">#REF!</definedName>
    <definedName function="false" hidden="true" name="_bdm.f6507350a8f045cba365b9b113ddea9e.edm" vbProcedure="false">#REF!</definedName>
    <definedName function="false" hidden="true" name="_bdm.f65de1a27dc3481aaa62c449b23ea5f8.edm" vbProcedure="false">#REF!</definedName>
    <definedName function="false" hidden="true" name="_bdm.f683a8f680ff4ddeb1f01a917b5fad06.edm" vbProcedure="false">#REF!</definedName>
    <definedName function="false" hidden="true" name="_bdm.f69d396061db4c718a8cc46b5d9741b3.edm" vbProcedure="false">#REF!</definedName>
    <definedName function="false" hidden="true" name="_bdm.f6c5bd76f0664107a04bc1200651f9cb.edm" vbProcedure="false">#REF!</definedName>
    <definedName function="false" hidden="true" name="_bdm.f6ce0acacf2a4c98819d89ee40f4872a.edm" vbProcedure="false">#REF!</definedName>
    <definedName function="false" hidden="true" name="_bdm.f6eab6d5ca9c4ea28375bb366c326a7c.edm" vbProcedure="false">#REF!</definedName>
    <definedName function="false" hidden="true" name="_bdm.f75222bbf9644a93afb9015eafde58f7.edm" vbProcedure="false">#REF!</definedName>
    <definedName function="false" hidden="true" name="_bdm.f765f538e477467f9024dc88aec5eaab.edm" vbProcedure="false">#REF!</definedName>
    <definedName function="false" hidden="true" name="_bdm.f77127fbe4ee4f35aef4bfd8377cd8b7.edm" vbProcedure="false">#REF!</definedName>
    <definedName function="false" hidden="true" name="_bdm.f77b451883454133b2b01d34fceac083.edm" vbProcedure="false">#REF!</definedName>
    <definedName function="false" hidden="true" name="_bdm.f77fe7743c3248adb8f5bb84a0923bb9.edm" vbProcedure="false">#REF!</definedName>
    <definedName function="false" hidden="true" name="_bdm.F79EBD70F2BE4EFDA02BD23044E10288.edm" vbProcedure="false">#REF!</definedName>
    <definedName function="false" hidden="true" name="_bdm.f7a29e21bccd4a1fb34c9a5ead99d4c2.edm" vbProcedure="false">#REF!</definedName>
    <definedName function="false" hidden="true" name="_bdm.f7d5f24d9bc1440d928d604acd2bfff2.edm" vbProcedure="false">#REF!</definedName>
    <definedName function="false" hidden="true" name="_bdm.f8050ca0748144dcaa0d9d5a1edc3321.edm" vbProcedure="false">#REF!</definedName>
    <definedName function="false" hidden="true" name="_bdm.f86b85ae39944576a6b68639b6cdda73.edm" vbProcedure="false">#REF!</definedName>
    <definedName function="false" hidden="true" name="_bdm.F8743B097A384D5C81435B514739AE3A.edm" vbProcedure="false">#REF!</definedName>
    <definedName function="false" hidden="true" name="_bdm.f877d75c878246b9bd91396f8b7307a0.edm" vbProcedure="false">#REF!</definedName>
    <definedName function="false" hidden="true" name="_bdm.F87C3C64A4D24CA3AC0DFD30FA3AFEE8.edm" vbProcedure="false">#REF!</definedName>
    <definedName function="false" hidden="true" name="_bdm.f88a3e94a9ca442e9b5b8dd1104f0e0f.edm" vbProcedure="false">#REF!</definedName>
    <definedName function="false" hidden="true" name="_bdm.f89f6c174496485daadee25f9d11bcb8.edm" vbProcedure="false">#REF!</definedName>
    <definedName function="false" hidden="true" name="_bdm.f8a36719ead14ef4990ffa8c6f238e48.edm" vbProcedure="false">#REF!</definedName>
    <definedName function="false" hidden="true" name="_bdm.f8c26e1376c344e0a92f0c44d86c63a3.edm" vbProcedure="false">#REF!</definedName>
    <definedName function="false" hidden="true" name="_bdm.f8d4b2fcd7ec460082d5a52e94b7b718.edm" vbProcedure="false">#REF!</definedName>
    <definedName function="false" hidden="true" name="_bdm.f8d797a68be744e4940f5ef1b463aa1d.edm" vbProcedure="false">#REF!</definedName>
    <definedName function="false" hidden="true" name="_bdm.f92ad1722a174cf784cdea6663f247b1.edm" vbProcedure="false">#REF!</definedName>
    <definedName function="false" hidden="true" name="_bdm.f957a175e679419aaadc0369a1a56ca8.edm" vbProcedure="false">#REF!</definedName>
    <definedName function="false" hidden="true" name="_bdm.F95D4E75CC37496A8F4693CA11410400.edm" vbProcedure="false">#REF!</definedName>
    <definedName function="false" hidden="true" name="_bdm.f95da66ef6564757ac1c0261b15777b4.edm" vbProcedure="false">#REF!</definedName>
    <definedName function="false" hidden="true" name="_bdm.f9841995a7264630ab5c274743eb25c4.edm" vbProcedure="false">#REF!</definedName>
    <definedName function="false" hidden="true" name="_bdm.f9b42fbc9ab643dfb4a73fee7a9b3afd.edm" vbProcedure="false">#REF!</definedName>
    <definedName function="false" hidden="true" name="_bdm.f9b61f8a0f044d6ba09f4e3ed9a0db3f.edm" vbProcedure="false">#REF!</definedName>
    <definedName function="false" hidden="true" name="_bdm.f9bc3289cdea48f0a4a040651c172a7f.edm" vbProcedure="false">#REF!</definedName>
    <definedName function="false" hidden="true" name="_bdm.f9d5537867284244afe00ec9c21b5f0a.edm" vbProcedure="false">#REF!</definedName>
    <definedName function="false" hidden="true" name="_bdm.f9d624bc193e4ba7a619490dc024754d.edm" vbProcedure="false">#REF!</definedName>
    <definedName function="false" hidden="true" name="_bdm.f9e4f31bdae14e389792430102b3d5fd.edm" vbProcedure="false">#REF!</definedName>
    <definedName function="false" hidden="true" name="_bdm.fa4ccb171dc74d89bb8625614e15a477.edm" vbProcedure="false">#REF!</definedName>
    <definedName function="false" hidden="true" name="_bdm.fa5607c9f74e4c2a8c3ae2879ae9440a.edm" vbProcedure="false">#REF!</definedName>
    <definedName function="false" hidden="true" name="_bdm.fa80ec0bc4c243ad8789a5d9b4914b82.edm" vbProcedure="false">#REF!</definedName>
    <definedName function="false" hidden="true" name="_bdm.faa4fd49b73e4f379a2f590696bcc32d.edm" vbProcedure="false">#REF!</definedName>
    <definedName function="false" hidden="true" name="_bdm.fac794525dd84d9caa07c510c0a5cf29.edm" vbProcedure="false">#REF!</definedName>
    <definedName function="false" hidden="true" name="_bdm.facd1081f72d41fc8cca6b83bfdbe772.edm" vbProcedure="false">#REF!</definedName>
    <definedName function="false" hidden="true" name="_bdm.facf9bd087584178a9c810d0e6494ba8.edm" vbProcedure="false">#REF!</definedName>
    <definedName function="false" hidden="true" name="_bdm.fae740044f0e49ffafca95160ad9a74e.edm" vbProcedure="false">#REF!</definedName>
    <definedName function="false" hidden="true" name="_bdm.faf35ec17643410ca447f18c28a26618.edm" vbProcedure="false">#REF!</definedName>
    <definedName function="false" hidden="true" name="_bdm.FastTrackBookmark.10_3_2017_10_26_31_AM.edm" vbProcedure="false">#REF!</definedName>
    <definedName function="false" hidden="true" name="_bdm.FastTrackBookmark.10_4_2016_11_26_20_AM.edm" vbProcedure="false">#REF!</definedName>
    <definedName function="false" hidden="true" name="_bdm.FastTrackBookmark.11_8_2015_8_10_31_PM.edm" vbProcedure="false">#REF!</definedName>
    <definedName function="false" hidden="true" name="_bdm.FastTrackBookmark.12_15_2020_2_40_49_PM.edm" vbProcedure="false">#REF!</definedName>
    <definedName function="false" hidden="true" name="_bdm.FastTrackBookmark.12_15_2020_2_40_50_PM.edm" vbProcedure="false">#REF!</definedName>
    <definedName function="false" hidden="true" name="_bdm.FastTrackBookmark.3_5_2018_3_13_43_AM.edm" vbProcedure="false">#REF!</definedName>
    <definedName function="false" hidden="true" name="_bdm.FastTrackBookmark.3_5_2018_3_13_44_AM.edm" vbProcedure="false">#REF!</definedName>
    <definedName function="false" hidden="true" name="_bdm.FastTrackBookmark.6_25_2019_1_32_32_PM.edm" vbProcedure="false">#REF!</definedName>
    <definedName function="false" hidden="true" name="_bdm.FastTrackBookmark.9_15_2017_6_36_37_PM.edm" vbProcedure="false">#REF!</definedName>
    <definedName function="false" hidden="true" name="_bdm.fb0cf1424a7f432cadd8c8ed260b56b9.edm" vbProcedure="false">#REF!</definedName>
    <definedName function="false" hidden="true" name="_bdm.fb0d412c143443f19c105226a8db2fa7.edm" vbProcedure="false">#REF!</definedName>
    <definedName function="false" hidden="true" name="_bdm.fb330d7824eb440681331f9ccaf76d9c.edm" vbProcedure="false">#REF!</definedName>
    <definedName function="false" hidden="true" name="_bdm.fb3e026b1b3e4be6831fbcb25f2e1aeb.edm" vbProcedure="false">#REF!</definedName>
    <definedName function="false" hidden="true" name="_bdm.fb5b2e9b31b54f50b554d7bddab5d937.edm" vbProcedure="false">#REF!</definedName>
    <definedName function="false" hidden="true" name="_bdm.fb694467109e4faf9f0a30eb90062d31.edm" vbProcedure="false">#REF!</definedName>
    <definedName function="false" hidden="true" name="_bdm.fb77f38933f94d8d9ac3a1ee2151e62f.edm" vbProcedure="false">#REF!</definedName>
    <definedName function="false" hidden="true" name="_bdm.fbabe0cd7b244b628a0bbb02a2989863.edm" vbProcedure="false">#REF!</definedName>
    <definedName function="false" hidden="true" name="_bdm.fbb0ceb30a0f4a978a1c12b6b925850a.edm" vbProcedure="false">#REF!</definedName>
    <definedName function="false" hidden="true" name="_bdm.fbb2bbbd417f4c8d9786617b480242a2.edm" vbProcedure="false">#REF!</definedName>
    <definedName function="false" hidden="true" name="_bdm.fbbe618c6274433681ec213dc77e507f.edm" vbProcedure="false">#REF!</definedName>
    <definedName function="false" hidden="true" name="_bdm.fbf30f29419044a18c1f2a921c55dd2e.edm" vbProcedure="false">#REF!</definedName>
    <definedName function="false" hidden="true" name="_bdm.fc12d7161db54fdfa7e9d753e8f0208f.edm" vbProcedure="false">#REF!</definedName>
    <definedName function="false" hidden="true" name="_bdm.fc26504e24b24de2a993af4e09e404ef.edm" vbProcedure="false">#REF!</definedName>
    <definedName function="false" hidden="true" name="_bdm.fc626d3d2a0f497082daa649dd8b2327.edm" vbProcedure="false">#REF!</definedName>
    <definedName function="false" hidden="true" name="_bdm.fc795625e24a4bcca52e948709c1f72b.edm" vbProcedure="false">#REF!</definedName>
    <definedName function="false" hidden="true" name="_bdm.fcaa8ea3bc834ee697930976c0cedb03.edm" vbProcedure="false">#REF!</definedName>
    <definedName function="false" hidden="true" name="_bdm.fcad8e4dfb244861bb48cfa4f88357ab.edm" vbProcedure="false">#REF!</definedName>
    <definedName function="false" hidden="true" name="_bdm.fcd05436ad314a9aa562aa74059d60e9.edm" vbProcedure="false">#REF!</definedName>
    <definedName function="false" hidden="true" name="_bdm.fcf240858c7d4e09ab0f0061a11e6ede.edm" vbProcedure="false">#REF!</definedName>
    <definedName function="false" hidden="true" name="_bdm.fcf7e69473ff41d0abb0610df9eef648.edm" vbProcedure="false">#REF!</definedName>
    <definedName function="false" hidden="true" name="_bdm.fd013e26cea743b4af4229790421274d.edm" vbProcedure="false">#REF!</definedName>
    <definedName function="false" hidden="true" name="_bdm.fd16f3ad65234d99880a866a209281f0.edm" vbProcedure="false">#REF!</definedName>
    <definedName function="false" hidden="true" name="_bdm.fd2b7281afd4498690ea11ae3fc3d953.edm" vbProcedure="false">#REF!</definedName>
    <definedName function="false" hidden="true" name="_bdm.fd465d99366149b99653bb71295c3cbf.edm" vbProcedure="false">#REF!</definedName>
    <definedName function="false" hidden="true" name="_bdm.fd49e98052f74881be670715308dfded.edm" vbProcedure="false">#REF!</definedName>
    <definedName function="false" hidden="true" name="_bdm.fdc911a658cb47b38aacd0c8bfd4300d.edm" vbProcedure="false">#REF!</definedName>
    <definedName function="false" hidden="true" name="_bdm.fdc9179706094800b692b95aa13aae51.edm" vbProcedure="false">#REF!</definedName>
    <definedName function="false" hidden="true" name="_bdm.fdd5e22ff0c14f72921a0c0ac20f7d96.edm" vbProcedure="false">#REF!</definedName>
    <definedName function="false" hidden="true" name="_bdm.fe2566f4fc5d4c8393d6128155d3ac5a.edm" vbProcedure="false">#REF!</definedName>
    <definedName function="false" hidden="true" name="_bdm.fe4ae0ab878b49efbc948eb7a30b1ac1.edm" vbProcedure="false">#REF!</definedName>
    <definedName function="false" hidden="true" name="_bdm.fe65d71450224e209134b20040bf69da.edm" vbProcedure="false">#REF!</definedName>
    <definedName function="false" hidden="true" name="_bdm.fe74e0e69be5452ea0b30634a03307ec.edm" vbProcedure="false">#REF!</definedName>
    <definedName function="false" hidden="true" name="_bdm.fe7c436156384f6491accb21a0a83bc4.edm" vbProcedure="false">#REF!</definedName>
    <definedName function="false" hidden="true" name="_bdm.fe8661d315d1459388adaa10812fdbff.edm" vbProcedure="false">#REF!</definedName>
    <definedName function="false" hidden="true" name="_bdm.fea69416e43d463ab51a66194a4062a3.edm" vbProcedure="false">#REF!</definedName>
    <definedName function="false" hidden="true" name="_bdm.feb225243ed54bc8a08da0e46da097cf.edm" vbProcedure="false">#REF!</definedName>
    <definedName function="false" hidden="true" name="_bdm.fecb224f79fd4265b5ae007b8f00c898.edm" vbProcedure="false">#REF!</definedName>
    <definedName function="false" hidden="true" name="_bdm.fedba33185dc4dd0bd90f4ff06cac15d.edm" vbProcedure="false">#REF!</definedName>
    <definedName function="false" hidden="true" name="_bdm.fedd7dcf30ab4917b353920c3a05c30c.edm" vbProcedure="false">#REF!</definedName>
    <definedName function="false" hidden="true" name="_bdm.ff654da66e784f9b811001b7ce639acb.edm" vbProcedure="false">#REF!</definedName>
    <definedName function="false" hidden="true" name="_bdm.ff8be4e1ee894977bff9e7677e7c4a01.edm" vbProcedure="false">#REF!</definedName>
    <definedName function="false" hidden="true" name="_bdm.ff9ef7da48e64364b0f9adde8bc675e7.edm" vbProcedure="false">#REF!</definedName>
    <definedName function="false" hidden="true" name="_bdm.ffb8f54cd86a4817bc0567d2b8eb48a3.edm" vbProcedure="false">#REF!</definedName>
    <definedName function="false" hidden="true" name="_bdm.ffcf5a44dc0d4666988e2a7ad96ad860.edm" vbProcedure="false">#REF!</definedName>
    <definedName function="false" hidden="true" name="_bdm.ffda8682ae3f4879822aa95475f253a3.edm" vbProcedure="false">#REF!</definedName>
    <definedName function="false" hidden="true" name="_bdm.ffdf2bf57ed7403ea3a73c92dd2dacd2.edm" vbProcedure="false">#REF!</definedName>
    <definedName function="false" hidden="true" name="_bdm.ffe7a2f0c425447b8405a81edba84678.edm" vbProcedure="false">#REF!</definedName>
    <definedName function="false" hidden="true" name="_bdm.fff5dfd2f31f45b18679dacb744b1888.edm" vbProcedure="false">#REF!</definedName>
    <definedName function="false" hidden="true" name="_bs1" vbProcedure="false">{"RATIO",#N/A,FALSE,"sch._cs";"FB",#N/A,FALSE,"sch._cs";"SP_MILL_MIX_150PRESS",#N/A,FALSE,"sch._cs"}</definedName>
    <definedName function="false" hidden="true" name="_cc1" vbProcedure="false">{#N/A,#N/A,FALSE,"CMN_FE"}</definedName>
    <definedName function="false" hidden="true" name="_CD1" vbProcedure="false">{#N/A,#N/A,FALSE,"CMN_FE"}</definedName>
    <definedName function="false" hidden="true" name="_dan2" vbProcedure="false">{#N/A,#N/A,FALSE,"Intro";#N/A,#N/A,FALSE,"Para";#N/A,#N/A,FALSE,"Summary";#N/A,#N/A,FALSE,"Major";#N/A,#N/A,FALSE,"PL";#N/A,#N/A,FALSE,"BS";#N/A,#N/A,FALSE,"CF";#N/A,#N/A,FALSE,"Ratio";#N/A,#N/A,FALSE,"Evaluate";#N/A,#N/A,FALSE,"NPV";#N/A,#N/A,FALSE,"Option";#N/A,#N/A,FALSE,"GSale";#N/A,#N/A,FALSE,"Sample";#N/A,#N/A,FALSE,"COGS";#N/A,#N/A,FALSE,"Rebate";#N/A,#N/A,FALSE,"Deduction";#N/A,#N/A,FALSE,"SP";#N/A,#N/A,FALSE,"RD"}</definedName>
    <definedName function="false" hidden="true" name="_dfd1" vbProcedure="false">{"comp1",#N/A,FALSE,"COMPS";"footnotes",#N/A,FALSE,"COMPS"}</definedName>
    <definedName function="false" hidden="true" name="_edp1" vbProcedure="false">{"assumption 50 50",#N/A,TRUE,"Merger";"has gets cash",#N/A,TRUE,"Merger";"accretion dilution",#N/A,TRUE,"Merger";"comparison credit stats",#N/A,TRUE,"Merger";"pf credit stats",#N/A,TRUE,"Merger";"pf sheets",#N/A,TRUE,"Merger"}</definedName>
    <definedName function="false" hidden="true" name="_eyr1" vbProcedure="false">{"hiden",#N/A,FALSE,"14";"hidden",#N/A,FALSE,"16";"hidden",#N/A,FALSE,"18";"hidden",#N/A,FALSE,"20"}</definedName>
    <definedName function="false" hidden="true" name="_f1" vbProcedure="false">{"assumption cash",#N/A,TRUE,"Merger";"has gets cash",#N/A,TRUE,"Merger";"accretion dilution",#N/A,TRUE,"Merger";"comparison credit stats",#N/A,TRUE,"Merger";"pf credit stats",#N/A,TRUE,"Merger";"pf sheets",#N/A,TRUE,"Merger"}</definedName>
    <definedName function="false" hidden="true" name="_fds2" vbProcedure="false">{"comps",#N/A,FALSE,"comps";"notes",#N/A,FALSE,"comps"}</definedName>
    <definedName function="false" hidden="true" name="_Fill" vbProcedure="false">#REF!</definedName>
    <definedName function="false" hidden="true" name="_frr1" vbProcedure="false">{"pg3 Finished Goods",#N/A,FALSE,"FG - KPIs pg3"}</definedName>
    <definedName function="false" hidden="true" name="_fy97" vbProcedure="false">{#N/A,#N/A,FALSE,"FY97";#N/A,#N/A,FALSE,"FY98";#N/A,#N/A,FALSE,"FY99";#N/A,#N/A,FALSE,"FY00";#N/A,#N/A,FALSE,"FY01"}</definedName>
    <definedName function="false" hidden="true" name="_g1" vbProcedure="false">{"comp1",#N/A,FALSE,"COMPS";"footnotes",#N/A,FALSE,"COMPS"}</definedName>
    <definedName function="false" hidden="true" name="_ggf1" vbProcedure="false">{"comps",#N/A,FALSE,"comps";"notes",#N/A,FALSE,"comps"}</definedName>
    <definedName function="false" hidden="true" name="_gr3" vbProcedure="false">{"comp1",#N/A,FALSE,"COMPS";"footnotes",#N/A,FALSE,"COMPS"}</definedName>
    <definedName function="false" hidden="true" name="_GSRATES_1" vbProcedure="false">"CT30000120000728        "</definedName>
    <definedName function="false" hidden="true" name="_GSRATES_2" vbProcedure="false">"CT30000119990919        "</definedName>
    <definedName function="false" hidden="true" name="_GSRATES_3" vbProcedure="false">"CT30000119990928        "</definedName>
    <definedName function="false" hidden="true" name="_GSRATES_4" vbProcedure="false">"CT30000119990928        "</definedName>
    <definedName function="false" hidden="true" name="_GSRATES_5" vbProcedure="false">"CT30000119990331        "</definedName>
    <definedName function="false" hidden="true" name="_GSRATES_6" vbProcedure="false">"CT30000119990101        "</definedName>
    <definedName function="false" hidden="true" name="_GSRATES_7" vbProcedure="false">"CT30000119980930        "</definedName>
    <definedName function="false" hidden="true" name="_GSRATES_8" vbProcedure="false">"CT30000119980630        "</definedName>
    <definedName function="false" hidden="true" name="_GSRATES_9" vbProcedure="false">"CT30000119980331        "</definedName>
    <definedName function="false" hidden="true" name="_GSRATES_COUNT" vbProcedure="false">1</definedName>
    <definedName function="false" hidden="true" name="_ik1" vbProcedure="false">{"casespecific",#N/A,FALSE,"Assumptions"}</definedName>
    <definedName function="false" hidden="true" name="_Key1" vbProcedure="false">#REF!</definedName>
    <definedName function="false" hidden="true" name="_Key2" vbProcedure="false">#REF!</definedName>
    <definedName function="false" hidden="true" name="_kol1" vbProcedure="false">{"away stand alones",#N/A,FALSE,"Target"}</definedName>
    <definedName function="false" hidden="true" name="_new1"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_new2" vbProcedure="false">{"CF_YEARLY",#N/A,FALSE,"CF";"CF_Y1",#N/A,FALSE,"CF";"CF_Y2",#N/A,FALSE,"CF";"CF_Y3",#N/A,FALSE,"CF";"CF_Y4",#N/A,FALSE,"CF";"CF_Y5",#N/A,FALSE,"CF";"CF_Y6",#N/A,FALSE,"CF"}</definedName>
    <definedName function="false" hidden="true" name="_new3" vbProcedure="false">{"fdsup://Directions/FactSet Auditing Viewer?action=AUDIT_VALUE&amp;DB=129&amp;ID1=71708110&amp;VALUEID=05376&amp;SDATE=2006&amp;PERIODTYPE=ANN_STD&amp;window=popup_no_bar&amp;width=385&amp;height=120&amp;START_MAXIMIZED=FALSE&amp;creator=factset&amp;display_string=Audit"}</definedName>
    <definedName function="false" hidden="true" name="_new4" vbProcedure="false">{"fdsup://Directions/FactSet Auditing Viewer?action=AUDIT_VALUE&amp;DB=129&amp;ID1=11012210&amp;VALUEID=05376&amp;SDATE=2008&amp;PERIODTYPE=ANN_STD&amp;window=popup_no_bar&amp;width=385&amp;height=120&amp;START_MAXIMIZED=FALSE&amp;creator=factset&amp;display_string=Audit"}</definedName>
    <definedName function="false" hidden="true" name="_new6" vbProcedure="false">{"fdsup://Directions/FactSet Auditing Viewer?action=AUDIT_VALUE&amp;DB=129&amp;ID1=11012210&amp;VALUEID=05376&amp;SDATE=2009&amp;PERIODTYPE=ANN_STD&amp;window=popup_no_bar&amp;width=385&amp;height=120&amp;START_MAXIMIZED=FALSE&amp;creator=factset&amp;display_string=Audit"}</definedName>
    <definedName function="false" hidden="true" name="_new8" vbProcedure="false">{"fdsup://Directions/FactSet Auditing Viewer?action=AUDIT_VALUE&amp;DB=129&amp;ID1=11012210&amp;VALUEID=05376&amp;SDATE=2006&amp;PERIODTYPE=ANN_STD&amp;window=popup_no_bar&amp;width=385&amp;height=120&amp;START_MAXIMIZED=FALSE&amp;creator=factset&amp;display_string=Audit"}</definedName>
    <definedName function="false" hidden="true" name="_ok1" vbProcedure="false">{"assumption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function="false" hidden="true" name="_ok10" vbProcedure="false">{#N/A,#N/A,FALSE,"Calc";#N/A,#N/A,FALSE,"Sensitivity";#N/A,#N/A,FALSE,"LT Earn.Dil.";#N/A,#N/A,FALSE,"Dil. AVP"}</definedName>
    <definedName function="false" hidden="true" name="_ok11" vbProcedure="false">{"assumption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function="false" hidden="true" name="_oku1" vbProcedure="false">{"equity comps",#N/A,FALSE,"CS Comps";"equity comps",#N/A,FALSE,"PS Comps";"equity comps",#N/A,FALSE,"GIC_Comps";"equity comps",#N/A,FALSE,"GIC2_Comps";"debt comps",#N/A,FALSE,"CS Comps";"debt comps",#N/A,FALSE,"PS Comps";"debt comps",#N/A,FALSE,"GIC_Comps";"debt comps",#N/A,FALSE,"GIC2_Comps"}</definedName>
    <definedName function="false" hidden="true" name="_Order1" vbProcedure="false">255</definedName>
    <definedName function="false" hidden="true" name="_order12" vbProcedure="false">0</definedName>
    <definedName function="false" hidden="true" name="_Order1_1" vbProcedure="false">255</definedName>
    <definedName function="false" hidden="true" name="_Order2" vbProcedure="false">255</definedName>
    <definedName function="false" hidden="true" name="_order_1" vbProcedure="false">0</definedName>
    <definedName function="false" hidden="true" name="_pl1" vbProcedure="false">{"profit",#N/A,FALSE,"Aerospace";"profit",#N/A,FALSE,"Engines";"profit",#N/A,FALSE,"AES";"profit",#N/A,FALSE,"ES";"profit",#N/A,FALSE,"CAS";"profit",#N/A,FALSE,"ATSC";"profit",#N/A,FALSE,"FMT";"profit",#N/A,FALSE,"Aero Other";"profit",#N/A,FALSE,"Judgement"}</definedName>
    <definedName function="false" hidden="true" name="_po1" vbProcedure="false">{#N/A,#N/A,FALSE,"Calc";#N/A,#N/A,FALSE,"Sensitivity";#N/A,#N/A,FALSE,"LT Earn.Dil.";#N/A,#N/A,FALSE,"Dil. AVP"}</definedName>
    <definedName function="false" hidden="true" name="_poi1" vbProcedure="false">{"assumption 50 50",#N/A,TRUE,"Merger";"has gets cash",#N/A,TRUE,"Merger";"accretion dilution",#N/A,TRUE,"Merger";"comparison credit stats",#N/A,TRUE,"Merger";"pf credit stats",#N/A,TRUE,"Merger";"pf sheets",#N/A,TRUE,"Merger"}</definedName>
    <definedName function="false" hidden="true" name="_q1" vbProcedure="false">{#N/A,#N/A,FALSE,"CMN_FE"}</definedName>
    <definedName function="false" hidden="true" name="_q2" vbProcedure="false">{"rfcjan",#N/A,FALSE,"Stats"}</definedName>
    <definedName function="false" hidden="true" name="_q3" vbProcedure="false">{"rfcjan",#N/A,FALSE,"Stats"}</definedName>
    <definedName function="false" hidden="true" name="_rd2" vbProcedure="false">{"BS_YEARLY",#N/A,FALSE,"BS";"BS_Y1",#N/A,FALSE,"BS";"BS_Y2",#N/A,FALSE,"BS";"BS_Y3",#N/A,FALSE,"BS";"BS_Y4",#N/A,FALSE,"BS";"BS_Y5",#N/A,FALSE,"BS";"BS_Y6",#N/A,FALSE,"BS"}</definedName>
    <definedName function="false" hidden="true" name="_rd3" vbProcedure="false">{"PL_YEARLY",#N/A,FALSE,"PL";"PL_Y1",#N/A,FALSE,"PL";"PL_Y2",#N/A,FALSE,"PL";"PL_Y3",#N/A,FALSE,"PL";"PL_Y4",#N/A,FALSE,"PL";"PL_Y5",#N/A,FALSE,"PL";"PL_Y6",#N/A,FALSE,"PL"}</definedName>
    <definedName function="false" hidden="true" name="_Regression_Int" vbProcedure="false">1</definedName>
    <definedName function="false" hidden="true" name="_Regression_Out" vbProcedure="false">#REF!</definedName>
    <definedName function="false" hidden="true" name="_Regression_X" vbProcedure="false">#REF!</definedName>
    <definedName function="false" hidden="true" name="_Regression_Y" vbProcedure="false">#REF!</definedName>
    <definedName function="false" hidden="true" name="_rty1" vbProcedure="false">{#N/A,#N/A,TRUE,"Pro Forma";#N/A,#N/A,TRUE,"PF_Bal";#N/A,#N/A,TRUE,"PF_INC";#N/A,#N/A,TRUE,"CBE";#N/A,#N/A,TRUE,"SWK"}</definedName>
    <definedName function="false" hidden="true" name="_Sort" vbProcedure="false">#REF!</definedName>
    <definedName function="false" hidden="true" name="_Table1_In1" vbProcedure="false">#REF!</definedName>
    <definedName function="false" hidden="true" name="_Table1_Out" vbProcedure="false">#REF!</definedName>
    <definedName function="false" hidden="true" name="_Table2_In1" vbProcedure="false">#REF!</definedName>
    <definedName function="false" hidden="true" name="_Table2_In2" vbProcedure="false">#REF!</definedName>
    <definedName function="false" hidden="true" name="_Table2_Out" vbProcedure="false">#REF!</definedName>
    <definedName function="false" hidden="true" name="_UNDO31X31X_" vbProcedure="false">#REF!</definedName>
    <definedName function="false" hidden="true" name="_UNDO_UPS_" vbProcedure="false">#REF!</definedName>
    <definedName function="false" hidden="true" name="_UNDO_UPS_SEL_" vbProcedure="false">#REF!</definedName>
    <definedName function="false" hidden="true" name="_V134444" vbProcedure="false">{"CF_YEARLY",#N/A,FALSE,"CF";"CF_Y1",#N/A,FALSE,"CF";"CF_Y2",#N/A,FALSE,"CF";"CF_Y3",#N/A,FALSE,"CF";"CF_Y4",#N/A,FALSE,"CF";"CF_Y5",#N/A,FALSE,"CF";"CF_Y6",#N/A,FALSE,"CF"}</definedName>
    <definedName function="false" hidden="true" name="_vrn3"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_vrn9"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_wee1" vbProcedure="false">{#N/A,#N/A,FALSE,"SUMMARY"}</definedName>
    <definedName function="false" hidden="true" name="_wrn09"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_wrn2" vbProcedure="false">{"casespecific",#N/A,FALSE,"Assumptions"}</definedName>
    <definedName function="false" hidden="true" name="_wrn3" vbProcedure="false">{"comps",#N/A,FALSE,"comps";"notes",#N/A,FALSE,"comps"}</definedName>
    <definedName function="false" hidden="true" name="_wrn4" vbProcedure="false">{"general",#N/A,FALSE,"Assumptions"}</definedName>
    <definedName function="false" hidden="true" name="_wrn5"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_wrn6"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_wrn9"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_xx1" vbProcedure="false">{#N/A,#N/A,FALSE,"CMN_FE"}</definedName>
    <definedName function="false" hidden="true" name="__123Graph_A" vbProcedure="false">#N/A</definedName>
    <definedName function="false" hidden="true" name="__123Graph_AAEROHOSP" vbProcedure="false">#REF!</definedName>
    <definedName function="false" hidden="true" name="__123Graph_AAERORET" vbProcedure="false">#REF!</definedName>
    <definedName function="false" hidden="true" name="__123Graph_AAEROVET" vbProcedure="false">#REF!</definedName>
    <definedName function="false" hidden="true" name="__123Graph_AALFERON" vbProcedure="false">#N/A</definedName>
    <definedName function="false" hidden="true" name="__123Graph_ABETCR" vbProcedure="false">#REF!</definedName>
    <definedName function="false" hidden="true" name="__123Graph_ABETFOAM" vbProcedure="false">#REF!</definedName>
    <definedName function="false" hidden="true" name="__123Graph_ABETSUPP" vbProcedure="false">#REF!</definedName>
    <definedName function="false" hidden="true" name="__123Graph_ABETWHIRL" vbProcedure="false">#REF!</definedName>
    <definedName function="false" hidden="true" name="__123Graph_ACHT2" vbProcedure="false">#REF!</definedName>
    <definedName function="false" hidden="true" name="__123Graph_ACHT3" vbProcedure="false">#REF!</definedName>
    <definedName function="false" hidden="true" name="__123Graph_ACHT4" vbProcedure="false">#REF!</definedName>
    <definedName function="false" hidden="true" name="__123Graph_ACSTS" vbProcedure="false">#REF!</definedName>
    <definedName function="false" hidden="true" name="__123Graph_ADOU1OZ" vbProcedure="false">#REF!</definedName>
    <definedName function="false" hidden="true" name="__123Graph_ADOU8KIT" vbProcedure="false">#REF!</definedName>
    <definedName function="false" hidden="true" name="__123Graph_ADOU8OZ" vbProcedure="false">#REF!</definedName>
    <definedName function="false" hidden="true" name="__123Graph_ADOUHALF" vbProcedure="false">#REF!</definedName>
    <definedName function="false" hidden="true" name="__123Graph_ADOUPSIN" vbProcedure="false">#REF!</definedName>
    <definedName function="false" hidden="true" name="__123Graph_ADOUPTWIN" vbProcedure="false">#REF!</definedName>
    <definedName function="false" hidden="true" name="__123Graph_ADOUSIN" vbProcedure="false">#REF!</definedName>
    <definedName function="false" hidden="true" name="__123Graph_ADOUTWIN" vbProcedure="false">#REF!</definedName>
    <definedName function="false" hidden="true" name="__123Graph_AGARGLE" vbProcedure="false">#REF!</definedName>
    <definedName function="false" hidden="true" name="__123Graph_AGAUZE" vbProcedure="false">#REF!</definedName>
    <definedName function="false" hidden="true" name="__123Graph_AGEL18" vbProcedure="false">#REF!</definedName>
    <definedName function="false" hidden="true" name="__123Graph_AGEL3OZ" vbProcedure="false">#REF!</definedName>
    <definedName function="false" hidden="true" name="__123Graph_AGRAPH" vbProcedure="false">#REF!</definedName>
    <definedName function="false" hidden="true" name="__123Graph_AGRPH1" vbProcedure="false">#REF!</definedName>
    <definedName function="false" hidden="true" name="__123Graph_AHELAFOAM" vbProcedure="false">#REF!</definedName>
    <definedName function="false" hidden="true" name="__123Graph_ALUBGEL" vbProcedure="false">#REF!</definedName>
    <definedName function="false" hidden="true" name="__123Graph_AMARGINS" vbProcedure="false">#REF!</definedName>
    <definedName function="false" hidden="true" name="__123Graph_AMRGLONG" vbProcedure="false">#REF!</definedName>
    <definedName function="false" hidden="true" name="__123Graph_AOIN132OZ" vbProcedure="false">#REF!</definedName>
    <definedName function="false" hidden="true" name="__123Graph_AOIN18OZ" vbProcedure="false">#REF!</definedName>
    <definedName function="false" hidden="true" name="__123Graph_AOINT1LB" vbProcedure="false">#REF!</definedName>
    <definedName function="false" hidden="true" name="__123Graph_AOINTINST" vbProcedure="false">#REF!</definedName>
    <definedName function="false" hidden="true" name="__123Graph_AOINTOTC" vbProcedure="false">#REF!</definedName>
    <definedName function="false" hidden="true" name="__123Graph_APCV" vbProcedure="false">#REF!</definedName>
    <definedName function="false" hidden="true" name="__123Graph_APCV2" vbProcedure="false">#REF!</definedName>
    <definedName function="false" hidden="true" name="__123Graph_APERIWASH" vbProcedure="false">#REF!</definedName>
    <definedName function="false" hidden="true" name="__123Graph_APHYLLO" vbProcedure="false">#N/A</definedName>
    <definedName function="false" hidden="true" name="__123Graph_AREVENUES" vbProcedure="false">#REF!</definedName>
    <definedName function="false" hidden="true" name="__123Graph_ASC16DISP" vbProcedure="false">#REF!</definedName>
    <definedName function="false" hidden="true" name="__123Graph_ASC16VET" vbProcedure="false">#REF!</definedName>
    <definedName function="false" hidden="true" name="__123Graph_ASC32" vbProcedure="false">#REF!</definedName>
    <definedName function="false" hidden="true" name="__123Graph_ASC32VET" vbProcedure="false">#REF!</definedName>
    <definedName function="false" hidden="true" name="__123Graph_ASCGAL" vbProcedure="false">#REF!</definedName>
    <definedName function="false" hidden="true" name="__123Graph_ASCGAVET" vbProcedure="false">#REF!</definedName>
    <definedName function="false" hidden="true" name="__123Graph_ASCHALF" vbProcedure="false">#REF!</definedName>
    <definedName function="false" hidden="true" name="__123Graph_ASEN2OZ" vbProcedure="false">#REF!</definedName>
    <definedName function="false" hidden="true" name="__123Graph_ASENSUP" vbProcedure="false">#REF!</definedName>
    <definedName function="false" hidden="true" name="__123Graph_ASENSYR8OZ" vbProcedure="false">#REF!</definedName>
    <definedName function="false" hidden="true" name="__123Graph_ASENX36" vbProcedure="false">#REF!</definedName>
    <definedName function="false" hidden="true" name="__123Graph_ASHAMPOO" vbProcedure="false">#REF!</definedName>
    <definedName function="false" hidden="true" name="__123Graph_ASKN1OZ" vbProcedure="false">#REF!</definedName>
    <definedName function="false" hidden="true" name="__123Graph_ASKN4GOV" vbProcedure="false">#REF!</definedName>
    <definedName function="false" hidden="true" name="__123Graph_ASKN4INST" vbProcedure="false">#REF!</definedName>
    <definedName function="false" hidden="true" name="__123Graph_ASKN4OTC" vbProcedure="false">#REF!</definedName>
    <definedName function="false" hidden="true" name="__123Graph_ASOL10Z" vbProcedure="false">#REF!</definedName>
    <definedName function="false" hidden="true" name="__123Graph_ASOL16INST" vbProcedure="false">#REF!</definedName>
    <definedName function="false" hidden="true" name="__123Graph_ASOL16OTC" vbProcedure="false">#REF!</definedName>
    <definedName function="false" hidden="true" name="__123Graph_ASOL16VET" vbProcedure="false">#REF!</definedName>
    <definedName function="false" hidden="true" name="__123Graph_ASOL32" vbProcedure="false">#REF!</definedName>
    <definedName function="false" hidden="true" name="__123Graph_ASOL32VET" vbProcedure="false">#REF!</definedName>
    <definedName function="false" hidden="true" name="__123Graph_ASOL40Z" vbProcedure="false">#REF!</definedName>
    <definedName function="false" hidden="true" name="__123Graph_ASOL80TC" vbProcedure="false">#REF!</definedName>
    <definedName function="false" hidden="true" name="__123Graph_ASOL8INST" vbProcedure="false">#REF!</definedName>
    <definedName function="false" hidden="true" name="__123Graph_ASOLGAL" vbProcedure="false">#REF!</definedName>
    <definedName function="false" hidden="true" name="__123Graph_ASOLGALVET" vbProcedure="false">#REF!</definedName>
    <definedName function="false" hidden="true" name="__123Graph_ASPONG300" vbProcedure="false">#REF!</definedName>
    <definedName function="false" hidden="true" name="__123Graph_ASPONGE" vbProcedure="false">#REF!</definedName>
    <definedName function="false" hidden="true" name="__123Graph_ASURGPREP" vbProcedure="false">#REF!</definedName>
    <definedName function="false" hidden="true" name="__123Graph_ASWABAID" vbProcedure="false">#REF!</definedName>
    <definedName function="false" hidden="true" name="__123Graph_ATOTPR2" vbProcedure="false">#REF!</definedName>
    <definedName function="false" hidden="true" name="__123Graph_ATOTVOL" vbProcedure="false">#REF!</definedName>
    <definedName function="false" hidden="true" name="__123Graph_ATOTVOL2" vbProcedure="false">#REF!</definedName>
    <definedName function="false" hidden="true" name="__123Graph_ATPHYL" vbProcedure="false">#N/A</definedName>
    <definedName function="false" hidden="true" name="__123Graph_AUN400100" vbProcedure="false">#N/A</definedName>
    <definedName function="false" hidden="true" name="__123Graph_AUN400500" vbProcedure="false">#N/A</definedName>
    <definedName function="false" hidden="true" name="__123Graph_AUN400UNI" vbProcedure="false">#N/A</definedName>
    <definedName function="false" hidden="true" name="__123Graph_AVISGAUZE" vbProcedure="false">#REF!</definedName>
    <definedName function="false" hidden="true" name="__123Graph_AXPREPLIQ" vbProcedure="false">#REF!</definedName>
    <definedName function="false" hidden="true" name="__123Graph_B" vbProcedure="false">#REF!</definedName>
    <definedName function="false" hidden="true" name="__123Graph_BAEROHOSP" vbProcedure="false">#REF!</definedName>
    <definedName function="false" hidden="true" name="__123Graph_BAERORET" vbProcedure="false">#REF!</definedName>
    <definedName function="false" hidden="true" name="__123Graph_BAEROVET" vbProcedure="false">#REF!</definedName>
    <definedName function="false" hidden="true" name="__123Graph_BBETCR" vbProcedure="false">#REF!</definedName>
    <definedName function="false" hidden="true" name="__123Graph_BBETFOAM" vbProcedure="false">#REF!</definedName>
    <definedName function="false" hidden="true" name="__123Graph_BBETSUPP" vbProcedure="false">#REF!</definedName>
    <definedName function="false" hidden="true" name="__123Graph_BBETWHIRL" vbProcedure="false">#REF!</definedName>
    <definedName function="false" hidden="true" name="__123Graph_BCHT2" vbProcedure="false">#REF!</definedName>
    <definedName function="false" hidden="true" name="__123Graph_BCHT3" vbProcedure="false">#REF!</definedName>
    <definedName function="false" hidden="true" name="__123Graph_BCHT4" vbProcedure="false">#REF!</definedName>
    <definedName function="false" hidden="true" name="__123Graph_BDOU1OZ" vbProcedure="false">#REF!</definedName>
    <definedName function="false" hidden="true" name="__123Graph_BDOU8KIT" vbProcedure="false">#REF!</definedName>
    <definedName function="false" hidden="true" name="__123Graph_BDOU8OZ" vbProcedure="false">#REF!</definedName>
    <definedName function="false" hidden="true" name="__123Graph_BDOUHALF" vbProcedure="false">#REF!</definedName>
    <definedName function="false" hidden="true" name="__123Graph_BDOUPSIN" vbProcedure="false">#REF!</definedName>
    <definedName function="false" hidden="true" name="__123Graph_BDOUPTWIN" vbProcedure="false">#REF!</definedName>
    <definedName function="false" hidden="true" name="__123Graph_BDOUSIN" vbProcedure="false">#REF!</definedName>
    <definedName function="false" hidden="true" name="__123Graph_BDOUTWIN" vbProcedure="false">#REF!</definedName>
    <definedName function="false" hidden="true" name="__123Graph_BGARGLE" vbProcedure="false">#REF!</definedName>
    <definedName function="false" hidden="true" name="__123Graph_BGAUZE" vbProcedure="false">#REF!</definedName>
    <definedName function="false" hidden="true" name="__123Graph_BGEL18" vbProcedure="false">#REF!</definedName>
    <definedName function="false" hidden="true" name="__123Graph_BGEL3OZ" vbProcedure="false">#REF!</definedName>
    <definedName function="false" hidden="true" name="__123Graph_BGRPH1" vbProcedure="false">#REF!</definedName>
    <definedName function="false" hidden="true" name="__123Graph_BHELAFOAM" vbProcedure="false">#REF!</definedName>
    <definedName function="false" hidden="true" name="__123Graph_BLUBGEL" vbProcedure="false">#REF!</definedName>
    <definedName function="false" hidden="true" name="__123Graph_BOIN132OZ" vbProcedure="false">#REF!</definedName>
    <definedName function="false" hidden="true" name="__123Graph_BOIN18OZ" vbProcedure="false">#REF!</definedName>
    <definedName function="false" hidden="true" name="__123Graph_BOINT1LB" vbProcedure="false">#REF!</definedName>
    <definedName function="false" hidden="true" name="__123Graph_BOINTINST" vbProcedure="false">#REF!</definedName>
    <definedName function="false" hidden="true" name="__123Graph_BOINTOTC" vbProcedure="false">#REF!</definedName>
    <definedName function="false" hidden="true" name="__123Graph_BPCV" vbProcedure="false">#REF!</definedName>
    <definedName function="false" hidden="true" name="__123Graph_BPCV2" vbProcedure="false">#REF!</definedName>
    <definedName function="false" hidden="true" name="__123Graph_BPERIWASH" vbProcedure="false">#REF!</definedName>
    <definedName function="false" hidden="true" name="__123Graph_BSC16DISP" vbProcedure="false">#REF!</definedName>
    <definedName function="false" hidden="true" name="__123Graph_BSC16VET" vbProcedure="false">#REF!</definedName>
    <definedName function="false" hidden="true" name="__123Graph_BSC32" vbProcedure="false">#REF!</definedName>
    <definedName function="false" hidden="true" name="__123Graph_BSC32VET" vbProcedure="false">#REF!</definedName>
    <definedName function="false" hidden="true" name="__123Graph_BSCGAL" vbProcedure="false">#REF!</definedName>
    <definedName function="false" hidden="true" name="__123Graph_BSCGAVET" vbProcedure="false">#REF!</definedName>
    <definedName function="false" hidden="true" name="__123Graph_BSCHALF" vbProcedure="false">#REF!</definedName>
    <definedName function="false" hidden="true" name="__123Graph_BSEN2OZ" vbProcedure="false">#REF!</definedName>
    <definedName function="false" hidden="true" name="__123Graph_BSENSUP" vbProcedure="false">#REF!</definedName>
    <definedName function="false" hidden="true" name="__123Graph_BSENSYR8OZ" vbProcedure="false">#REF!</definedName>
    <definedName function="false" hidden="true" name="__123Graph_BSENX36" vbProcedure="false">#REF!</definedName>
    <definedName function="false" hidden="true" name="__123Graph_BSHAMPOO" vbProcedure="false">#REF!</definedName>
    <definedName function="false" hidden="true" name="__123Graph_BSKN1OZ" vbProcedure="false">#REF!</definedName>
    <definedName function="false" hidden="true" name="__123Graph_BSKN4GOV" vbProcedure="false">#REF!</definedName>
    <definedName function="false" hidden="true" name="__123Graph_BSKN4INST" vbProcedure="false">#REF!</definedName>
    <definedName function="false" hidden="true" name="__123Graph_BSKN4OTC" vbProcedure="false">#REF!</definedName>
    <definedName function="false" hidden="true" name="__123Graph_BSOL10Z" vbProcedure="false">#REF!</definedName>
    <definedName function="false" hidden="true" name="__123Graph_BSOL16INST" vbProcedure="false">#REF!</definedName>
    <definedName function="false" hidden="true" name="__123Graph_BSOL16OTC" vbProcedure="false">#REF!</definedName>
    <definedName function="false" hidden="true" name="__123Graph_BSOL16VET" vbProcedure="false">#REF!</definedName>
    <definedName function="false" hidden="true" name="__123Graph_BSOL32" vbProcedure="false">#REF!</definedName>
    <definedName function="false" hidden="true" name="__123Graph_BSOL32VET" vbProcedure="false">#REF!</definedName>
    <definedName function="false" hidden="true" name="__123Graph_BSOL40Z" vbProcedure="false">#REF!</definedName>
    <definedName function="false" hidden="true" name="__123Graph_BSOL80TC" vbProcedure="false">#REF!</definedName>
    <definedName function="false" hidden="true" name="__123Graph_BSOL8INST" vbProcedure="false">#REF!</definedName>
    <definedName function="false" hidden="true" name="__123Graph_BSOLGAL" vbProcedure="false">#REF!</definedName>
    <definedName function="false" hidden="true" name="__123Graph_BSOLGALVET" vbProcedure="false">#REF!</definedName>
    <definedName function="false" hidden="true" name="__123Graph_BSPONG300" vbProcedure="false">#REF!</definedName>
    <definedName function="false" hidden="true" name="__123Graph_BSPONGE" vbProcedure="false">#REF!</definedName>
    <definedName function="false" hidden="true" name="__123Graph_BSURGPREP" vbProcedure="false">#REF!</definedName>
    <definedName function="false" hidden="true" name="__123Graph_BSWABAID" vbProcedure="false">#REF!</definedName>
    <definedName function="false" hidden="true" name="__123Graph_BTOTPR2" vbProcedure="false">#REF!</definedName>
    <definedName function="false" hidden="true" name="__123Graph_BTOTVOL" vbProcedure="false">#REF!</definedName>
    <definedName function="false" hidden="true" name="__123Graph_BTOTVOL2" vbProcedure="false">#REF!</definedName>
    <definedName function="false" hidden="true" name="__123Graph_BVISGAUZE" vbProcedure="false">#REF!</definedName>
    <definedName function="false" hidden="true" name="__123Graph_BXPREPLIQ" vbProcedure="false">#REF!</definedName>
    <definedName function="false" hidden="true" name="__123Graph_C" vbProcedure="false">#REF!</definedName>
    <definedName function="false" hidden="true" name="__123Graph_CCSTS" vbProcedure="false">#REF!</definedName>
    <definedName function="false" hidden="true" name="__123Graph_CGRAPH" vbProcedure="false">#REF!</definedName>
    <definedName function="false" hidden="true" name="__123Graph_CMARGINS" vbProcedure="false">#REF!</definedName>
    <definedName function="false" hidden="true" name="__123Graph_CMRGLONG" vbProcedure="false">#REF!</definedName>
    <definedName function="false" hidden="true" name="__123Graph_CPCV" vbProcedure="false">#REF!</definedName>
    <definedName function="false" hidden="true" name="__123Graph_CPCV2" vbProcedure="false">#REF!</definedName>
    <definedName function="false" hidden="true" name="__123Graph_CREVENUES" vbProcedure="false">#REF!</definedName>
    <definedName function="false" hidden="true" name="__123Graph_D" vbProcedure="false">#REF!</definedName>
    <definedName function="false" hidden="true" name="__123Graph_E" vbProcedure="false">#REF!</definedName>
    <definedName function="false" hidden="true" name="__123Graph_F" vbProcedure="false">#REF!</definedName>
    <definedName function="false" hidden="true" name="__123Graph_LBL_A" vbProcedure="false">#REF!</definedName>
    <definedName function="false" hidden="true" name="__123Graph_LBL_ACHT2" vbProcedure="false">#REF!</definedName>
    <definedName function="false" hidden="true" name="__123Graph_LBL_ACHT3" vbProcedure="false">#REF!</definedName>
    <definedName function="false" hidden="true" name="__123Graph_LBL_ACHT4" vbProcedure="false">#REF!</definedName>
    <definedName function="false" hidden="true" name="__123Graph_LBL_ACSTS" vbProcedure="false">#REF!</definedName>
    <definedName function="false" hidden="true" name="__123Graph_LBL_AGRAPH" vbProcedure="false">#REF!</definedName>
    <definedName function="false" hidden="true" name="__123Graph_LBL_AGRPH1" vbProcedure="false">#REF!</definedName>
    <definedName function="false" hidden="true" name="__123Graph_LBL_AMARGINS" vbProcedure="false">#REF!</definedName>
    <definedName function="false" hidden="true" name="__123Graph_LBL_AMRGLONG" vbProcedure="false">#REF!</definedName>
    <definedName function="false" hidden="true" name="__123Graph_LBL_APCV" vbProcedure="false">#REF!</definedName>
    <definedName function="false" hidden="true" name="__123Graph_LBL_APCV2" vbProcedure="false">#REF!</definedName>
    <definedName function="false" hidden="true" name="__123Graph_LBL_AREVENUES" vbProcedure="false">#REF!</definedName>
    <definedName function="false" hidden="true" name="__123Graph_LBL_ATOTPR2" vbProcedure="false">#REF!</definedName>
    <definedName function="false" hidden="true" name="__123Graph_LBL_ATOTVOL" vbProcedure="false">#REF!</definedName>
    <definedName function="false" hidden="true" name="__123Graph_LBL_ATOTVOL2" vbProcedure="false">#REF!</definedName>
    <definedName function="false" hidden="true" name="__123Graph_LBL_B" vbProcedure="false">#REF!</definedName>
    <definedName function="false" hidden="true" name="__123Graph_LBL_BCHT2" vbProcedure="false">#REF!</definedName>
    <definedName function="false" hidden="true" name="__123Graph_LBL_BCHT3" vbProcedure="false">#REF!</definedName>
    <definedName function="false" hidden="true" name="__123Graph_LBL_BCHT4" vbProcedure="false">#REF!</definedName>
    <definedName function="false" hidden="true" name="__123Graph_LBL_BGRPH1" vbProcedure="false">#REF!</definedName>
    <definedName function="false" hidden="true" name="__123Graph_LBL_BPCV" vbProcedure="false">#REF!</definedName>
    <definedName function="false" hidden="true" name="__123Graph_LBL_BPCV2" vbProcedure="false">#REF!</definedName>
    <definedName function="false" hidden="true" name="__123Graph_LBL_BTOTPR2" vbProcedure="false">#REF!</definedName>
    <definedName function="false" hidden="true" name="__123Graph_LBL_BTOTVOL" vbProcedure="false">#REF!</definedName>
    <definedName function="false" hidden="true" name="__123Graph_LBL_BTOTVOL2" vbProcedure="false">#REF!</definedName>
    <definedName function="false" hidden="true" name="__123Graph_LBL_C" vbProcedure="false">#REF!</definedName>
    <definedName function="false" hidden="true" name="__123Graph_LBL_CCSTS" vbProcedure="false">#REF!</definedName>
    <definedName function="false" hidden="true" name="__123Graph_LBL_CGRAPH" vbProcedure="false">#REF!</definedName>
    <definedName function="false" hidden="true" name="__123Graph_LBL_CMARGINS" vbProcedure="false">#REF!</definedName>
    <definedName function="false" hidden="true" name="__123Graph_LBL_CMRGLONG" vbProcedure="false">#REF!</definedName>
    <definedName function="false" hidden="true" name="__123Graph_LBL_CPCV" vbProcedure="false">#REF!</definedName>
    <definedName function="false" hidden="true" name="__123Graph_LBL_CPCV2" vbProcedure="false">#REF!</definedName>
    <definedName function="false" hidden="true" name="__123Graph_LBL_CREVENUES" vbProcedure="false">#REF!</definedName>
    <definedName function="false" hidden="true" name="__123Graph_X" vbProcedure="false">#REF!</definedName>
    <definedName function="false" hidden="true" name="__123Graph_XAEROHOSP" vbProcedure="false">#REF!</definedName>
    <definedName function="false" hidden="true" name="__123Graph_XAERORET" vbProcedure="false">#REF!</definedName>
    <definedName function="false" hidden="true" name="__123Graph_XAEROVET" vbProcedure="false">#REF!</definedName>
    <definedName function="false" hidden="true" name="__123Graph_XALFERON" vbProcedure="false">#REF!</definedName>
    <definedName function="false" hidden="true" name="__123Graph_XBETCR" vbProcedure="false">#REF!</definedName>
    <definedName function="false" hidden="true" name="__123Graph_XBETFOAM" vbProcedure="false">#REF!</definedName>
    <definedName function="false" hidden="true" name="__123Graph_XBETSUPP" vbProcedure="false">#REF!</definedName>
    <definedName function="false" hidden="true" name="__123Graph_XBETWHIRL" vbProcedure="false">#REF!</definedName>
    <definedName function="false" hidden="true" name="__123Graph_XCHT2" vbProcedure="false">#REF!</definedName>
    <definedName function="false" hidden="true" name="__123Graph_XCHT3" vbProcedure="false">#REF!</definedName>
    <definedName function="false" hidden="true" name="__123Graph_XCHT4" vbProcedure="false">#REF!</definedName>
    <definedName function="false" hidden="true" name="__123Graph_XCSTS" vbProcedure="false">#REF!</definedName>
    <definedName function="false" hidden="true" name="__123Graph_XDOU1OZ" vbProcedure="false">#REF!</definedName>
    <definedName function="false" hidden="true" name="__123Graph_XDOU8KIT" vbProcedure="false">#REF!</definedName>
    <definedName function="false" hidden="true" name="__123Graph_XDOU8OZ" vbProcedure="false">#REF!</definedName>
    <definedName function="false" hidden="true" name="__123Graph_XDOUHALF" vbProcedure="false">#REF!</definedName>
    <definedName function="false" hidden="true" name="__123Graph_XDOUPSIN" vbProcedure="false">#REF!</definedName>
    <definedName function="false" hidden="true" name="__123Graph_XDOUPTWIN" vbProcedure="false">#REF!</definedName>
    <definedName function="false" hidden="true" name="__123Graph_XDOUSIN" vbProcedure="false">#REF!</definedName>
    <definedName function="false" hidden="true" name="__123Graph_XDOUTWIN" vbProcedure="false">#REF!</definedName>
    <definedName function="false" hidden="true" name="__123Graph_XGARGLE" vbProcedure="false">#REF!</definedName>
    <definedName function="false" hidden="true" name="__123Graph_XGAUZE" vbProcedure="false">#REF!</definedName>
    <definedName function="false" hidden="true" name="__123Graph_XGEL18" vbProcedure="false">#REF!</definedName>
    <definedName function="false" hidden="true" name="__123Graph_XGEL3OZ" vbProcedure="false">#REF!</definedName>
    <definedName function="false" hidden="true" name="__123Graph_XGRAPH" vbProcedure="false">#REF!</definedName>
    <definedName function="false" hidden="true" name="__123Graph_XGRPH1" vbProcedure="false">#REF!</definedName>
    <definedName function="false" hidden="true" name="__123Graph_XHELAFOAM" vbProcedure="false">#REF!</definedName>
    <definedName function="false" hidden="true" name="__123Graph_XLUBGEL" vbProcedure="false">#REF!</definedName>
    <definedName function="false" hidden="true" name="__123Graph_XMARGINS" vbProcedure="false">#REF!</definedName>
    <definedName function="false" hidden="true" name="__123Graph_XMRGLONG" vbProcedure="false">#REF!</definedName>
    <definedName function="false" hidden="true" name="__123Graph_XOIN132OZ" vbProcedure="false">#REF!</definedName>
    <definedName function="false" hidden="true" name="__123Graph_XOIN18OZ" vbProcedure="false">#REF!</definedName>
    <definedName function="false" hidden="true" name="__123Graph_XOINT1LB" vbProcedure="false">#REF!</definedName>
    <definedName function="false" hidden="true" name="__123Graph_XOINTINST" vbProcedure="false">#REF!</definedName>
    <definedName function="false" hidden="true" name="__123Graph_XOINTOTC" vbProcedure="false">#REF!</definedName>
    <definedName function="false" hidden="true" name="__123Graph_XPCV" vbProcedure="false">#REF!</definedName>
    <definedName function="false" hidden="true" name="__123Graph_XPCV2" vbProcedure="false">#REF!</definedName>
    <definedName function="false" hidden="true" name="__123Graph_XPERIWASH" vbProcedure="false">#REF!</definedName>
    <definedName function="false" hidden="true" name="__123Graph_XPHYLLO" vbProcedure="false">#REF!</definedName>
    <definedName function="false" hidden="true" name="__123Graph_XREVENUES" vbProcedure="false">#REF!</definedName>
    <definedName function="false" hidden="true" name="__123Graph_XSC16DISP" vbProcedure="false">#REF!</definedName>
    <definedName function="false" hidden="true" name="__123Graph_XSC16VET" vbProcedure="false">#REF!</definedName>
    <definedName function="false" hidden="true" name="__123Graph_XSC32" vbProcedure="false">#REF!</definedName>
    <definedName function="false" hidden="true" name="__123Graph_XSC32VET" vbProcedure="false">#REF!</definedName>
    <definedName function="false" hidden="true" name="__123Graph_XSCGAL" vbProcedure="false">#REF!</definedName>
    <definedName function="false" hidden="true" name="__123Graph_XSCGAVET" vbProcedure="false">#REF!</definedName>
    <definedName function="false" hidden="true" name="__123Graph_XSCHALF" vbProcedure="false">#REF!</definedName>
    <definedName function="false" hidden="true" name="__123Graph_XSEN2OZ" vbProcedure="false">#REF!</definedName>
    <definedName function="false" hidden="true" name="__123Graph_XSENSUP" vbProcedure="false">#REF!</definedName>
    <definedName function="false" hidden="true" name="__123Graph_XSENSYR8OZ" vbProcedure="false">#REF!</definedName>
    <definedName function="false" hidden="true" name="__123Graph_XSENX36" vbProcedure="false">#REF!</definedName>
    <definedName function="false" hidden="true" name="__123Graph_XSHAMPOO" vbProcedure="false">#REF!</definedName>
    <definedName function="false" hidden="true" name="__123Graph_XSKN1OZ" vbProcedure="false">#REF!</definedName>
    <definedName function="false" hidden="true" name="__123Graph_XSKN4GOV" vbProcedure="false">#REF!</definedName>
    <definedName function="false" hidden="true" name="__123Graph_XSKN4INST" vbProcedure="false">#REF!</definedName>
    <definedName function="false" hidden="true" name="__123Graph_XSKN4OTC" vbProcedure="false">#REF!</definedName>
    <definedName function="false" hidden="true" name="__123Graph_XSOL10Z" vbProcedure="false">#REF!</definedName>
    <definedName function="false" hidden="true" name="__123Graph_XSOL16INST" vbProcedure="false">#REF!</definedName>
    <definedName function="false" hidden="true" name="__123Graph_XSOL16OTC" vbProcedure="false">#REF!</definedName>
    <definedName function="false" hidden="true" name="__123Graph_XSOL16VET" vbProcedure="false">#REF!</definedName>
    <definedName function="false" hidden="true" name="__123Graph_XSOL32" vbProcedure="false">#REF!</definedName>
    <definedName function="false" hidden="true" name="__123Graph_XSOL32VET" vbProcedure="false">#REF!</definedName>
    <definedName function="false" hidden="true" name="__123Graph_XSOL40Z" vbProcedure="false">#REF!</definedName>
    <definedName function="false" hidden="true" name="__123Graph_XSOL80TC" vbProcedure="false">#REF!</definedName>
    <definedName function="false" hidden="true" name="__123Graph_XSOL8INST" vbProcedure="false">#REF!</definedName>
    <definedName function="false" hidden="true" name="__123Graph_XSOLGAL" vbProcedure="false">#REF!</definedName>
    <definedName function="false" hidden="true" name="__123Graph_XSOLGALVET" vbProcedure="false">#REF!</definedName>
    <definedName function="false" hidden="true" name="__123Graph_XSPONG300" vbProcedure="false">#REF!</definedName>
    <definedName function="false" hidden="true" name="__123Graph_XSPONGE" vbProcedure="false">#REF!</definedName>
    <definedName function="false" hidden="true" name="__123Graph_XSURGPREP" vbProcedure="false">#REF!</definedName>
    <definedName function="false" hidden="true" name="__123Graph_XSWABAID" vbProcedure="false">#REF!</definedName>
    <definedName function="false" hidden="true" name="__123Graph_XTOTPR2" vbProcedure="false">#REF!</definedName>
    <definedName function="false" hidden="true" name="__123Graph_XTOTVOL" vbProcedure="false">#REF!</definedName>
    <definedName function="false" hidden="true" name="__123Graph_XTOTVOL2" vbProcedure="false">#REF!</definedName>
    <definedName function="false" hidden="true" name="__123Graph_XTPHYL" vbProcedure="false">#REF!</definedName>
    <definedName function="false" hidden="true" name="__123Graph_XUN400100" vbProcedure="false">#REF!</definedName>
    <definedName function="false" hidden="true" name="__123Graph_XUN400500" vbProcedure="false">#REF!</definedName>
    <definedName function="false" hidden="true" name="__123Graph_XUN400UNI" vbProcedure="false">#REF!</definedName>
    <definedName function="false" hidden="true" name="__123Graph_XVISGAUZE" vbProcedure="false">#REF!</definedName>
    <definedName function="false" hidden="true" name="__123Graph_XXPREPLIQ" vbProcedure="false">#REF!</definedName>
    <definedName function="false" hidden="true" name="__12Graph_F" vbProcedure="false">#REF!</definedName>
    <definedName function="false" hidden="true" name="__ahe2" vbProcedure="false">{0,0,0,0;0,0,0,0;0,0,0,0;0,0,0,0;0,0,0,0;0,#N/A,TRUE,0}</definedName>
    <definedName function="false" hidden="true" name="__as1" vbProcedure="false">{"comp1",#N/A,FALSE,"COMPS";"footnotes",#N/A,FALSE,"COMPS"}</definedName>
    <definedName function="false" hidden="true" name="__dfd1" vbProcedure="false">{"comp1",#N/A,FALSE,"COMPS";"footnotes",#N/A,FALSE,"COMPS"}</definedName>
    <definedName function="false" hidden="true" name="__edp1" vbProcedure="false">{"assumption 50 50",#N/A,TRUE,"Merger";"has gets cash",#N/A,TRUE,"Merger";"accretion dilution",#N/A,TRUE,"Merger";"comparison credit stats",#N/A,TRUE,"Merger";"pf credit stats",#N/A,TRUE,"Merger";"pf sheets",#N/A,TRUE,"Merger"}</definedName>
    <definedName function="false" hidden="true" name="__eyr1" vbProcedure="false">{"hiden",#N/A,FALSE,"14";"hidden",#N/A,FALSE,"16";"hidden",#N/A,FALSE,"18";"hidden",#N/A,FALSE,"20"}</definedName>
    <definedName function="false" hidden="true" name="__f1" vbProcedure="false">{"assumption cash",#N/A,TRUE,"Merger";"has gets cash",#N/A,TRUE,"Merger";"accretion dilution",#N/A,TRUE,"Merger";"comparison credit stats",#N/A,TRUE,"Merger";"pf credit stats",#N/A,TRUE,"Merger";"pf sheets",#N/A,TRUE,"Merger"}</definedName>
    <definedName function="false" hidden="true" name="__fds2" vbProcedure="false">{"comps",#N/A,FALSE,"comps";"notes",#N/A,FALSE,"comps"}</definedName>
    <definedName function="false" hidden="true" name="__FDS_HYPERLINK_TOGGLE_STATE__" vbProcedure="false">"ON"</definedName>
    <definedName function="false" hidden="true" name="__ggf1" vbProcedure="false">{"comps",#N/A,FALSE,"comps";"notes",#N/A,FALSE,"comps"}</definedName>
    <definedName function="false" hidden="true" name="__ik1" vbProcedure="false">{"casespecific",#N/A,FALSE,"Assumptions"}</definedName>
    <definedName function="false" hidden="true" name="__IntlFixup" vbProcedure="false">TRUE()</definedName>
    <definedName function="false" hidden="true" name="__IntlFixupTable" vbProcedure="false">#REF!</definedName>
    <definedName function="false" hidden="true" name="__kol1" vbProcedure="false">{"away stand alones",#N/A,FALSE,"Target"}</definedName>
    <definedName function="false" hidden="true" name="__new1"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__ok1" vbProcedure="false">{"assumption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function="false" hidden="true" name="__ok10" vbProcedure="false">{#N/A,#N/A,FALSE,"Calc";#N/A,#N/A,FALSE,"Sensitivity";#N/A,#N/A,FALSE,"LT Earn.Dil.";#N/A,#N/A,FALSE,"Dil. AVP"}</definedName>
    <definedName function="false" hidden="true" name="__ok11" vbProcedure="false">{"assumption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function="false" hidden="true" name="__oku1" vbProcedure="false">{"equity comps",#N/A,FALSE,"CS Comps";"equity comps",#N/A,FALSE,"PS Comps";"equity comps",#N/A,FALSE,"GIC_Comps";"equity comps",#N/A,FALSE,"GIC2_Comps";"debt comps",#N/A,FALSE,"CS Comps";"debt comps",#N/A,FALSE,"PS Comps";"debt comps",#N/A,FALSE,"GIC_Comps";"debt comps",#N/A,FALSE,"GIC2_Comps"}</definedName>
    <definedName function="false" hidden="true" name="__po1" vbProcedure="false">{#N/A,#N/A,FALSE,"Calc";#N/A,#N/A,FALSE,"Sensitivity";#N/A,#N/A,FALSE,"LT Earn.Dil.";#N/A,#N/A,FALSE,"Dil. AVP"}</definedName>
    <definedName function="false" hidden="true" name="__poi1" vbProcedure="false">{"assumption 50 50",#N/A,TRUE,"Merger";"has gets cash",#N/A,TRUE,"Merger";"accretion dilution",#N/A,TRUE,"Merger";"comparison credit stats",#N/A,TRUE,"Merger";"pf credit stats",#N/A,TRUE,"Merger";"pf sheets",#N/A,TRUE,"Merger"}</definedName>
    <definedName function="false" hidden="true" name="__rd2" vbProcedure="false">{"BS_YEARLY",#N/A,FALSE,"BS";"BS_Y1",#N/A,FALSE,"BS";"BS_Y2",#N/A,FALSE,"BS";"BS_Y3",#N/A,FALSE,"BS";"BS_Y4",#N/A,FALSE,"BS";"BS_Y5",#N/A,FALSE,"BS";"BS_Y6",#N/A,FALSE,"BS"}</definedName>
    <definedName function="false" hidden="true" name="__rd3" vbProcedure="false">{"PL_YEARLY",#N/A,FALSE,"PL";"PL_Y1",#N/A,FALSE,"PL";"PL_Y2",#N/A,FALSE,"PL";"PL_Y3",#N/A,FALSE,"PL";"PL_Y4",#N/A,FALSE,"PL";"PL_Y5",#N/A,FALSE,"PL";"PL_Y6",#N/A,FALSE,"PL"}</definedName>
    <definedName function="false" hidden="true" name="__rty1" vbProcedure="false">{#N/A,#N/A,TRUE,"Pro Forma";#N/A,#N/A,TRUE,"PF_Bal";#N/A,#N/A,TRUE,"PF_INC";#N/A,#N/A,TRUE,"CBE";#N/A,#N/A,TRUE,"SWK"}</definedName>
    <definedName function="false" hidden="true" name="__V134444" vbProcedure="false">{"CF_YEARLY",#N/A,FALSE,"CF";"CF_Y1",#N/A,FALSE,"CF";"CF_Y2",#N/A,FALSE,"CF";"CF_Y3",#N/A,FALSE,"CF";"CF_Y4",#N/A,FALSE,"CF";"CF_Y5",#N/A,FALSE,"CF";"CF_Y6",#N/A,FALSE,"CF"}</definedName>
    <definedName function="false" hidden="true" name="__vrn3"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__vrn9"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__wrn09"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__wrn2" vbProcedure="false">{"casespecific",#N/A,FALSE,"Assumptions"}</definedName>
    <definedName function="false" hidden="true" name="__wrn3" vbProcedure="false">{"comps",#N/A,FALSE,"comps";"notes",#N/A,FALSE,"comps"}</definedName>
    <definedName function="false" hidden="true" name="__wrn4" vbProcedure="false">{"general",#N/A,FALSE,"Assumptions"}</definedName>
    <definedName function="false" hidden="true" name="__wrn5"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__wrn6"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__wrn9"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__Z04" vbProcedure="false">{#N/A,#N/A,FALSE,"Australia";#N/A,#N/A,FALSE,"Austria";#N/A,#N/A,FALSE,"Belgium";#N/A,#N/A,FALSE,"Canada";#N/A,#N/A,FALSE,"France";#N/A,#N/A,FALSE,"Germany";#N/A,#N/A,FALSE,"Hong Kong";#N/A,#N/A,FALSE,"Italy";#N/A,#N/A,FALSE,"Japan";#N/A,#N/A,FALSE,"Korea";#N/A,#N/A,FALSE,"Mexico";#N/A,#N/A,FALSE,"Poland";#N/A,#N/A,FALSE,"Spain";#N/A,#N/A,FALSE,"Switzerland";#N/A,#N/A,FALSE,"UK"}</definedName>
    <definedName function="false" hidden="true" name="__Z05" vbProcedure="false">{#N/A,#N/A,FALSE,"Australia";#N/A,#N/A,FALSE,"Austria";#N/A,#N/A,FALSE,"Belgium";#N/A,#N/A,FALSE,"Canada";#N/A,#N/A,FALSE,"France";#N/A,#N/A,FALSE,"Germany";#N/A,#N/A,FALSE,"Hong Kong";#N/A,#N/A,FALSE,"Italy";#N/A,#N/A,FALSE,"Japan";#N/A,#N/A,FALSE,"Korea";#N/A,#N/A,FALSE,"Mexico";#N/A,#N/A,FALSE,"Poland";#N/A,#N/A,FALSE,"Spain";#N/A,#N/A,FALSE,"Switzerland";#N/A,#N/A,FALSE,"UK"}</definedName>
    <definedName function="false" hidden="true" name="___frr1" vbProcedure="false">{"pg3 Finished Goods",#N/A,FALSE,"FG - KPIs pg3"}</definedName>
    <definedName function="false" hidden="true" name="___new1"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___new3" vbProcedure="false">{"fdsup://Directions/FactSet Auditing Viewer?action=AUDIT_VALUE&amp;DB=129&amp;ID1=71708110&amp;VALUEID=05376&amp;SDATE=2006&amp;PERIODTYPE=ANN_STD&amp;window=popup_no_bar&amp;width=385&amp;height=120&amp;START_MAXIMIZED=FALSE&amp;creator=factset&amp;display_string=Audit"}</definedName>
    <definedName function="false" hidden="true" name="___new4" vbProcedure="false">{"fdsup://Directions/FactSet Auditing Viewer?action=AUDIT_VALUE&amp;DB=129&amp;ID1=11012210&amp;VALUEID=05376&amp;SDATE=2008&amp;PERIODTYPE=ANN_STD&amp;window=popup_no_bar&amp;width=385&amp;height=120&amp;START_MAXIMIZED=FALSE&amp;creator=factset&amp;display_string=Audit"}</definedName>
    <definedName function="false" hidden="true" name="___new6" vbProcedure="false">{"fdsup://Directions/FactSet Auditing Viewer?action=AUDIT_VALUE&amp;DB=129&amp;ID1=11012210&amp;VALUEID=05376&amp;SDATE=2009&amp;PERIODTYPE=ANN_STD&amp;window=popup_no_bar&amp;width=385&amp;height=120&amp;START_MAXIMIZED=FALSE&amp;creator=factset&amp;display_string=Audit"}</definedName>
    <definedName function="false" hidden="true" name="___new8" vbProcedure="false">{"fdsup://Directions/FactSet Auditing Viewer?action=AUDIT_VALUE&amp;DB=129&amp;ID1=11012210&amp;VALUEID=05376&amp;SDATE=2006&amp;PERIODTYPE=ANN_STD&amp;window=popup_no_bar&amp;width=385&amp;height=120&amp;START_MAXIMIZED=FALSE&amp;creator=factset&amp;display_string=Audit"}</definedName>
    <definedName function="false" hidden="true" name="___rd2" vbProcedure="false">{"BS_YEARLY",#N/A,FALSE,"BS";"BS_Y1",#N/A,FALSE,"BS";"BS_Y2",#N/A,FALSE,"BS";"BS_Y3",#N/A,FALSE,"BS";"BS_Y4",#N/A,FALSE,"BS";"BS_Y5",#N/A,FALSE,"BS";"BS_Y6",#N/A,FALSE,"BS"}</definedName>
    <definedName function="false" hidden="true" name="___rd3" vbProcedure="false">{"PL_YEARLY",#N/A,FALSE,"PL";"PL_Y1",#N/A,FALSE,"PL";"PL_Y2",#N/A,FALSE,"PL";"PL_Y3",#N/A,FALSE,"PL";"PL_Y4",#N/A,FALSE,"PL";"PL_Y5",#N/A,FALSE,"PL";"PL_Y6",#N/A,FALSE,"PL"}</definedName>
    <definedName function="false" hidden="true" name="___V134444" vbProcedure="false">{"CF_YEARLY",#N/A,FALSE,"CF";"CF_Y1",#N/A,FALSE,"CF";"CF_Y2",#N/A,FALSE,"CF";"CF_Y3",#N/A,FALSE,"CF";"CF_Y4",#N/A,FALSE,"CF";"CF_Y5",#N/A,FALSE,"CF";"CF_Y6",#N/A,FALSE,"CF"}</definedName>
    <definedName function="false" hidden="true" name="____a1" vbProcedure="false">{#N/A,#N/A,FALSE,"CMN_FE"}</definedName>
    <definedName function="false" hidden="true" name="____a2" vbProcedure="false">{"comp1",#N/A,FALSE,"COMPS";"footnotes",#N/A,FALSE,"COMPS"}</definedName>
    <definedName function="false" hidden="true" name="____aa2" vbProcedure="false">{#N/A,#N/A,TRUE,"Pro Forma";#N/A,#N/A,TRUE,"PF_Bal";#N/A,#N/A,TRUE,"PF_INC";#N/A,#N/A,TRUE,"CBE";#N/A,#N/A,TRUE,"SWK"}</definedName>
    <definedName function="false" hidden="true" name="____abc1" vbProcedure="false">{#N/A,#N/A,FALSE,"CMN_FE"}</definedName>
    <definedName function="false" hidden="true" name="____ahe2" vbProcedure="false">{0,0,0,0;0,0,0,0;0,0,0,0;0,0,0,0;0,0,0,0;0,#N/A,TRUE,0}</definedName>
    <definedName function="false" hidden="true" name="____as1" vbProcedure="false">{"comp1",#N/A,FALSE,"COMPS";"footnotes",#N/A,FALSE,"COMPS"}</definedName>
    <definedName function="false" hidden="true" name="____aws1" vbProcedure="false">{#N/A,#N/A,FALSE,"CMN_FE"}</definedName>
    <definedName function="false" hidden="true" name="____b1" vbProcedure="false">{#N/A,#N/A,FALSE,"CMN_FE"}</definedName>
    <definedName function="false" hidden="true" name="____bs1" vbProcedure="false">{"RATIO",#N/A,FALSE,"sch._cs";"FB",#N/A,FALSE,"sch._cs";"SP_MILL_MIX_150PRESS",#N/A,FALSE,"sch._cs"}</definedName>
    <definedName function="false" hidden="true" name="____cc1" vbProcedure="false">{#N/A,#N/A,FALSE,"CMN_FE"}</definedName>
    <definedName function="false" hidden="true" name="____CD1" vbProcedure="false">{#N/A,#N/A,FALSE,"CMN_FE"}</definedName>
    <definedName function="false" hidden="true" name="____dfd1" vbProcedure="false">{"comp1",#N/A,FALSE,"COMPS";"footnotes",#N/A,FALSE,"COMPS"}</definedName>
    <definedName function="false" hidden="true" name="____edp1" vbProcedure="false">{"assumption 50 50",#N/A,TRUE,"Merger";"has gets cash",#N/A,TRUE,"Merger";"accretion dilution",#N/A,TRUE,"Merger";"comparison credit stats",#N/A,TRUE,"Merger";"pf credit stats",#N/A,TRUE,"Merger";"pf sheets",#N/A,TRUE,"Merger"}</definedName>
    <definedName function="false" hidden="true" name="____eyr1" vbProcedure="false">{"hiden",#N/A,FALSE,"14";"hidden",#N/A,FALSE,"16";"hidden",#N/A,FALSE,"18";"hidden",#N/A,FALSE,"20"}</definedName>
    <definedName function="false" hidden="true" name="____f1" vbProcedure="false">{#N/A,#N/A,FALSE,"CMN_FE"}</definedName>
    <definedName function="false" hidden="true" name="____fds2" vbProcedure="false">{"comps",#N/A,FALSE,"comps";"notes",#N/A,FALSE,"comps"}</definedName>
    <definedName function="false" hidden="true" name="____ggf1" vbProcedure="false">{"comps",#N/A,FALSE,"comps";"notes",#N/A,FALSE,"comps"}</definedName>
    <definedName function="false" hidden="true" name="____ik1" vbProcedure="false">{"casespecific",#N/A,FALSE,"Assumptions"}</definedName>
    <definedName function="false" hidden="true" name="____kol1" vbProcedure="false">{"away stand alones",#N/A,FALSE,"Target"}</definedName>
    <definedName function="false" hidden="true" name="____new1"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____ok1" vbProcedure="false">{"assumption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function="false" hidden="true" name="____ok10" vbProcedure="false">{#N/A,#N/A,FALSE,"Calc";#N/A,#N/A,FALSE,"Sensitivity";#N/A,#N/A,FALSE,"LT Earn.Dil.";#N/A,#N/A,FALSE,"Dil. AVP"}</definedName>
    <definedName function="false" hidden="true" name="____ok11" vbProcedure="false">{"assumption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function="false" hidden="true" name="____oku1" vbProcedure="false">{"equity comps",#N/A,FALSE,"CS Comps";"equity comps",#N/A,FALSE,"PS Comps";"equity comps",#N/A,FALSE,"GIC_Comps";"equity comps",#N/A,FALSE,"GIC2_Comps";"debt comps",#N/A,FALSE,"CS Comps";"debt comps",#N/A,FALSE,"PS Comps";"debt comps",#N/A,FALSE,"GIC_Comps";"debt comps",#N/A,FALSE,"GIC2_Comps"}</definedName>
    <definedName function="false" hidden="true" name="____po1" vbProcedure="false">{#N/A,#N/A,FALSE,"Calc";#N/A,#N/A,FALSE,"Sensitivity";#N/A,#N/A,FALSE,"LT Earn.Dil.";#N/A,#N/A,FALSE,"Dil. AVP"}</definedName>
    <definedName function="false" hidden="true" name="____poi1" vbProcedure="false">{"assumption 50 50",#N/A,TRUE,"Merger";"has gets cash",#N/A,TRUE,"Merger";"accretion dilution",#N/A,TRUE,"Merger";"comparison credit stats",#N/A,TRUE,"Merger";"pf credit stats",#N/A,TRUE,"Merger";"pf sheets",#N/A,TRUE,"Merger"}</definedName>
    <definedName function="false" hidden="true" name="____q1" vbProcedure="false">{#N/A,#N/A,FALSE,"CMN_FE"}</definedName>
    <definedName function="false" hidden="true" name="____rd2" vbProcedure="false">{"BS_YEARLY",#N/A,FALSE,"BS";"BS_Y1",#N/A,FALSE,"BS";"BS_Y2",#N/A,FALSE,"BS";"BS_Y3",#N/A,FALSE,"BS";"BS_Y4",#N/A,FALSE,"BS";"BS_Y5",#N/A,FALSE,"BS";"BS_Y6",#N/A,FALSE,"BS"}</definedName>
    <definedName function="false" hidden="true" name="____rd3" vbProcedure="false">{"PL_YEARLY",#N/A,FALSE,"PL";"PL_Y1",#N/A,FALSE,"PL";"PL_Y2",#N/A,FALSE,"PL";"PL_Y3",#N/A,FALSE,"PL";"PL_Y4",#N/A,FALSE,"PL";"PL_Y5",#N/A,FALSE,"PL";"PL_Y6",#N/A,FALSE,"PL"}</definedName>
    <definedName function="false" hidden="true" name="____rty1" vbProcedure="false">{#N/A,#N/A,TRUE,"Pro Forma";#N/A,#N/A,TRUE,"PF_Bal";#N/A,#N/A,TRUE,"PF_INC";#N/A,#N/A,TRUE,"CBE";#N/A,#N/A,TRUE,"SWK"}</definedName>
    <definedName function="false" hidden="true" name="____V134444" vbProcedure="false">{"CF_YEARLY",#N/A,FALSE,"CF";"CF_Y1",#N/A,FALSE,"CF";"CF_Y2",#N/A,FALSE,"CF";"CF_Y3",#N/A,FALSE,"CF";"CF_Y4",#N/A,FALSE,"CF";"CF_Y5",#N/A,FALSE,"CF";"CF_Y6",#N/A,FALSE,"CF"}</definedName>
    <definedName function="false" hidden="true" name="____vrn3"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____vrn9"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____wrn09"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____wrn2" vbProcedure="false">{"casespecific",#N/A,FALSE,"Assumptions"}</definedName>
    <definedName function="false" hidden="true" name="____wrn3" vbProcedure="false">{"comps",#N/A,FALSE,"comps";"notes",#N/A,FALSE,"comps"}</definedName>
    <definedName function="false" hidden="true" name="____wrn4" vbProcedure="false">{"general",#N/A,FALSE,"Assumptions"}</definedName>
    <definedName function="false" hidden="true" name="____wrn5"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____wrn6"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____wrn9" vbProcedure="false">{"1997-2002a",#N/A,FALSE,"1997 - 2002";"98-99",#N/A,FALSE,"by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function="false" hidden="true" name="____xx1" vbProcedure="false">{#N/A,#N/A,FALSE,"CMN_FE"}</definedName>
    <definedName function="false" hidden="true" name="_____new1"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_____rd2" vbProcedure="false">{"BS_YEARLY",#N/A,FALSE,"BS";"BS_Y1",#N/A,FALSE,"BS";"BS_Y2",#N/A,FALSE,"BS";"BS_Y3",#N/A,FALSE,"BS";"BS_Y4",#N/A,FALSE,"BS";"BS_Y5",#N/A,FALSE,"BS";"BS_Y6",#N/A,FALSE,"BS"}</definedName>
    <definedName function="false" hidden="true" name="_____rd3" vbProcedure="false">{"PL_YEARLY",#N/A,FALSE,"PL";"PL_Y1",#N/A,FALSE,"PL";"PL_Y2",#N/A,FALSE,"PL";"PL_Y3",#N/A,FALSE,"PL";"PL_Y4",#N/A,FALSE,"PL";"PL_Y5",#N/A,FALSE,"PL";"PL_Y6",#N/A,FALSE,"PL"}</definedName>
    <definedName function="false" hidden="true" name="_____V134444" vbProcedure="false">{"CF_YEARLY",#N/A,FALSE,"CF";"CF_Y1",#N/A,FALSE,"CF";"CF_Y2",#N/A,FALSE,"CF";"CF_Y3",#N/A,FALSE,"CF";"CF_Y4",#N/A,FALSE,"CF";"CF_Y5",#N/A,FALSE,"CF";"CF_Y6",#N/A,FALSE,"CF"}</definedName>
    <definedName function="false" hidden="true" name="______new1"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______rd2" vbProcedure="false">{"BS_YEARLY",#N/A,FALSE,"BS";"BS_Y1",#N/A,FALSE,"BS";"BS_Y2",#N/A,FALSE,"BS";"BS_Y3",#N/A,FALSE,"BS";"BS_Y4",#N/A,FALSE,"BS";"BS_Y5",#N/A,FALSE,"BS";"BS_Y6",#N/A,FALSE,"BS"}</definedName>
    <definedName function="false" hidden="true" name="______rd3" vbProcedure="false">{"PL_YEARLY",#N/A,FALSE,"PL";"PL_Y1",#N/A,FALSE,"PL";"PL_Y2",#N/A,FALSE,"PL";"PL_Y3",#N/A,FALSE,"PL";"PL_Y4",#N/A,FALSE,"PL";"PL_Y5",#N/A,FALSE,"PL";"PL_Y6",#N/A,FALSE,"PL"}</definedName>
    <definedName function="false" hidden="true" name="______V134444" vbProcedure="false">{"CF_YEARLY",#N/A,FALSE,"CF";"CF_Y1",#N/A,FALSE,"CF";"CF_Y2",#N/A,FALSE,"CF";"CF_Y3",#N/A,FALSE,"CF";"CF_Y4",#N/A,FALSE,"CF";"CF_Y5",#N/A,FALSE,"CF";"CF_Y6",#N/A,FALSE,"CF"}</definedName>
    <definedName function="false" hidden="true" name="_______new1"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_______rd2" vbProcedure="false">{"BS_YEARLY",#N/A,FALSE,"BS";"BS_Y1",#N/A,FALSE,"BS";"BS_Y2",#N/A,FALSE,"BS";"BS_Y3",#N/A,FALSE,"BS";"BS_Y4",#N/A,FALSE,"BS";"BS_Y5",#N/A,FALSE,"BS";"BS_Y6",#N/A,FALSE,"BS"}</definedName>
    <definedName function="false" hidden="true" name="_______rd3" vbProcedure="false">{"PL_YEARLY",#N/A,FALSE,"PL";"PL_Y1",#N/A,FALSE,"PL";"PL_Y2",#N/A,FALSE,"PL";"PL_Y3",#N/A,FALSE,"PL";"PL_Y4",#N/A,FALSE,"PL";"PL_Y5",#N/A,FALSE,"PL";"PL_Y6",#N/A,FALSE,"PL"}</definedName>
    <definedName function="false" hidden="true" name="_______V134444" vbProcedure="false">{"CF_YEARLY",#N/A,FALSE,"CF";"CF_Y1",#N/A,FALSE,"CF";"CF_Y2",#N/A,FALSE,"CF";"CF_Y3",#N/A,FALSE,"CF";"CF_Y4",#N/A,FALSE,"CF";"CF_Y5",#N/A,FALSE,"CF";"CF_Y6",#N/A,FALSE,"CF"}</definedName>
    <definedName function="false" hidden="true" name="________new1"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________rd2" vbProcedure="false">{"BS_YEARLY",#N/A,FALSE,"BS";"BS_Y1",#N/A,FALSE,"BS";"BS_Y2",#N/A,FALSE,"BS";"BS_Y3",#N/A,FALSE,"BS";"BS_Y4",#N/A,FALSE,"BS";"BS_Y5",#N/A,FALSE,"BS";"BS_Y6",#N/A,FALSE,"BS"}</definedName>
    <definedName function="false" hidden="true" name="________rd3" vbProcedure="false">{"PL_YEARLY",#N/A,FALSE,"PL";"PL_Y1",#N/A,FALSE,"PL";"PL_Y2",#N/A,FALSE,"PL";"PL_Y3",#N/A,FALSE,"PL";"PL_Y4",#N/A,FALSE,"PL";"PL_Y5",#N/A,FALSE,"PL";"PL_Y6",#N/A,FALSE,"PL"}</definedName>
    <definedName function="false" hidden="true" name="________V134444" vbProcedure="false">{"CF_YEARLY",#N/A,FALSE,"CF";"CF_Y1",#N/A,FALSE,"CF";"CF_Y2",#N/A,FALSE,"CF";"CF_Y3",#N/A,FALSE,"CF";"CF_Y4",#N/A,FALSE,"CF";"CF_Y5",#N/A,FALSE,"CF";"CF_Y6",#N/A,FALSE,"CF"}</definedName>
    <definedName function="false" hidden="true" name="_________new1"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_________rd2" vbProcedure="false">{"BS_YEARLY",#N/A,FALSE,"BS";"BS_Y1",#N/A,FALSE,"BS";"BS_Y2",#N/A,FALSE,"BS";"BS_Y3",#N/A,FALSE,"BS";"BS_Y4",#N/A,FALSE,"BS";"BS_Y5",#N/A,FALSE,"BS";"BS_Y6",#N/A,FALSE,"BS"}</definedName>
    <definedName function="false" hidden="true" name="_________rd3" vbProcedure="false">{"PL_YEARLY",#N/A,FALSE,"PL";"PL_Y1",#N/A,FALSE,"PL";"PL_Y2",#N/A,FALSE,"PL";"PL_Y3",#N/A,FALSE,"PL";"PL_Y4",#N/A,FALSE,"PL";"PL_Y5",#N/A,FALSE,"PL";"PL_Y6",#N/A,FALSE,"PL"}</definedName>
    <definedName function="false" hidden="true" name="_________V134444" vbProcedure="false">{"CF_YEARLY",#N/A,FALSE,"CF";"CF_Y1",#N/A,FALSE,"CF";"CF_Y2",#N/A,FALSE,"CF";"CF_Y3",#N/A,FALSE,"CF";"CF_Y4",#N/A,FALSE,"CF";"CF_Y5",#N/A,FALSE,"CF";"CF_Y6",#N/A,FALSE,"CF"}</definedName>
    <definedName function="false" hidden="true" name="__________rd2" vbProcedure="false">{"BS_YEARLY",#N/A,FALSE,"BS";"BS_Y1",#N/A,FALSE,"BS";"BS_Y2",#N/A,FALSE,"BS";"BS_Y3",#N/A,FALSE,"BS";"BS_Y4",#N/A,FALSE,"BS";"BS_Y5",#N/A,FALSE,"BS";"BS_Y6",#N/A,FALSE,"BS"}</definedName>
    <definedName function="false" hidden="true" name="__________rd3" vbProcedure="false">{"PL_YEARLY",#N/A,FALSE,"PL";"PL_Y1",#N/A,FALSE,"PL";"PL_Y2",#N/A,FALSE,"PL";"PL_Y3",#N/A,FALSE,"PL";"PL_Y4",#N/A,FALSE,"PL";"PL_Y5",#N/A,FALSE,"PL";"PL_Y6",#N/A,FALSE,"PL"}</definedName>
    <definedName function="false" hidden="true" name="__________V134444" vbProcedure="false">{"CF_YEARLY",#N/A,FALSE,"CF";"CF_Y1",#N/A,FALSE,"CF";"CF_Y2",#N/A,FALSE,"CF";"CF_Y3",#N/A,FALSE,"CF";"CF_Y4",#N/A,FALSE,"CF";"CF_Y5",#N/A,FALSE,"CF";"CF_Y6",#N/A,FALSE,"CF"}</definedName>
    <definedName function="false" hidden="true" name="___________rd2" vbProcedure="false">{"BS_YEARLY",#N/A,FALSE,"BS";"BS_Y1",#N/A,FALSE,"BS";"BS_Y2",#N/A,FALSE,"BS";"BS_Y3",#N/A,FALSE,"BS";"BS_Y4",#N/A,FALSE,"BS";"BS_Y5",#N/A,FALSE,"BS";"BS_Y6",#N/A,FALSE,"BS"}</definedName>
    <definedName function="false" hidden="true" name="___________rd3" vbProcedure="false">{"PL_YEARLY",#N/A,FALSE,"PL";"PL_Y1",#N/A,FALSE,"PL";"PL_Y2",#N/A,FALSE,"PL";"PL_Y3",#N/A,FALSE,"PL";"PL_Y4",#N/A,FALSE,"PL";"PL_Y5",#N/A,FALSE,"PL";"PL_Y6",#N/A,FALSE,"PL"}</definedName>
    <definedName function="false" hidden="true" name="___________V134444" vbProcedure="false">{"CF_YEARLY",#N/A,FALSE,"CF";"CF_Y1",#N/A,FALSE,"CF";"CF_Y2",#N/A,FALSE,"CF";"CF_Y3",#N/A,FALSE,"CF";"CF_Y4",#N/A,FALSE,"CF";"CF_Y5",#N/A,FALSE,"CF";"CF_Y6",#N/A,FALSE,"CF"}</definedName>
    <definedName function="false" hidden="true" name="____________rd2" vbProcedure="false">{"BS_YEARLY",#N/A,FALSE,"BS";"BS_Y1",#N/A,FALSE,"BS";"BS_Y2",#N/A,FALSE,"BS";"BS_Y3",#N/A,FALSE,"BS";"BS_Y4",#N/A,FALSE,"BS";"BS_Y5",#N/A,FALSE,"BS";"BS_Y6",#N/A,FALSE,"BS"}</definedName>
    <definedName function="false" hidden="true" name="____________rd3" vbProcedure="false">{"PL_YEARLY",#N/A,FALSE,"PL";"PL_Y1",#N/A,FALSE,"PL";"PL_Y2",#N/A,FALSE,"PL";"PL_Y3",#N/A,FALSE,"PL";"PL_Y4",#N/A,FALSE,"PL";"PL_Y5",#N/A,FALSE,"PL";"PL_Y6",#N/A,FALSE,"PL"}</definedName>
    <definedName function="false" hidden="true" name="____________V134444" vbProcedure="false">{"CF_YEARLY",#N/A,FALSE,"CF";"CF_Y1",#N/A,FALSE,"CF";"CF_Y2",#N/A,FALSE,"CF";"CF_Y3",#N/A,FALSE,"CF";"CF_Y4",#N/A,FALSE,"CF";"CF_Y5",#N/A,FALSE,"CF";"CF_Y6",#N/A,FALSE,"CF"}</definedName>
    <definedName function="false" hidden="true" name="_____________rd2" vbProcedure="false">{"BS_YEARLY",#N/A,FALSE,"BS";"BS_Y1",#N/A,FALSE,"BS";"BS_Y2",#N/A,FALSE,"BS";"BS_Y3",#N/A,FALSE,"BS";"BS_Y4",#N/A,FALSE,"BS";"BS_Y5",#N/A,FALSE,"BS";"BS_Y6",#N/A,FALSE,"BS"}</definedName>
    <definedName function="false" hidden="true" name="_____________rd3" vbProcedure="false">{"PL_YEARLY",#N/A,FALSE,"PL";"PL_Y1",#N/A,FALSE,"PL";"PL_Y2",#N/A,FALSE,"PL";"PL_Y3",#N/A,FALSE,"PL";"PL_Y4",#N/A,FALSE,"PL";"PL_Y5",#N/A,FALSE,"PL";"PL_Y6",#N/A,FALSE,"PL"}</definedName>
    <definedName function="false" hidden="true" name="_____________V134444" vbProcedure="false">{"CF_YEARLY",#N/A,FALSE,"CF";"CF_Y1",#N/A,FALSE,"CF";"CF_Y2",#N/A,FALSE,"CF";"CF_Y3",#N/A,FALSE,"CF";"CF_Y4",#N/A,FALSE,"CF";"CF_Y5",#N/A,FALSE,"CF";"CF_Y6",#N/A,FALSE,"CF"}</definedName>
    <definedName function="false" hidden="true" name="______________rd2" vbProcedure="false">{"BS_YEARLY",#N/A,FALSE,"BS";"BS_Y1",#N/A,FALSE,"BS";"BS_Y2",#N/A,FALSE,"BS";"BS_Y3",#N/A,FALSE,"BS";"BS_Y4",#N/A,FALSE,"BS";"BS_Y5",#N/A,FALSE,"BS";"BS_Y6",#N/A,FALSE,"BS"}</definedName>
    <definedName function="false" hidden="true" name="______________rd3" vbProcedure="false">{"PL_YEARLY",#N/A,FALSE,"PL";"PL_Y1",#N/A,FALSE,"PL";"PL_Y2",#N/A,FALSE,"PL";"PL_Y3",#N/A,FALSE,"PL";"PL_Y4",#N/A,FALSE,"PL";"PL_Y5",#N/A,FALSE,"PL";"PL_Y6",#N/A,FALSE,"PL"}</definedName>
    <definedName function="false" hidden="true" name="______________V134444" vbProcedure="false">{"CF_YEARLY",#N/A,FALSE,"CF";"CF_Y1",#N/A,FALSE,"CF";"CF_Y2",#N/A,FALSE,"CF";"CF_Y3",#N/A,FALSE,"CF";"CF_Y4",#N/A,FALSE,"CF";"CF_Y5",#N/A,FALSE,"CF";"CF_Y6",#N/A,FALSE,"CF"}</definedName>
    <definedName function="false" hidden="true" name="________________rd2" vbProcedure="false">{"BS_YEARLY",#N/A,FALSE,"BS";"BS_Y1",#N/A,FALSE,"BS";"BS_Y2",#N/A,FALSE,"BS";"BS_Y3",#N/A,FALSE,"BS";"BS_Y4",#N/A,FALSE,"BS";"BS_Y5",#N/A,FALSE,"BS";"BS_Y6",#N/A,FALSE,"BS"}</definedName>
    <definedName function="false" hidden="true" name="________________rd3" vbProcedure="false">{"PL_YEARLY",#N/A,FALSE,"PL";"PL_Y1",#N/A,FALSE,"PL";"PL_Y2",#N/A,FALSE,"PL";"PL_Y3",#N/A,FALSE,"PL";"PL_Y4",#N/A,FALSE,"PL";"PL_Y5",#N/A,FALSE,"PL";"PL_Y6",#N/A,FALSE,"PL"}</definedName>
    <definedName function="false" hidden="true" name="________________V134444" vbProcedure="false">{"CF_YEARLY",#N/A,FALSE,"CF";"CF_Y1",#N/A,FALSE,"CF";"CF_Y2",#N/A,FALSE,"CF";"CF_Y3",#N/A,FALSE,"CF";"CF_Y4",#N/A,FALSE,"CF";"CF_Y5",#N/A,FALSE,"CF";"CF_Y6",#N/A,FALSE,"CF"}</definedName>
    <definedName function="false" hidden="true" name="__________________rd2" vbProcedure="false">{"BS_YEARLY",#N/A,FALSE,"BS";"BS_Y1",#N/A,FALSE,"BS";"BS_Y2",#N/A,FALSE,"BS";"BS_Y3",#N/A,FALSE,"BS";"BS_Y4",#N/A,FALSE,"BS";"BS_Y5",#N/A,FALSE,"BS";"BS_Y6",#N/A,FALSE,"BS"}</definedName>
    <definedName function="false" hidden="true" name="__________________rd3" vbProcedure="false">{"PL_YEARLY",#N/A,FALSE,"PL";"PL_Y1",#N/A,FALSE,"PL";"PL_Y2",#N/A,FALSE,"PL";"PL_Y3",#N/A,FALSE,"PL";"PL_Y4",#N/A,FALSE,"PL";"PL_Y5",#N/A,FALSE,"PL";"PL_Y6",#N/A,FALSE,"PL"}</definedName>
    <definedName function="false" hidden="true" name="__________________V134444" vbProcedure="false">{"CF_YEARLY",#N/A,FALSE,"CF";"CF_Y1",#N/A,FALSE,"CF";"CF_Y2",#N/A,FALSE,"CF";"CF_Y3",#N/A,FALSE,"CF";"CF_Y4",#N/A,FALSE,"CF";"CF_Y5",#N/A,FALSE,"CF";"CF_Y6",#N/A,FALSE,"CF"}</definedName>
    <definedName function="false" hidden="true" name="____________________rd2" vbProcedure="false">{"BS_YEARLY",#N/A,FALSE,"BS";"BS_Y1",#N/A,FALSE,"BS";"BS_Y2",#N/A,FALSE,"BS";"BS_Y3",#N/A,FALSE,"BS";"BS_Y4",#N/A,FALSE,"BS";"BS_Y5",#N/A,FALSE,"BS";"BS_Y6",#N/A,FALSE,"BS"}</definedName>
    <definedName function="false" hidden="true" name="____________________rd3" vbProcedure="false">{"PL_YEARLY",#N/A,FALSE,"PL";"PL_Y1",#N/A,FALSE,"PL";"PL_Y2",#N/A,FALSE,"PL";"PL_Y3",#N/A,FALSE,"PL";"PL_Y4",#N/A,FALSE,"PL";"PL_Y5",#N/A,FALSE,"PL";"PL_Y6",#N/A,FALSE,"PL"}</definedName>
    <definedName function="false" hidden="true" name="____________________V134444" vbProcedure="false">{"CF_YEARLY",#N/A,FALSE,"CF";"CF_Y1",#N/A,FALSE,"CF";"CF_Y2",#N/A,FALSE,"CF";"CF_Y3",#N/A,FALSE,"CF";"CF_Y4",#N/A,FALSE,"CF";"CF_Y5",#N/A,FALSE,"CF";"CF_Y6",#N/A,FALSE,"CF"}</definedName>
    <definedName function="false" hidden="true" name="_____________________rd2" vbProcedure="false">{"BS_YEARLY",#N/A,FALSE,"BS";"BS_Y1",#N/A,FALSE,"BS";"BS_Y2",#N/A,FALSE,"BS";"BS_Y3",#N/A,FALSE,"BS";"BS_Y4",#N/A,FALSE,"BS";"BS_Y5",#N/A,FALSE,"BS";"BS_Y6",#N/A,FALSE,"BS"}</definedName>
    <definedName function="false" hidden="true" name="_____________________rd3" vbProcedure="false">{"PL_YEARLY",#N/A,FALSE,"PL";"PL_Y1",#N/A,FALSE,"PL";"PL_Y2",#N/A,FALSE,"PL";"PL_Y3",#N/A,FALSE,"PL";"PL_Y4",#N/A,FALSE,"PL";"PL_Y5",#N/A,FALSE,"PL";"PL_Y6",#N/A,FALSE,"PL"}</definedName>
    <definedName function="false" hidden="true" name="_____________________V134444" vbProcedure="false">{"CF_YEARLY",#N/A,FALSE,"CF";"CF_Y1",#N/A,FALSE,"CF";"CF_Y2",#N/A,FALSE,"CF";"CF_Y3",#N/A,FALSE,"CF";"CF_Y4",#N/A,FALSE,"CF";"CF_Y5",#N/A,FALSE,"CF";"CF_Y6",#N/A,FALSE,"CF"}</definedName>
    <definedName function="false" hidden="true" name="______________________rd2" vbProcedure="false">{"BS_YEARLY",#N/A,FALSE,"BS";"BS_Y1",#N/A,FALSE,"BS";"BS_Y2",#N/A,FALSE,"BS";"BS_Y3",#N/A,FALSE,"BS";"BS_Y4",#N/A,FALSE,"BS";"BS_Y5",#N/A,FALSE,"BS";"BS_Y6",#N/A,FALSE,"BS"}</definedName>
    <definedName function="false" hidden="true" name="______________________rd3" vbProcedure="false">{"PL_YEARLY",#N/A,FALSE,"PL";"PL_Y1",#N/A,FALSE,"PL";"PL_Y2",#N/A,FALSE,"PL";"PL_Y3",#N/A,FALSE,"PL";"PL_Y4",#N/A,FALSE,"PL";"PL_Y5",#N/A,FALSE,"PL";"PL_Y6",#N/A,FALSE,"PL"}</definedName>
    <definedName function="false" hidden="true" name="______________________V134444" vbProcedure="false">{"CF_YEARLY",#N/A,FALSE,"CF";"CF_Y1",#N/A,FALSE,"CF";"CF_Y2",#N/A,FALSE,"CF";"CF_Y3",#N/A,FALSE,"CF";"CF_Y4",#N/A,FALSE,"CF";"CF_Y5",#N/A,FALSE,"CF";"CF_Y6",#N/A,FALSE,"CF"}</definedName>
    <definedName function="false" hidden="true" name="ｆ" vbProcedure="false">"iQShowAnnual"</definedName>
  </definedName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E23" authorId="0">
      <text>
        <r>
          <rPr>
            <sz val="10"/>
            <rFont val="Arial"/>
            <family val="2"/>
          </rPr>
          <t xml:space="preserve">Lazard:
Includes pension liabilities</t>
        </r>
      </text>
    </comment>
    <comment ref="E26" authorId="0">
      <text>
        <r>
          <rPr>
            <sz val="10"/>
            <rFont val="Arial"/>
            <family val="2"/>
          </rPr>
          <t xml:space="preserve">Lazard:
Includes investment in associates (JVs)</t>
        </r>
      </text>
    </comment>
    <comment ref="E52" authorId="0">
      <text>
        <r>
          <rPr>
            <sz val="10"/>
            <rFont val="Arial"/>
            <family val="2"/>
          </rPr>
          <t xml:space="preserve">Lazard:
For the purposes of calculating net financial debt
JVs included in EV calculation</t>
        </r>
      </text>
    </comment>
    <comment ref="E67" authorId="0">
      <text>
        <r>
          <rPr>
            <sz val="10"/>
            <rFont val="Arial"/>
            <family val="2"/>
          </rPr>
          <t xml:space="preserve">Lazard:
For the purposes of calculating net financial debt
Pension liabilities included in EV calculation</t>
        </r>
      </text>
    </comment>
    <comment ref="E88" authorId="0">
      <text>
        <r>
          <rPr>
            <sz val="10"/>
            <rFont val="Arial"/>
            <family val="2"/>
          </rPr>
          <t xml:space="preserve">Cha, Alexander:
aka "Net Carrying Amount", "Carrying Value", "Par"
essentially what is "booked" on the balance sheet</t>
        </r>
      </text>
    </comment>
    <comment ref="E89" authorId="0">
      <text>
        <r>
          <rPr>
            <sz val="10"/>
            <rFont val="Arial"/>
            <family val="2"/>
          </rPr>
          <t xml:space="preserve">Cha, Alexander:
aka "Principal Balance", "Nominal Value"
essentially the principal when first issued</t>
        </r>
      </text>
    </comment>
    <comment ref="E97" authorId="0">
      <text>
        <r>
          <rPr>
            <sz val="10"/>
            <rFont val="Arial"/>
            <family val="2"/>
          </rPr>
          <t xml:space="preserve">Cha, Alexander:
aka "Net Carrying Amount", "Carrying Value", "Par"
essentially what is "booked" on the balance sheet</t>
        </r>
      </text>
    </comment>
    <comment ref="E98" authorId="0">
      <text>
        <r>
          <rPr>
            <sz val="10"/>
            <rFont val="Arial"/>
            <family val="2"/>
          </rPr>
          <t xml:space="preserve">Cha, Alexander:
aka "Principal Balance", "Nominal Value"
essentially the principal when first issued</t>
        </r>
      </text>
    </comment>
    <comment ref="E106" authorId="0">
      <text>
        <r>
          <rPr>
            <sz val="10"/>
            <rFont val="Arial"/>
            <family val="2"/>
          </rPr>
          <t xml:space="preserve">Cha, Alexander:
aka "Net Carrying Amount", "Carrying Value", "Par"
essentially what is "booked" on the balance sheet</t>
        </r>
      </text>
    </comment>
    <comment ref="E107" authorId="0">
      <text>
        <r>
          <rPr>
            <sz val="10"/>
            <rFont val="Arial"/>
            <family val="2"/>
          </rPr>
          <t xml:space="preserve">Cha, Alexander:
aka "Principal Balance", "Nominal Value"
essentially the principal when first issued</t>
        </r>
      </text>
    </comment>
    <comment ref="F2" authorId="0">
      <text>
        <r>
          <rPr>
            <sz val="10"/>
            <rFont val="Arial"/>
            <family val="2"/>
          </rPr>
          <t xml:space="preserve">Pricing date. Was a link to [LGC – WACC and Trading Comps_v2.xlsx]Cover!C7 (cached 21-Sep-26); external link removed, value kept.</t>
        </r>
      </text>
    </comment>
    <comment ref="F5" authorId="0">
      <text>
        <r>
          <rPr>
            <sz val="10"/>
            <rFont val="Arial"/>
            <family val="2"/>
          </rPr>
          <t xml:space="preserve">1 = show all companies on a pre-IFRS 16 basis (strip IFRS 16 lease liabilities from debt, rows 62–63, and ROU depreciation + lease interest from EBITDA / lease interest from EBIT, rows 327–330). 0 = as reported. Replaces the external link to [LGC – WACC and Trading Comps_v2.xlsx]Cover!C10 (cached value 1).</t>
        </r>
      </text>
    </comment>
    <comment ref="F239" authorId="0">
      <text>
        <r>
          <rPr>
            <sz val="10"/>
            <rFont val="Arial"/>
            <family val="2"/>
          </rPr>
          <t xml:space="preserve">Cha, Alexander:
adjusted numbers - not as reported</t>
        </r>
      </text>
    </comment>
    <comment ref="F249" authorId="0">
      <text>
        <r>
          <rPr>
            <sz val="10"/>
            <rFont val="Arial"/>
            <family val="2"/>
          </rPr>
          <t xml:space="preserve">Cha, Alexander:
adjusted numbers - not as reported</t>
        </r>
      </text>
    </comment>
    <comment ref="F259" authorId="0">
      <text>
        <r>
          <rPr>
            <sz val="10"/>
            <rFont val="Arial"/>
            <family val="2"/>
          </rPr>
          <t xml:space="preserve">Cha, Alexander:
adjusted numbers per previous NY / LON - not as reported</t>
        </r>
      </text>
    </comment>
    <comment ref="F269" authorId="0">
      <text>
        <r>
          <rPr>
            <sz val="10"/>
            <rFont val="Arial"/>
            <family val="2"/>
          </rPr>
          <t xml:space="preserve">Cha, Alexander:
adjusted numbers per previous NY / LON - not as reported</t>
        </r>
      </text>
    </comment>
    <comment ref="F279" authorId="0">
      <text>
        <r>
          <rPr>
            <sz val="10"/>
            <rFont val="Arial"/>
            <family val="2"/>
          </rPr>
          <t xml:space="preserve">Cha, Alexander:
adjusted numbers per previous NY / LON - not as reported</t>
        </r>
      </text>
    </comment>
    <comment ref="F289" authorId="0">
      <text>
        <r>
          <rPr>
            <sz val="10"/>
            <rFont val="Arial"/>
            <family val="2"/>
          </rPr>
          <t xml:space="preserve">Cha, Alexander:
adjusted numbers per previous NY / LON - not as reported</t>
        </r>
      </text>
    </comment>
    <comment ref="F333" authorId="0">
      <text>
        <r>
          <rPr>
            <sz val="10"/>
            <rFont val="Arial"/>
            <family val="2"/>
          </rPr>
          <t xml:space="preserve">Cha, Alexander:
adjusted numbers per previous NY / LON - not as reported</t>
        </r>
      </text>
    </comment>
    <comment ref="K17"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18"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19"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0"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8"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3"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5"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6"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7"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8"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9"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43"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46"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55"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56"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62"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70"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71" authorId="0">
      <text>
        <r>
          <rPr>
            <sz val="10"/>
            <rFont val="Arial"/>
            <family val="2"/>
          </rPr>
          <t xml:space="preserve">Hunt, Jeremy:
Linked to Tax Rates tab: looks up this column's country (row 19) in 'Tax Rates'!A5:B12. Falls back to 'Tax Rates'!B21 (25%) if no match (blank/template columns only).</t>
        </r>
      </text>
    </comment>
    <comment ref="K74"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77"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81"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137"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189"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192" authorId="0">
      <text>
        <r>
          <rPr>
            <sz val="10"/>
            <rFont val="Arial"/>
            <family val="2"/>
          </rPr>
          <t xml:space="preserve">Kim, Justin G.:
Most companies will end their fiscal year in December; however companies like Takeda report Fiscal Year end on a different quarter - this requires you to recalendarize the line items so they are apples-to-apples with other companies ending their FY in December 31</t>
        </r>
      </text>
    </comment>
    <comment ref="K199"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00"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01"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02"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03"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04"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05"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06"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07"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09"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10"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11"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12"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13"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14"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15"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16"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17"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19"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20"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21"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22"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23"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24"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25"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26"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27"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29"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30"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31"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32"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33"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34"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35"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36"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37"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39"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40"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41"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42"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43"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44"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45"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46"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47"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59"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60"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61"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62"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63"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64"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65"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66"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67"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79"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80"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81"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82"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83"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84"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85"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86"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87"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89"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90"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91"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92"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93"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94"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95"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96"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297"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09"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10"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11"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13"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15"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16"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17"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20"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21"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22"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23"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24"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25"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26"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27" authorId="0">
      <text>
        <r>
          <rPr>
            <sz val="10"/>
            <rFont val="Arial"/>
            <family val="2"/>
          </rPr>
          <t xml:space="preserve">Template column: input row (hand spread, local currency m). Was an INDEX/MATCH into the external "Hand Spreads (to be checked)" tab – link removed.</t>
        </r>
      </text>
    </comment>
    <comment ref="K328" authorId="0">
      <text>
        <r>
          <rPr>
            <sz val="10"/>
            <rFont val="Arial"/>
            <family val="2"/>
          </rPr>
          <t xml:space="preserve">Template column: input row (hand spread, local currency m). Was an INDEX/MATCH into the external "Hand Spreads (to be checked)" tab – link removed.</t>
        </r>
      </text>
    </comment>
    <comment ref="K333"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34"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35"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36"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37"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38"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39"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40"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K341" authorId="0">
      <text>
        <r>
          <rPr>
            <sz val="10"/>
            <rFont val="Arial"/>
            <family val="2"/>
          </rPr>
          <t xml:space="preserve">FactSet add-in formulas on this row were frozen to their last cached values (FactSet pull as at the pricing date). Where a company cell carries a "Hand spread" note it has been overwritten from the filings; any cell without a note is FactSet market data / consensus and is not from a filing.</t>
        </r>
      </text>
    </comment>
    <comment ref="L2" authorId="0">
      <text>
        <r>
          <rPr>
            <sz val="10"/>
            <rFont val="Arial"/>
            <family val="2"/>
          </rPr>
          <t xml:space="preserve">Hunt, Jeremy:
UNAFFECTED PRICING DATE OVERRIDE (Qiagen only): 16-Jan-2026 = last close before Bloomberg/Reuters reported (20-Jan-26) that Qiagen was exploring strategic options including a sale, after talks with several potential buyers incl. US strategics. Stock rose ~17% on the report (from $47.57 on 16-Jan-26 to $55.45 on 20-Jan-26) and has remained speculation-driven since (Jul-26: reports of EQT/Advent/KKR interest; Sep-26: reports of TPG/Bain interest) with no formal bid announced. Not a Rule 2.4-style regulated offer period (NL-incorporated, NYSE-listed) but the market has been pricing in deal optionality continuously since mid-January. All Qiagen market data (price, market cap, FX) in this column is as of 16-Jan-26 while other peers are at the Cover date; balance sheet remains 30-Jun-26 (row 293). Sources: https://www.genengnews.com/topics/bioprocessing/stockwatch-qiagen-shares-rebound-on-report-it-is-assessing-strategic-options/ ; https://www.benzinga.com/m-a/26/07/60381619/qiagen-ma-fever-builds-kkr-eqt-advent-explore-possible-takeover</t>
        </r>
      </text>
    </comment>
    <comment ref="L13" authorId="0">
      <text>
        <r>
          <rPr>
            <sz val="10"/>
            <rFont val="Arial"/>
            <family val="2"/>
          </rPr>
          <t xml:space="preserve">Latest filing used for the balance sheet / share data. See cell notes for every figure and the "Spread Notes" tab.</t>
        </r>
      </text>
    </comment>
    <comment ref="L43" authorId="0">
      <text>
        <r>
          <rPr>
            <sz val="10"/>
            <rFont val="Arial"/>
            <family val="2"/>
          </rPr>
          <t xml:space="preserve">Hand spread: QIAGEN Q2-26 Quarterly Report (Form 6-K Ex.99.1 filed 7-Aug-26), quarter ended 30-Jun-26, p.2 – Condensed Consolidated Balance Sheets – Cash and cash equivalents: $768,500k</t>
        </r>
      </text>
    </comment>
    <comment ref="L44" authorId="0">
      <text>
        <r>
          <rPr>
            <sz val="10"/>
            <rFont val="Arial"/>
            <family val="2"/>
          </rPr>
          <t xml:space="preserve">Hand spread: QIAGEN Q2-26 Quarterly Report (Form 6-K Ex.99.1 filed 7-Aug-26), quarter ended 30-Jun-26, p.2 – Condensed Consolidated Balance Sheets – Short-term investments: $25,000k</t>
        </r>
      </text>
    </comment>
    <comment ref="L46" authorId="0">
      <text>
        <r>
          <rPr>
            <sz val="10"/>
            <rFont val="Arial"/>
            <family val="2"/>
          </rPr>
          <t xml:space="preserve">Hand spread: QIAGEN Q2-26 Quarterly Report (Form 6-K Ex.99.1 filed 7-Aug-26), quarter ended 30-Jun-26, p.17 (Note – Investments) – non-marketable investments accounted for under the equity method: $17.0m (in other long-term assets)</t>
        </r>
      </text>
    </comment>
    <comment ref="L55" authorId="0">
      <text>
        <r>
          <rPr>
            <sz val="10"/>
            <rFont val="Arial"/>
            <family val="2"/>
          </rPr>
          <t xml:space="preserve">Hand spread: QIAGEN Q2-26 Quarterly Report (Form 6-K Ex.99.1 filed 7-Aug-26), quarter ended 30-Jun-26, p.3 – Condensed Consolidated Balance Sheets – Current portion of long-term debt: $16,517k (2017 Schuldschein)</t>
        </r>
      </text>
    </comment>
    <comment ref="L56" authorId="0">
      <text>
        <r>
          <rPr>
            <sz val="10"/>
            <rFont val="Arial"/>
            <family val="2"/>
          </rPr>
          <t xml:space="preserve">Hand spread: QIAGEN Q2-26 Quarterly Report (Form 6-K Ex.99.1 filed 7-Aug-26), quarter ended 30-Jun-26, p.3 – Condensed Consolidated Balance Sheets – Long-term debt, net of current portion: $1,627,105k (incl. convertible notes at carrying value 26,000 + 495,671 + 742,963 and 2022 Schuldschein 362,471 – Note 8, p.17). Convertible face-vs-book handled in convert section (rows 88-113).</t>
        </r>
      </text>
    </comment>
    <comment ref="L58" authorId="0">
      <text>
        <r>
          <rPr>
            <sz val="10"/>
            <rFont val="Arial"/>
            <family val="2"/>
          </rPr>
          <t xml:space="preserve">Hand spread: QIAGEN Q2-26 Quarterly Report (Form 6-K Ex.99.1 filed 7-Aug-26), quarter ended 30-Jun-26 – no finance lease debt reported; operating leases (US GAAP ASC 842) not debt – consistent with pre-IFRS 16 basis.</t>
        </r>
      </text>
    </comment>
    <comment ref="L62" authorId="0">
      <text>
        <r>
          <rPr>
            <sz val="10"/>
            <rFont val="Arial"/>
            <family val="2"/>
          </rPr>
          <t xml:space="preserve">Hand spread: US GAAP reporter – no IFRS 16 lease liabilities to strip (operating lease liabilities excluded from debt).</t>
        </r>
      </text>
    </comment>
    <comment ref="L70" authorId="0">
      <text>
        <r>
          <rPr>
            <sz val="10"/>
            <rFont val="Arial"/>
            <family val="2"/>
          </rPr>
          <t xml:space="preserve">Hand spread: QIAGEN Form 20-F FY25 (Financial Report 2025, YE 31-Dec-25), p.183 (Notes – pension plans) – Pension and other post-retirement defined benefit liabilities (current + non-current): $9.2m (latest disclosure; not updated in Q2-26 report).</t>
        </r>
      </text>
    </comment>
    <comment ref="L71" authorId="0">
      <text>
        <r>
          <rPr>
            <sz val="10"/>
            <rFont val="Arial"/>
            <family val="2"/>
          </rPr>
          <t xml:space="preserve">Statutory tax rate 25.80% for NETHERLANDS, from the "Tax Rates" tab of the external LGC – WACC and Trading Comps_v2.xlsx (external link removed; cached value kept). Used only to tax-effect the pension deficit (row 72).</t>
        </r>
      </text>
    </comment>
    <comment ref="L74" authorId="0">
      <text>
        <r>
          <rPr>
            <sz val="10"/>
            <rFont val="Arial"/>
            <family val="2"/>
          </rPr>
          <t xml:space="preserve">Hand spread: QIAGEN Q2-26 Quarterly Report (Form 6-K Ex.99.1 filed 7-Aug-26), quarter ended 30-Jun-26, p.3 – no noncontrolling interest.</t>
        </r>
      </text>
    </comment>
    <comment ref="L77" authorId="0">
      <text>
        <r>
          <rPr>
            <sz val="10"/>
            <rFont val="Arial"/>
            <family val="2"/>
          </rPr>
          <t xml:space="preserve">Hand spread: QIAGEN Q2-26 Quarterly Report (Form 6-K Ex.99.1 filed 7-Aug-26), quarter ended 30-Jun-26, p.3 – Preference shares and financing preference shares: none issued and outstanding.</t>
        </r>
      </text>
    </comment>
    <comment ref="L81" authorId="0">
      <text>
        <r>
          <rPr>
            <sz val="10"/>
            <rFont val="Arial"/>
            <family val="2"/>
          </rPr>
          <t xml:space="preserve">Hand spread: QIAGEN Q2-26 Quarterly Report (Form 6-K Ex.99.1 filed 7-Aug-26), quarter ended 30-Jun-26, p.3 – Condensed Consolidated Balance Sheets – Total equity: $3,357,740k</t>
        </r>
      </text>
    </comment>
    <comment ref="L88" authorId="0">
      <text>
        <r>
          <rPr>
            <sz val="10"/>
            <rFont val="Arial"/>
            <family val="2"/>
          </rPr>
          <t xml:space="preserve">Hand spread: QIAGEN Q2-26 Quarterly Report (Form 6-K Ex.99.1 filed 7-Aug-26), quarter ended 30-Jun-26, p.17 (Note 8 – Debt) – 2.000% Convertible Notes due 2032: carrying amount $742,963k</t>
        </r>
      </text>
    </comment>
    <comment ref="L89" authorId="0">
      <text>
        <r>
          <rPr>
            <sz val="10"/>
            <rFont val="Arial"/>
            <family val="2"/>
          </rPr>
          <t xml:space="preserve">Hand spread: QIAGEN Q2-26 Quarterly Report (Form 6-K Ex.99.1 filed 7-Aug-26), quarter ended 30-Jun-26, p.17 – 2032 Notes principal amount $750,000k</t>
        </r>
      </text>
    </comment>
    <comment ref="L90" authorId="0">
      <text>
        <r>
          <rPr>
            <sz val="10"/>
            <rFont val="Arial"/>
            <family val="2"/>
          </rPr>
          <t xml:space="preserve">Hand spread: QIAGEN Q2-26 Quarterly Report (Form 6-K Ex.99.1 filed 7-Aug-26), quarter ended 30-Jun-26, p.19 – 2032 Notes adjusted conversion price $64.1287/share (11.7m underlying shares) post July-2026 dividend. Net share settlement: principal repaid in cash, only excess over principal settled in shares – template's full-conversion logic would overstate dilution if ITM (currently OTM).</t>
        </r>
      </text>
    </comment>
    <comment ref="L97" authorId="0">
      <text>
        <r>
          <rPr>
            <sz val="10"/>
            <rFont val="Arial"/>
            <family val="2"/>
          </rPr>
          <t xml:space="preserve">Hand spread: QIAGEN Q2-26 Quarterly Report (Form 6-K Ex.99.1 filed 7-Aug-26), quarter ended 30-Jun-26, p.17 – 2.500% Convertible Notes due 2031: carrying amount $495,671k</t>
        </r>
      </text>
    </comment>
    <comment ref="L98" authorId="0">
      <text>
        <r>
          <rPr>
            <sz val="10"/>
            <rFont val="Arial"/>
            <family val="2"/>
          </rPr>
          <t xml:space="preserve">Hand spread: QIAGEN Q2-26 Quarterly Report (Form 6-K Ex.99.1 filed 7-Aug-26), quarter ended 30-Jun-26, p.17 – 2031 Notes principal amount $500,000k</t>
        </r>
      </text>
    </comment>
    <comment ref="L99" authorId="0">
      <text>
        <r>
          <rPr>
            <sz val="10"/>
            <rFont val="Arial"/>
            <family val="2"/>
          </rPr>
          <t xml:space="preserve">Hand spread: QIAGEN Q2-26 Quarterly Report (Form 6-K Ex.99.1 filed 7-Aug-26), quarter ended 30-Jun-26, p.20 – 2031 Notes adjusted conversion price $63.1914/share (7.9m underlying shares); net share settlement.</t>
        </r>
      </text>
    </comment>
    <comment ref="L106" authorId="0">
      <text>
        <r>
          <rPr>
            <sz val="10"/>
            <rFont val="Arial"/>
            <family val="2"/>
          </rPr>
          <t xml:space="preserve">Hand spread: QIAGEN Q2-26 Quarterly Report (Form 6-K Ex.99.1 filed 7-Aug-26), quarter ended 30-Jun-26, p.17 – 0.000% Convertible Notes due 2027: carrying amount $26,000k (after $474.0m put on 17-Dec-25, p.21)</t>
        </r>
      </text>
    </comment>
    <comment ref="L107" authorId="0">
      <text>
        <r>
          <rPr>
            <sz val="10"/>
            <rFont val="Arial"/>
            <family val="2"/>
          </rPr>
          <t xml:space="preserve">Hand spread: QIAGEN Q2-26 Quarterly Report (Form 6-K Ex.99.1 filed 7-Aug-26), quarter ended 30-Jun-26, p.17 – 2027 Notes principal amount $26,000k</t>
        </r>
      </text>
    </comment>
    <comment ref="L108" authorId="0">
      <text>
        <r>
          <rPr>
            <sz val="10"/>
            <rFont val="Arial"/>
            <family val="2"/>
          </rPr>
          <t xml:space="preserve">Hand spread: QIAGEN Q2-26 Quarterly Report (Form 6-K Ex.99.1 filed 7-Aug-26), quarter ended 30-Jun-26, p.21 – 2027 Notes adjusted conversion price $79.7627/share (0.3m underlying shares); net share settlement.</t>
        </r>
      </text>
    </comment>
    <comment ref="L137" authorId="0">
      <text>
        <r>
          <rPr>
            <sz val="10"/>
            <rFont val="Arial"/>
            <family val="2"/>
          </rPr>
          <t xml:space="preserve">Hand spread: QIAGEN Q2-26 Quarterly Report (Form 6-K Ex.99.1 filed 7-Aug-26), quarter ended 30-Jun-26, p.3 – Common shares issued 206,801k less treasury shares 306k = 206,495k outstanding at 30-Jun-26 [calc] (post January-2026 synthetic share repurchase / reverse split, Note 13 p.29).</t>
        </r>
      </text>
    </comment>
    <comment ref="L159" authorId="0">
      <text>
        <r>
          <rPr>
            <sz val="10"/>
            <rFont val="Arial"/>
            <family val="2"/>
          </rPr>
          <t xml:space="preserve">Hand spread: QIAGEN Form 20-F FY25 (Financial Report 2025, YE 31-Dec-25), p.181 (Share-based compensation) – stock units (RSUs + PSUs) outstanding at 31-Dec-25: 3,086k (latest disclosed count; Q2-26 report gives no unit count). No stock options outstanding.</t>
        </r>
      </text>
    </comment>
    <comment ref="L189" authorId="0">
      <text>
        <r>
          <rPr>
            <sz val="10"/>
            <rFont val="Arial"/>
            <family val="2"/>
          </rPr>
          <t xml:space="preserve">Hand spread: QIAGEN Q2-26 Quarterly Report (Form 6-K Ex.99.1 filed 7-Aug-26), quarter ended 30-Jun-26 – fiscal year ends 31 December.</t>
        </r>
      </text>
    </comment>
    <comment ref="L205" authorId="0">
      <text>
        <r>
          <rPr>
            <sz val="10"/>
            <rFont val="Arial"/>
            <family val="2"/>
          </rPr>
          <t xml:space="preserve">Hand spread: QIAGEN Form 20-F FY25 (Financial Report 2025, YE 31-Dec-25), FY2025 (2025-01-01 to 2025-12-31) – Revenue: Net sales 2,090.0 (p.102) =&gt; 2,090.0</t>
        </r>
      </text>
    </comment>
    <comment ref="L206" authorId="0">
      <text>
        <r>
          <rPr>
            <sz val="10"/>
            <rFont val="Arial"/>
            <family val="2"/>
          </rPr>
          <t xml:space="preserve">Hand spread: QIAGEN Form 20-F FY25 (Financial Report 2025, YE 31-Dec-25), FY2024 (2024-01-01 to 2024-12-31) – Revenue: Net sales 1,978.2 (p.102) =&gt; 1,978.2</t>
        </r>
      </text>
    </comment>
    <comment ref="L207" authorId="0">
      <text>
        <r>
          <rPr>
            <sz val="10"/>
            <rFont val="Arial"/>
            <family val="2"/>
          </rPr>
          <t xml:space="preserve">Hand spread: QIAGEN Form 20-F FY25 (Financial Report 2025, YE 31-Dec-25), FY2023 (2023-01-01 to 2023-12-31) – Revenue: Net sales 1,965.3 (p.102) =&gt; 1,965.3</t>
        </r>
      </text>
    </comment>
    <comment ref="L215" authorId="0">
      <text>
        <r>
          <rPr>
            <sz val="10"/>
            <rFont val="Arial"/>
            <family val="2"/>
          </rPr>
          <t xml:space="preserve">Hand spread: QIAGEN Form 20-F FY25 (Financial Report 2025, YE 31-Dec-25), FY2025 (2025-01-01 to 2025-12-31) – Gross profit: Gross profit 1,299.5 (p.102) =&gt; 1,299.5</t>
        </r>
      </text>
    </comment>
    <comment ref="L216" authorId="0">
      <text>
        <r>
          <rPr>
            <sz val="10"/>
            <rFont val="Arial"/>
            <family val="2"/>
          </rPr>
          <t xml:space="preserve">Hand spread: QIAGEN Form 20-F FY25 (Financial Report 2025, YE 31-Dec-25), FY2024 (2024-01-01 to 2024-12-31) – Gross profit: Gross profit 967.4 (p.102) =&gt; 967.4</t>
        </r>
      </text>
    </comment>
    <comment ref="L217" authorId="0">
      <text>
        <r>
          <rPr>
            <sz val="10"/>
            <rFont val="Arial"/>
            <family val="2"/>
          </rPr>
          <t xml:space="preserve">Hand spread: QIAGEN Form 20-F FY25 (Financial Report 2025, YE 31-Dec-25), FY2023 (2023-01-01 to 2023-12-31) – Gross profit: Gross profit 1,233.7 (p.102) =&gt; 1,233.7</t>
        </r>
      </text>
    </comment>
    <comment ref="L225" authorId="0">
      <text>
        <r>
          <rPr>
            <sz val="10"/>
            <rFont val="Arial"/>
            <family val="2"/>
          </rPr>
          <t xml:space="preserve">Hand spread: QIAGEN Form 20-F FY25 (Financial Report 2025, YE 31-Dec-25), FY2025 (2025-01-01 to 2025-12-31) – R&amp;D: Research and development 187.5 (p.102) =&gt; 187.5</t>
        </r>
      </text>
    </comment>
    <comment ref="L226" authorId="0">
      <text>
        <r>
          <rPr>
            <sz val="10"/>
            <rFont val="Arial"/>
            <family val="2"/>
          </rPr>
          <t xml:space="preserve">Hand spread: QIAGEN Form 20-F FY25 (Financial Report 2025, YE 31-Dec-25), FY2024 (2024-01-01 to 2024-12-31) – R&amp;D: Research and development 193.5 (p.102) =&gt; 193.5</t>
        </r>
      </text>
    </comment>
    <comment ref="L227" authorId="0">
      <text>
        <r>
          <rPr>
            <sz val="10"/>
            <rFont val="Arial"/>
            <family val="2"/>
          </rPr>
          <t xml:space="preserve">Hand spread: QIAGEN Form 20-F FY25 (Financial Report 2025, YE 31-Dec-25), FY2023 (2023-01-01 to 2023-12-31) – R&amp;D: Research and development 198.5 (p.102) =&gt; 198.5</t>
        </r>
      </text>
    </comment>
    <comment ref="L235" authorId="0">
      <text>
        <r>
          <rPr>
            <sz val="10"/>
            <rFont val="Arial"/>
            <family val="2"/>
          </rPr>
          <t xml:space="preserve">Hand spread: QIAGEN Form 20-F FY25 (Financial Report 2025, YE 31-Dec-25), FY2025 (2025-01-01 to 2025-12-31) – SG&amp;A [calc]: Sales and marketing 458.0 (p.102) ; General and administrative 125.7 (p.102) =&gt; 583.7</t>
        </r>
      </text>
    </comment>
    <comment ref="L236" authorId="0">
      <text>
        <r>
          <rPr>
            <sz val="10"/>
            <rFont val="Arial"/>
            <family val="2"/>
          </rPr>
          <t xml:space="preserve">Hand spread: QIAGEN Form 20-F FY25 (Financial Report 2025, YE 31-Dec-25), FY2024 (2024-01-01 to 2024-12-31) – SG&amp;A [calc]: Sales and marketing 450.9 (p.102) ; General and administrative 113.4 (p.102) =&gt; 564.4</t>
        </r>
      </text>
    </comment>
    <comment ref="L237" authorId="0">
      <text>
        <r>
          <rPr>
            <sz val="10"/>
            <rFont val="Arial"/>
            <family val="2"/>
          </rPr>
          <t xml:space="preserve">Hand spread: QIAGEN Form 20-F FY25 (Financial Report 2025, YE 31-Dec-25), FY2023 (2023-01-01 to 2023-12-31) – SG&amp;A [calc]: Sales and marketing 459.9 (p.102) ; General and administrative 119.3 (p.102) =&gt; 579.2</t>
        </r>
      </text>
    </comment>
    <comment ref="L245" authorId="0">
      <text>
        <r>
          <rPr>
            <sz val="10"/>
            <rFont val="Arial"/>
            <family val="2"/>
          </rPr>
          <t xml:space="preserve">Hand spread: QIAGEN Form 20-F FY25 (Financial Report 2025, YE 31-Dec-25), FY2025 (2025-01-01 to 2025-12-31) – EBIT (operating income, as reported): Income from operations 465.9 (p.102) =&gt; 465.9</t>
        </r>
      </text>
    </comment>
    <comment ref="L246" authorId="0">
      <text>
        <r>
          <rPr>
            <sz val="10"/>
            <rFont val="Arial"/>
            <family val="2"/>
          </rPr>
          <t xml:space="preserve">Hand spread: QIAGEN Form 20-F FY25 (Financial Report 2025, YE 31-Dec-25), FY2024 (2024-01-01 to 2024-12-31) – EBIT (operating income, as reported): Income from operations 97.711 (p.102) =&gt; 97.711</t>
        </r>
      </text>
    </comment>
    <comment ref="L247" authorId="0">
      <text>
        <r>
          <rPr>
            <sz val="10"/>
            <rFont val="Arial"/>
            <family val="2"/>
          </rPr>
          <t xml:space="preserve">Hand spread: QIAGEN Form 20-F FY25 (Financial Report 2025, YE 31-Dec-25), FY2023 (2023-01-01 to 2023-12-31) – EBIT (operating income, as reported): Income from operations 409.9 (p.102) =&gt; 409.9</t>
        </r>
      </text>
    </comment>
    <comment ref="L265" authorId="0">
      <text>
        <r>
          <rPr>
            <sz val="10"/>
            <rFont val="Arial"/>
            <family val="2"/>
          </rPr>
          <t xml:space="preserve">Hand spread: QIAGEN Form 20-F FY25 (Financial Report 2025, YE 31-Dec-25), FY2025 – EBITDA = EBIT + D&amp;A + non-cash impairments [calc]: EBIT 465.9 + Depreciation and amortization (cash flow) 193.7 (p.105) + Impairments (cash flow) 22.44 (p.105) =&gt; 682.0</t>
        </r>
      </text>
    </comment>
    <comment ref="L266" authorId="0">
      <text>
        <r>
          <rPr>
            <sz val="10"/>
            <rFont val="Arial"/>
            <family val="2"/>
          </rPr>
          <t xml:space="preserve">Hand spread: QIAGEN Form 20-F FY25 (Financial Report 2025, YE 31-Dec-25), FY2024 – EBITDA = EBIT + D&amp;A + non-cash impairments [calc]: EBIT 97.711 + Depreciation and amortization (cash flow) 203.3 (p.105) + Impairments (cash flow) 203.4 (p.105) =&gt; 504.4</t>
        </r>
      </text>
    </comment>
    <comment ref="L267" authorId="0">
      <text>
        <r>
          <rPr>
            <sz val="10"/>
            <rFont val="Arial"/>
            <family val="2"/>
          </rPr>
          <t xml:space="preserve">Hand spread: QIAGEN Form 20-F FY25 (Financial Report 2025, YE 31-Dec-25), FY2023 – EBITDA = EBIT + D&amp;A + non-cash impairments [calc]: EBIT 409.9 + Depreciation and amortization (cash flow) 205.3 (p.105) + Impairments (cash flow) 4.158 (p.105) =&gt; 619.4</t>
        </r>
      </text>
    </comment>
    <comment ref="L285" authorId="0">
      <text>
        <r>
          <rPr>
            <sz val="10"/>
            <rFont val="Arial"/>
            <family val="2"/>
          </rPr>
          <t xml:space="preserve">Hand spread: QIAGEN Form 20-F FY25 (Financial Report 2025, YE 31-Dec-25), FY2025 (2025-01-01 to 2025-12-31) – Net income attributable to shareholders: Net income 424.9 (p.102) =&gt; 424.9</t>
        </r>
      </text>
    </comment>
    <comment ref="L286" authorId="0">
      <text>
        <r>
          <rPr>
            <sz val="10"/>
            <rFont val="Arial"/>
            <family val="2"/>
          </rPr>
          <t xml:space="preserve">Hand spread: QIAGEN Form 20-F FY25 (Financial Report 2025, YE 31-Dec-25), FY2024 (2024-01-01 to 2024-12-31) – Net income attributable to shareholders: Net income 83.591 (p.102) =&gt; 83.591</t>
        </r>
      </text>
    </comment>
    <comment ref="L287" authorId="0">
      <text>
        <r>
          <rPr>
            <sz val="10"/>
            <rFont val="Arial"/>
            <family val="2"/>
          </rPr>
          <t xml:space="preserve">Hand spread: QIAGEN Form 20-F FY25 (Financial Report 2025, YE 31-Dec-25), FY2023 (2023-01-01 to 2023-12-31) – Net income attributable to shareholders: Net income 341.3 (p.102) =&gt; 341.3</t>
        </r>
      </text>
    </comment>
    <comment ref="L295" authorId="0">
      <text>
        <r>
          <rPr>
            <sz val="10"/>
            <rFont val="Arial"/>
            <family val="2"/>
          </rPr>
          <t xml:space="preserve">Hand spread: QIAGEN Form 20-F FY25 (Financial Report 2025, YE 31-Dec-25), FY2025 (2025-01-01 to 2025-12-31) – Diluted EPS: Diluted earnings per common share 1.94 (p.102) =&gt; 1.94</t>
        </r>
      </text>
    </comment>
    <comment ref="L296" authorId="0">
      <text>
        <r>
          <rPr>
            <sz val="10"/>
            <rFont val="Arial"/>
            <family val="2"/>
          </rPr>
          <t xml:space="preserve">Hand spread: QIAGEN Form 20-F FY25 (Financial Report 2025, YE 31-Dec-25), FY2024 (2024-01-01 to 2024-12-31) – Diluted EPS: Diluted earnings per common share 0.37 (p.102) =&gt; 0.37</t>
        </r>
      </text>
    </comment>
    <comment ref="L297" authorId="0">
      <text>
        <r>
          <rPr>
            <sz val="10"/>
            <rFont val="Arial"/>
            <family val="2"/>
          </rPr>
          <t xml:space="preserve">Hand spread: QIAGEN Form 20-F FY25 (Financial Report 2025, YE 31-Dec-25), FY2023 (2023-01-01 to 2023-12-31) – Diluted EPS: Diluted earnings per common share 1.48 (p.102) =&gt; 1.48</t>
        </r>
      </text>
    </comment>
    <comment ref="L309" authorId="0">
      <text>
        <r>
          <rPr>
            <sz val="10"/>
            <rFont val="Arial"/>
            <family val="2"/>
          </rPr>
          <t xml:space="preserve">Hand spread: reporting currency of the financial statements = USD.</t>
        </r>
      </text>
    </comment>
    <comment ref="L313" authorId="0">
      <text>
        <r>
          <rPr>
            <sz val="10"/>
            <rFont val="Arial"/>
            <family val="2"/>
          </rPr>
          <t xml:space="preserve">Hand spread: ECB spot USD per USD at this column's pricing date (row 2) – FX tab.</t>
        </r>
      </text>
    </comment>
    <comment ref="L315" authorId="0">
      <text>
        <r>
          <rPr>
            <sz val="10"/>
            <rFont val="Arial"/>
            <family val="2"/>
          </rPr>
          <t xml:space="preserve">Hand spread: balance sheet date of the latest filing (QIAGEN Q2-26 Quarterly Report (Form 6-K Ex.99.1 filed 7-Aug-26), quarter ended 30-Jun-26).</t>
        </r>
      </text>
    </comment>
    <comment ref="L316" authorId="0">
      <text>
        <r>
          <rPr>
            <sz val="10"/>
            <rFont val="Arial"/>
            <family val="2"/>
          </rPr>
          <t xml:space="preserve">Hand spread: ECB spot USD per USD at the 30-Jun-26 balance sheet date – FX tab. (USD reporter: 1.0)</t>
        </r>
      </text>
    </comment>
    <comment ref="L327" authorId="0">
      <text>
        <r>
          <rPr>
            <sz val="10"/>
            <rFont val="Arial"/>
            <family val="2"/>
          </rPr>
          <t xml:space="preserve">Hand spread: US GAAP (ASC 842) reporter – operating lease cost is already within EBITDA and operating lease liabilities are not in reported debt; no IFRS 16 adjustment required.</t>
        </r>
      </text>
    </comment>
    <comment ref="L328" authorId="0">
      <text>
        <r>
          <rPr>
            <sz val="10"/>
            <rFont val="Arial"/>
            <family val="2"/>
          </rPr>
          <t xml:space="preserve">Hand spread: US GAAP (ASC 842) reporter – operating lease cost is already within EBITDA and operating lease liabilities are not in reported debt; no IFRS 16 adjustment required.</t>
        </r>
      </text>
    </comment>
    <comment ref="L339" authorId="0">
      <text>
        <r>
          <rPr>
            <sz val="10"/>
            <rFont val="Arial"/>
            <family val="2"/>
          </rPr>
          <t xml:space="preserve">Hand spread: QIAGEN Form 20-F FY25 (Financial Report 2025, YE 31-Dec-25), FY2025 (2025-01-01 to 2025-12-31) – CapEx: Purchases of property, plant and equipment 201.0 (p.105) =&gt; 201.0</t>
        </r>
      </text>
    </comment>
    <comment ref="L340" authorId="0">
      <text>
        <r>
          <rPr>
            <sz val="10"/>
            <rFont val="Arial"/>
            <family val="2"/>
          </rPr>
          <t xml:space="preserve">Hand spread: QIAGEN Form 20-F FY25 (Financial Report 2025, YE 31-Dec-25), FY2024 (2024-01-01 to 2024-12-31) – CapEx: Purchases of property, plant and equipment 167.2 (p.105) =&gt; 167.2</t>
        </r>
      </text>
    </comment>
    <comment ref="L341" authorId="0">
      <text>
        <r>
          <rPr>
            <sz val="10"/>
            <rFont val="Arial"/>
            <family val="2"/>
          </rPr>
          <t xml:space="preserve">Hand spread: QIAGEN Form 20-F FY25 (Financial Report 2025, YE 31-Dec-25), FY2023 (2023-01-01 to 2023-12-31) – CapEx: Purchases of property, plant and equipment 149.7 (p.105) =&gt; 149.7</t>
        </r>
      </text>
    </comment>
    <comment ref="M6" authorId="0">
      <text>
        <r>
          <rPr>
            <sz val="10"/>
            <rFont val="Arial"/>
            <family val="2"/>
          </rPr>
          <t xml:space="preserve">Hunt, Jeremy:
Yellow tickers = new FactSet columns; populate on refresh. Manual rows to review after refresh: 13, 47-49, 59-61, 87-131, 146-180.</t>
        </r>
      </text>
    </comment>
    <comment ref="M13" authorId="0">
      <text>
        <r>
          <rPr>
            <sz val="10"/>
            <rFont val="Arial"/>
            <family val="2"/>
          </rPr>
          <t xml:space="preserve">Latest filing used for the balance sheet / share data. See cell notes for every figure and the "Spread Notes" tab.</t>
        </r>
      </text>
    </comment>
    <comment ref="M43" authorId="0">
      <text>
        <r>
          <rPr>
            <sz val="10"/>
            <rFont val="Arial"/>
            <family val="2"/>
          </rPr>
          <t xml:space="preserve">Hand spread: Bio-Rad Form 10-Q, quarter ended 30-Jun-26, p.4 – Condensed Consolidated Balance Sheets – Cash and cash equivalents: 517.0</t>
        </r>
      </text>
    </comment>
    <comment ref="M44" authorId="0">
      <text>
        <r>
          <rPr>
            <sz val="10"/>
            <rFont val="Arial"/>
            <family val="2"/>
          </rPr>
          <t xml:space="preserve">Hand spread: Bio-Rad Form 10-Q, quarter ended 30-Jun-26, p.4 – Condensed Consolidated Balance Sheets – Short-term investments: 1,101.5</t>
        </r>
      </text>
    </comment>
    <comment ref="M45" authorId="0">
      <text>
        <r>
          <rPr>
            <sz val="10"/>
            <rFont val="Arial"/>
            <family val="2"/>
          </rPr>
          <t xml:space="preserve">Hand spread: Bio-Rad Form 10-Q, quarter ended 30-Jun-26, p.16 (Note 3 – Fair Value Measurements and Investments) – footnote (c): Equity securities included in 'Other investments' at fair value: 5,295.2 (predominantly the Sartorius AG stake – 12,987,900 ordinary + 9,588,908 preference shares, p.17). JUDGEMENT: listed non-operating stake treated as investment (pre-tax). Total BS 'Other investments' is 5,723.6 (p.4) which also includes EUR400m SHB loan receivable &amp; other equity securities – excluded. FactSet excluded the stake entirely; set to 0 if house view is to exclude.</t>
        </r>
      </text>
    </comment>
    <comment ref="M46" authorId="0">
      <text>
        <r>
          <rPr>
            <sz val="10"/>
            <rFont val="Arial"/>
            <family val="2"/>
          </rPr>
          <t xml:space="preserve">Hand spread: Bio-Rad Form 10-Q, quarter ended 30-Jun-26, p.19 – Note 3 – Equity-method investments: 33.9</t>
        </r>
      </text>
    </comment>
    <comment ref="M55" authorId="0">
      <text>
        <r>
          <rPr>
            <sz val="10"/>
            <rFont val="Arial"/>
            <family val="2"/>
          </rPr>
          <t xml:space="preserve">Hand spread: Bio-Rad Form 10-Q, quarter ended 30-Jun-26, p.5 – Condensed Consolidated Balance Sheets – Current maturities of long-term debt (3.3% Senior Notes due 2027): 400.7</t>
        </r>
      </text>
    </comment>
    <comment ref="M56" authorId="0">
      <text>
        <r>
          <rPr>
            <sz val="10"/>
            <rFont val="Arial"/>
            <family val="2"/>
          </rPr>
          <t xml:space="preserve">Hand spread: Bio-Rad Form 10-Q, quarter ended 30-Jun-26, p.5 – Condensed Consolidated Balance Sheets – Long-term debt, net of current maturities (incl. finance leases/other debt 9.8, p.19): 803.0</t>
        </r>
      </text>
    </comment>
    <comment ref="M58" authorId="0">
      <text>
        <r>
          <rPr>
            <sz val="10"/>
            <rFont val="Arial"/>
            <family val="2"/>
          </rPr>
          <t xml:space="preserve">Hand spread: Bio-Rad Form 10-Q, quarter ended 30-Jun-26, p.19 – finance lease obligations (9.8) are already included within long-term debt in row 56; operating leases (US GAAP ASC 842) are not debt – consistent with pre-IFRS 16 basis.</t>
        </r>
      </text>
    </comment>
    <comment ref="M62" authorId="0">
      <text>
        <r>
          <rPr>
            <sz val="10"/>
            <rFont val="Arial"/>
            <family val="2"/>
          </rPr>
          <t xml:space="preserve">Hand spread: US GAAP reporter – no IFRS 16 lease liabilities to strip (operating lease liabilities excluded from debt).</t>
        </r>
      </text>
    </comment>
    <comment ref="M70" authorId="0">
      <text>
        <r>
          <rPr>
            <sz val="10"/>
            <rFont val="Arial"/>
            <family val="2"/>
          </rPr>
          <t xml:space="preserve">Hand spread: Bio-Rad Form 10-K FY25 (YE 31-Dec-25), p.80 (Note – Pension and Other Post-retirement Benefits) – Funded status of plans: (57.6) i.e. net deficit 57.6. Latest disclosure (10-Q does not update funded status).</t>
        </r>
      </text>
    </comment>
    <comment ref="M71" authorId="0">
      <text>
        <r>
          <rPr>
            <sz val="10"/>
            <rFont val="Arial"/>
            <family val="2"/>
          </rPr>
          <t xml:space="preserve">Statutory tax rate 21.00% for UNITED STATES, from the "Tax Rates" tab of the external LGC – WACC and Trading Comps_v2.xlsx (external link removed; cached value kept). Used only to tax-effect the pension deficit (row 72).</t>
        </r>
      </text>
    </comment>
    <comment ref="M74" authorId="0">
      <text>
        <r>
          <rPr>
            <sz val="10"/>
            <rFont val="Arial"/>
            <family val="2"/>
          </rPr>
          <t xml:space="preserve">Hand spread: Bio-Rad Form 10-Q, quarter ended 30-Jun-26, p.5 – no noncontrolling interest presented on Condensed Consolidated Balance Sheets.</t>
        </r>
      </text>
    </comment>
    <comment ref="M77" authorId="0">
      <text>
        <r>
          <rPr>
            <sz val="10"/>
            <rFont val="Arial"/>
            <family val="2"/>
          </rPr>
          <t xml:space="preserve">Hand spread: Bio-Rad Form 10-Q, quarter ended 30-Jun-26, p.5 – Preferred stock: 0 shares outstanding.</t>
        </r>
      </text>
    </comment>
    <comment ref="M81" authorId="0">
      <text>
        <r>
          <rPr>
            <sz val="10"/>
            <rFont val="Arial"/>
            <family val="2"/>
          </rPr>
          <t xml:space="preserve">Hand spread: Bio-Rad Form 10-Q, quarter ended 30-Jun-26, p.5 – Condensed Consolidated Balance Sheets – Total stockholders' equity: 7,173.9</t>
        </r>
      </text>
    </comment>
    <comment ref="M137" authorId="0">
      <text>
        <r>
          <rPr>
            <sz val="10"/>
            <rFont val="Arial"/>
            <family val="2"/>
          </rPr>
          <t xml:space="preserve">Hand spread: Bio-Rad Form 10-Q, quarter ended 30-Jun-26, cover page – Class A common stock outstanding at 30-Jul-26: 21,677,137 shares (FactSet basic count = Class A only).</t>
        </r>
      </text>
    </comment>
    <comment ref="M138" authorId="0">
      <text>
        <r>
          <rPr>
            <sz val="10"/>
            <rFont val="Arial"/>
            <family val="2"/>
          </rPr>
          <t xml:space="preserve">Hand spread: Bio-Rad Form 10-Q, quarter ended 30-Jun-26, cover page – Class B common stock outstanding at 30-Jul-26: 5,061,038 shares. Class B is convertible 1:1 into Class A and shares equally in economics – included in share count (FactSet omitted).</t>
        </r>
      </text>
    </comment>
    <comment ref="M152" authorId="0">
      <text>
        <r>
          <rPr>
            <sz val="10"/>
            <rFont val="Arial"/>
            <family val="2"/>
          </rPr>
          <t xml:space="preserve">Hand spread: Bio-Rad Form 10-K FY25 (YE 31-Dec-25), p.75 (Stock option plans) – options outstanding at 31-Dec-25: 116,005. Latest disclosure (not updated in Q2-26 10-Q).</t>
        </r>
      </text>
    </comment>
    <comment ref="M159" authorId="0">
      <text>
        <r>
          <rPr>
            <sz val="10"/>
            <rFont val="Arial"/>
            <family val="2"/>
          </rPr>
          <t xml:space="preserve">Hand spread: Bio-Rad Form 10-K FY25 (YE 31-Dec-25), p.76 (Restricted stock units) – RSUs outstanding at 31-Dec-25: 497,874 (latest disclosure).</t>
        </r>
      </text>
    </comment>
    <comment ref="M164" authorId="0">
      <text>
        <r>
          <rPr>
            <sz val="10"/>
            <rFont val="Arial"/>
            <family val="2"/>
          </rPr>
          <t xml:space="preserve">Hand spread: Bio-Rad Form 10-K FY25 (YE 31-Dec-25), p.75 – weighted-average exercise price of options outstanding: $328.51</t>
        </r>
      </text>
    </comment>
    <comment ref="M189" authorId="0">
      <text>
        <r>
          <rPr>
            <sz val="10"/>
            <rFont val="Arial"/>
            <family val="2"/>
          </rPr>
          <t xml:space="preserve">Hand spread: Bio-Rad Form 10-Q, quarter ended 30-Jun-26 – fiscal year ends 31 December.</t>
        </r>
      </text>
    </comment>
    <comment ref="M192" authorId="0">
      <text>
        <r>
          <rPr>
            <sz val="10"/>
            <rFont val="Arial"/>
            <family val="2"/>
          </rPr>
          <t xml:space="preserve">Kim, Justin G.:
Most companies will end their fiscal year in December; however companies like Takeda report Fiscal Year end on a different quarter - this requires you to recalendarize the line items so they are apples-to-apples with other companies ending their FY in December 31</t>
        </r>
      </text>
    </comment>
    <comment ref="M205" authorId="0">
      <text>
        <r>
          <rPr>
            <sz val="10"/>
            <rFont val="Arial"/>
            <family val="2"/>
          </rPr>
          <t xml:space="preserve">Hand spread: Bio-Rad Form 10-K FY25 (YE 31-Dec-25), FY2025 (2025-01-01 to 2025-12-31) – Revenue: Net sales 2,583.2 (p.42) =&gt; 2,583.2</t>
        </r>
      </text>
    </comment>
    <comment ref="M206" authorId="0">
      <text>
        <r>
          <rPr>
            <sz val="10"/>
            <rFont val="Arial"/>
            <family val="2"/>
          </rPr>
          <t xml:space="preserve">Hand spread: Bio-Rad Form 10-K FY25 (YE 31-Dec-25), FY2024 (2024-01-01 to 2024-12-31) – Revenue: Net sales 2,566.5 (p.42) =&gt; 2,566.5</t>
        </r>
      </text>
    </comment>
    <comment ref="M207" authorId="0">
      <text>
        <r>
          <rPr>
            <sz val="10"/>
            <rFont val="Arial"/>
            <family val="2"/>
          </rPr>
          <t xml:space="preserve">Hand spread: Bio-Rad Form 10-K FY25 (YE 31-Dec-25), FY2023 (2023-01-01 to 2023-12-31) – Revenue: Net sales 2,671.2 (p.42) =&gt; 2,671.2</t>
        </r>
      </text>
    </comment>
    <comment ref="M215" authorId="0">
      <text>
        <r>
          <rPr>
            <sz val="10"/>
            <rFont val="Arial"/>
            <family val="2"/>
          </rPr>
          <t xml:space="preserve">Hand spread: Bio-Rad Form 10-K FY25 (YE 31-Dec-25), FY2025 (2025-01-01 to 2025-12-31) – Gross profit: Gross profit 1,339.9 (p.42) =&gt; 1,339.9</t>
        </r>
      </text>
    </comment>
    <comment ref="M216" authorId="0">
      <text>
        <r>
          <rPr>
            <sz val="10"/>
            <rFont val="Arial"/>
            <family val="2"/>
          </rPr>
          <t xml:space="preserve">Hand spread: Bio-Rad Form 10-K FY25 (YE 31-Dec-25), FY2024 (2024-01-01 to 2024-12-31) – Gross profit: Gross profit 1,378.9 (p.42) =&gt; 1,378.9</t>
        </r>
      </text>
    </comment>
    <comment ref="M217" authorId="0">
      <text>
        <r>
          <rPr>
            <sz val="10"/>
            <rFont val="Arial"/>
            <family val="2"/>
          </rPr>
          <t xml:space="preserve">Hand spread: Bio-Rad Form 10-K FY25 (YE 31-Dec-25), FY2023 (2023-01-01 to 2023-12-31) – Gross profit: Gross profit 1,426.9 (p.42) =&gt; 1,426.9</t>
        </r>
      </text>
    </comment>
    <comment ref="M225" authorId="0">
      <text>
        <r>
          <rPr>
            <sz val="10"/>
            <rFont val="Arial"/>
            <family val="2"/>
          </rPr>
          <t xml:space="preserve">Hand spread: Bio-Rad Form 10-K FY25 (YE 31-Dec-25), FY2025 (2025-01-01 to 2025-12-31) – R&amp;D: Research and development expense 275.6 (p.42) =&gt; 275.6</t>
        </r>
      </text>
    </comment>
    <comment ref="M226" authorId="0">
      <text>
        <r>
          <rPr>
            <sz val="10"/>
            <rFont val="Arial"/>
            <family val="2"/>
          </rPr>
          <t xml:space="preserve">Hand spread: Bio-Rad Form 10-K FY25 (YE 31-Dec-25), FY2024 (2024-01-01 to 2024-12-31) – R&amp;D: Research and development expense 295.9 (p.42) =&gt; 295.9</t>
        </r>
      </text>
    </comment>
    <comment ref="M227" authorId="0">
      <text>
        <r>
          <rPr>
            <sz val="10"/>
            <rFont val="Arial"/>
            <family val="2"/>
          </rPr>
          <t xml:space="preserve">Hand spread: Bio-Rad Form 10-K FY25 (YE 31-Dec-25), FY2023 (2023-01-01 to 2023-12-31) – R&amp;D: Research and development expense 247.4 (p.42) =&gt; 247.4</t>
        </r>
      </text>
    </comment>
    <comment ref="M235" authorId="0">
      <text>
        <r>
          <rPr>
            <sz val="10"/>
            <rFont val="Arial"/>
            <family val="2"/>
          </rPr>
          <t xml:space="preserve">Hand spread: Bio-Rad Form 10-K FY25 (YE 31-Dec-25), FY2025 (2025-01-01 to 2025-12-31) – SG&amp;A: SG&amp;A expense 844.3 (p.42) =&gt; 844.3</t>
        </r>
      </text>
    </comment>
    <comment ref="M236" authorId="0">
      <text>
        <r>
          <rPr>
            <sz val="10"/>
            <rFont val="Arial"/>
            <family val="2"/>
          </rPr>
          <t xml:space="preserve">Hand spread: Bio-Rad Form 10-K FY25 (YE 31-Dec-25), FY2024 (2024-01-01 to 2024-12-31) – SG&amp;A: SG&amp;A expense 814.0 (p.42) =&gt; 814.0</t>
        </r>
      </text>
    </comment>
    <comment ref="M237" authorId="0">
      <text>
        <r>
          <rPr>
            <sz val="10"/>
            <rFont val="Arial"/>
            <family val="2"/>
          </rPr>
          <t xml:space="preserve">Hand spread: Bio-Rad Form 10-K FY25 (YE 31-Dec-25), FY2023 (2023-01-01 to 2023-12-31) – SG&amp;A: SG&amp;A expense 841.7 (p.42) =&gt; 841.7</t>
        </r>
      </text>
    </comment>
    <comment ref="M245" authorId="0">
      <text>
        <r>
          <rPr>
            <sz val="10"/>
            <rFont val="Arial"/>
            <family val="2"/>
          </rPr>
          <t xml:space="preserve">Hand spread: Bio-Rad Form 10-K FY25 (YE 31-Dec-25), FY2025 (2025-01-01 to 2025-12-31) – EBIT (operating income, as reported): Income from operations 47.2 (p.42) =&gt; 47.2</t>
        </r>
      </text>
    </comment>
    <comment ref="M246" authorId="0">
      <text>
        <r>
          <rPr>
            <sz val="10"/>
            <rFont val="Arial"/>
            <family val="2"/>
          </rPr>
          <t xml:space="preserve">Hand spread: Bio-Rad Form 10-K FY25 (YE 31-Dec-25), FY2024 (2024-01-01 to 2024-12-31) – EBIT (operating income, as reported): Income from operations 269.0 (p.42) =&gt; 269.0</t>
        </r>
      </text>
    </comment>
    <comment ref="M247" authorId="0">
      <text>
        <r>
          <rPr>
            <sz val="10"/>
            <rFont val="Arial"/>
            <family val="2"/>
          </rPr>
          <t xml:space="preserve">Hand spread: Bio-Rad Form 10-K FY25 (YE 31-Dec-25), FY2023 (2023-01-01 to 2023-12-31) – EBIT (operating income, as reported): Income from operations 337.8 (p.42) =&gt; 337.8</t>
        </r>
      </text>
    </comment>
    <comment ref="M265" authorId="0">
      <text>
        <r>
          <rPr>
            <sz val="10"/>
            <rFont val="Arial"/>
            <family val="2"/>
          </rPr>
          <t xml:space="preserve">Hand spread: Bio-Rad Form 10-K FY25 (YE 31-Dec-25), FY2025 – EBITDA = EBIT + D&amp;A + non-cash impairments [calc]: EBIT 47.2 + D&amp;A (cash flow reconciliation) 165.4 (p.78) + Impairment losses 172.8 (p.78) =&gt; 385.4</t>
        </r>
      </text>
    </comment>
    <comment ref="M266" authorId="0">
      <text>
        <r>
          <rPr>
            <sz val="10"/>
            <rFont val="Arial"/>
            <family val="2"/>
          </rPr>
          <t xml:space="preserve">Hand spread: Bio-Rad Form 10-K FY25 (YE 31-Dec-25), FY2024 – EBITDA = EBIT + D&amp;A + non-cash impairments [calc]: EBIT 269.0 + D&amp;A (cash flow reconciliation) 151.6 (p.78) + Impairment losses 0 (p.78) =&gt; 420.6</t>
        </r>
      </text>
    </comment>
    <comment ref="M267" authorId="0">
      <text>
        <r>
          <rPr>
            <sz val="10"/>
            <rFont val="Arial"/>
            <family val="2"/>
          </rPr>
          <t xml:space="preserve">Hand spread: Bio-Rad Form 10-K FY25 (YE 31-Dec-25), FY2023 – EBITDA = EBIT + D&amp;A + non-cash impairments [calc]: EBIT 337.8 + D&amp;A (cash flow reconciliation) 145.9 (p.78) + Impairment losses 0 (p.78) =&gt; 483.7</t>
        </r>
      </text>
    </comment>
    <comment ref="M285" authorId="0">
      <text>
        <r>
          <rPr>
            <sz val="10"/>
            <rFont val="Arial"/>
            <family val="2"/>
          </rPr>
          <t xml:space="preserve">Hand spread: Bio-Rad Form 10-K FY25 (YE 31-Dec-25), FY2025 (2025-01-01 to 2025-12-31) – Net income attributable to shareholders: Net income (loss) attributable to Bio-Rad 759.9 (p.42) =&gt; 759.9</t>
        </r>
      </text>
    </comment>
    <comment ref="M286" authorId="0">
      <text>
        <r>
          <rPr>
            <sz val="10"/>
            <rFont val="Arial"/>
            <family val="2"/>
          </rPr>
          <t xml:space="preserve">Hand spread: Bio-Rad Form 10-K FY25 (YE 31-Dec-25), FY2024 (2024-01-01 to 2024-12-31) – Net income attributable to shareholders: Net income (loss) attributable to Bio-Rad -1,844.2 (p.42) =&gt; -1,844.2</t>
        </r>
      </text>
    </comment>
    <comment ref="M287" authorId="0">
      <text>
        <r>
          <rPr>
            <sz val="10"/>
            <rFont val="Arial"/>
            <family val="2"/>
          </rPr>
          <t xml:space="preserve">Hand spread: Bio-Rad Form 10-K FY25 (YE 31-Dec-25), FY2023 (2023-01-01 to 2023-12-31) – Net income attributable to shareholders: Net income (loss) attributable to Bio-Rad -637.3 (p.42) =&gt; -637.3</t>
        </r>
      </text>
    </comment>
    <comment ref="M295" authorId="0">
      <text>
        <r>
          <rPr>
            <sz val="10"/>
            <rFont val="Arial"/>
            <family val="2"/>
          </rPr>
          <t xml:space="preserve">Hand spread: Bio-Rad Form 10-K FY25 (YE 31-Dec-25), FY2025 (2025-01-01 to 2025-12-31) – Diluted EPS: Diluted EPS 27.85 (p.42) =&gt; 27.85</t>
        </r>
      </text>
    </comment>
    <comment ref="M296" authorId="0">
      <text>
        <r>
          <rPr>
            <sz val="10"/>
            <rFont val="Arial"/>
            <family val="2"/>
          </rPr>
          <t xml:space="preserve">Hand spread: Bio-Rad Form 10-K FY25 (YE 31-Dec-25), FY2024 (2024-01-01 to 2024-12-31) – Diluted EPS: Diluted EPS -65.36 (p.42) =&gt; -65.36</t>
        </r>
      </text>
    </comment>
    <comment ref="M297" authorId="0">
      <text>
        <r>
          <rPr>
            <sz val="10"/>
            <rFont val="Arial"/>
            <family val="2"/>
          </rPr>
          <t xml:space="preserve">Hand spread: Bio-Rad Form 10-K FY25 (YE 31-Dec-25), FY2023 (2023-01-01 to 2023-12-31) – Diluted EPS: Diluted EPS -21.82 (p.42) =&gt; -21.82</t>
        </r>
      </text>
    </comment>
    <comment ref="M309" authorId="0">
      <text>
        <r>
          <rPr>
            <sz val="10"/>
            <rFont val="Arial"/>
            <family val="2"/>
          </rPr>
          <t xml:space="preserve">Hand spread: reporting currency of the financial statements = USD.</t>
        </r>
      </text>
    </comment>
    <comment ref="M313" authorId="0">
      <text>
        <r>
          <rPr>
            <sz val="10"/>
            <rFont val="Arial"/>
            <family val="2"/>
          </rPr>
          <t xml:space="preserve">Hand spread: ECB spot USD per USD at this column's pricing date (row 2) – FX tab.</t>
        </r>
      </text>
    </comment>
    <comment ref="M315" authorId="0">
      <text>
        <r>
          <rPr>
            <sz val="10"/>
            <rFont val="Arial"/>
            <family val="2"/>
          </rPr>
          <t xml:space="preserve">Hand spread: balance sheet date of the latest filing (Bio-Rad Form 10-Q, quarter ended 30-Jun-26).</t>
        </r>
      </text>
    </comment>
    <comment ref="M316" authorId="0">
      <text>
        <r>
          <rPr>
            <sz val="10"/>
            <rFont val="Arial"/>
            <family val="2"/>
          </rPr>
          <t xml:space="preserve">Hand spread: ECB spot USD per USD at the 30-Jun-26 balance sheet date – FX tab. (USD reporter: 1.0)</t>
        </r>
      </text>
    </comment>
    <comment ref="M327" authorId="0">
      <text>
        <r>
          <rPr>
            <sz val="10"/>
            <rFont val="Arial"/>
            <family val="2"/>
          </rPr>
          <t xml:space="preserve">Hand spread: US GAAP (ASC 842) reporter – operating lease cost is already within EBITDA and operating lease liabilities are not in reported debt; no IFRS 16 adjustment required.</t>
        </r>
      </text>
    </comment>
    <comment ref="M328" authorId="0">
      <text>
        <r>
          <rPr>
            <sz val="10"/>
            <rFont val="Arial"/>
            <family val="2"/>
          </rPr>
          <t xml:space="preserve">Hand spread: US GAAP (ASC 842) reporter – operating lease cost is already within EBITDA and operating lease liabilities are not in reported debt; no IFRS 16 adjustment required.</t>
        </r>
      </text>
    </comment>
    <comment ref="M339" authorId="0">
      <text>
        <r>
          <rPr>
            <sz val="10"/>
            <rFont val="Arial"/>
            <family val="2"/>
          </rPr>
          <t xml:space="preserve">Hand spread: Bio-Rad Form 10-K FY25 (YE 31-Dec-25), FY2025 (2025-01-01 to 2025-12-31) – CapEx: Capital expenditures 157.6 (p.44) =&gt; 157.6</t>
        </r>
      </text>
    </comment>
    <comment ref="M340" authorId="0">
      <text>
        <r>
          <rPr>
            <sz val="10"/>
            <rFont val="Arial"/>
            <family val="2"/>
          </rPr>
          <t xml:space="preserve">Hand spread: Bio-Rad Form 10-K FY25 (YE 31-Dec-25), FY2024 (2024-01-01 to 2024-12-31) – CapEx: Capital expenditures 165.6 (p.44) =&gt; 165.6</t>
        </r>
      </text>
    </comment>
    <comment ref="M341" authorId="0">
      <text>
        <r>
          <rPr>
            <sz val="10"/>
            <rFont val="Arial"/>
            <family val="2"/>
          </rPr>
          <t xml:space="preserve">Hand spread: Bio-Rad Form 10-K FY25 (YE 31-Dec-25), FY2023 (2023-01-01 to 2023-12-31) – CapEx: Capital expenditures 156.7 (p.44) =&gt; 156.7</t>
        </r>
      </text>
    </comment>
    <comment ref="N13" authorId="0">
      <text>
        <r>
          <rPr>
            <sz val="10"/>
            <rFont val="Arial"/>
            <family val="2"/>
          </rPr>
          <t xml:space="preserve">Latest filing used for the balance sheet / share data. See cell notes for every figure and the "Spread Notes" tab.</t>
        </r>
      </text>
    </comment>
    <comment ref="N43" authorId="0">
      <text>
        <r>
          <rPr>
            <sz val="10"/>
            <rFont val="Arial"/>
            <family val="2"/>
          </rPr>
          <t xml:space="preserve">Hand spread: Neogen Form 10-K FY26 (YE 31-May-26), p.45 – Consolidated Balance Sheets – Cash and cash equivalents: 185.5</t>
        </r>
      </text>
    </comment>
    <comment ref="N44" authorId="0">
      <text>
        <r>
          <rPr>
            <sz val="10"/>
            <rFont val="Arial"/>
            <family val="2"/>
          </rPr>
          <t xml:space="preserve">Hand spread: Neogen Form 10-K FY26 (YE 31-May-26), p.45 – no marketable securities on Consolidated Balance Sheets at 31-May-26.</t>
        </r>
      </text>
    </comment>
    <comment ref="N46" authorId="0">
      <text>
        <r>
          <rPr>
            <sz val="10"/>
            <rFont val="Arial"/>
            <family val="2"/>
          </rPr>
          <t xml:space="preserve">Hand spread: Neogen Form 10-K FY26 (YE 31-May-26) – balance sheet: no investments in associates / joint ventures (equity-accounted) shown.</t>
        </r>
      </text>
    </comment>
    <comment ref="N55" authorId="0">
      <text>
        <r>
          <rPr>
            <sz val="10"/>
            <rFont val="Arial"/>
            <family val="2"/>
          </rPr>
          <t xml:space="preserve">Hand spread: Neogen Form 10-K FY26 (YE 31-May-26), p.45 – Consolidated Balance Sheets – Current portion of long-term debt: 0</t>
        </r>
      </text>
    </comment>
    <comment ref="N56" authorId="0">
      <text>
        <r>
          <rPr>
            <sz val="10"/>
            <rFont val="Arial"/>
            <family val="2"/>
          </rPr>
          <t xml:space="preserve">Hand spread: Neogen Form 10-K FY26 (YE 31-May-26), p.45 – Consolidated Balance Sheets – Long-term debt (net of unamortized issuance costs; principal 800.0 per debt note p.65): 793.7</t>
        </r>
      </text>
    </comment>
    <comment ref="N58" authorId="0">
      <text>
        <r>
          <rPr>
            <sz val="10"/>
            <rFont val="Arial"/>
            <family val="2"/>
          </rPr>
          <t xml:space="preserve">Hand spread: Neogen Form 10-K FY26 (YE 31-May-26) – no finance lease debt identified; operating leases (ASC 842) not treated as debt – consistent with pre-IFRS 16 basis.</t>
        </r>
      </text>
    </comment>
    <comment ref="N62" authorId="0">
      <text>
        <r>
          <rPr>
            <sz val="10"/>
            <rFont val="Arial"/>
            <family val="2"/>
          </rPr>
          <t xml:space="preserve">Hand spread: US GAAP reporter – no IFRS 16 lease liabilities to strip (operating lease liabilities excluded from debt).</t>
        </r>
      </text>
    </comment>
    <comment ref="N70" authorId="0">
      <text>
        <r>
          <rPr>
            <sz val="10"/>
            <rFont val="Arial"/>
            <family val="2"/>
          </rPr>
          <t xml:space="preserve">Hand spread: Neogen Form 10-K FY26 (YE 31-May-26) – no material defined benefit pension plan funded status disclosed (no XBRL funded-status fact; FactSet also nil).</t>
        </r>
      </text>
    </comment>
    <comment ref="N71" authorId="0">
      <text>
        <r>
          <rPr>
            <sz val="10"/>
            <rFont val="Arial"/>
            <family val="2"/>
          </rPr>
          <t xml:space="preserve">Statutory tax rate 21.00% for UNITED STATES, from the "Tax Rates" tab of the external LGC – WACC and Trading Comps_v2.xlsx (external link removed; cached value kept). Used only to tax-effect the pension deficit (row 72).</t>
        </r>
      </text>
    </comment>
    <comment ref="N74" authorId="0">
      <text>
        <r>
          <rPr>
            <sz val="10"/>
            <rFont val="Arial"/>
            <family val="2"/>
          </rPr>
          <t xml:space="preserve">Hand spread: Neogen Form 10-K FY26 (YE 31-May-26), p.45 – no noncontrolling interest on Consolidated Balance Sheets.</t>
        </r>
      </text>
    </comment>
    <comment ref="N77" authorId="0">
      <text>
        <r>
          <rPr>
            <sz val="10"/>
            <rFont val="Arial"/>
            <family val="2"/>
          </rPr>
          <t xml:space="preserve">Hand spread: Neogen Form 10-K FY26 (YE 31-May-26), p.45 – Preferred stock authorized, none issued.</t>
        </r>
      </text>
    </comment>
    <comment ref="N81" authorId="0">
      <text>
        <r>
          <rPr>
            <sz val="10"/>
            <rFont val="Arial"/>
            <family val="2"/>
          </rPr>
          <t xml:space="preserve">Hand spread: Neogen Form 10-K FY26 (YE 31-May-26), p.45 – Consolidated Balance Sheets – Total stockholders' equity: 2,092.9</t>
        </r>
      </text>
    </comment>
    <comment ref="N137" authorId="0">
      <text>
        <r>
          <rPr>
            <sz val="10"/>
            <rFont val="Arial"/>
            <family val="2"/>
          </rPr>
          <t xml:space="preserve">Hand spread: Neogen Form 10-K FY26 (YE 31-May-26), cover page – common shares outstanding at 30-Jun-26: 218,056,016.</t>
        </r>
      </text>
    </comment>
    <comment ref="N152" authorId="0">
      <text>
        <r>
          <rPr>
            <sz val="10"/>
            <rFont val="Arial"/>
            <family val="2"/>
          </rPr>
          <t xml:space="preserve">Hand spread: Neogen Form 10-K FY26 (YE 31-May-26), p.66 (Share-based compensation) – stock options outstanding at 31-May-26: 7.7m</t>
        </r>
      </text>
    </comment>
    <comment ref="N159" authorId="0">
      <text>
        <r>
          <rPr>
            <sz val="10"/>
            <rFont val="Arial"/>
            <family val="2"/>
          </rPr>
          <t xml:space="preserve">Hand spread: Neogen Form 10-K FY26 (YE 31-May-26), p.67 – unvested RSUs at 31-May-26: 1.5m</t>
        </r>
      </text>
    </comment>
    <comment ref="N160" authorId="0">
      <text>
        <r>
          <rPr>
            <sz val="10"/>
            <rFont val="Arial"/>
            <family val="2"/>
          </rPr>
          <t xml:space="preserve">Hand spread: Neogen Form 10-K FY26 (YE 31-May-26), p.68 – unvested PSUs at 31-May-26: 0.9m</t>
        </r>
      </text>
    </comment>
    <comment ref="N164" authorId="0">
      <text>
        <r>
          <rPr>
            <sz val="10"/>
            <rFont val="Arial"/>
            <family val="2"/>
          </rPr>
          <t xml:space="preserve">Hand spread: Neogen Form 10-K FY26 (YE 31-May-26), p.66 – weighted-average exercise price of options outstanding: $10.05</t>
        </r>
      </text>
    </comment>
    <comment ref="N189" authorId="0">
      <text>
        <r>
          <rPr>
            <sz val="10"/>
            <rFont val="Arial"/>
            <family val="2"/>
          </rPr>
          <t xml:space="preserve">Hand spread: Neogen Form 10-K FY26 (YE 31-May-26) – fiscal year ends 31 May.</t>
        </r>
      </text>
    </comment>
    <comment ref="N192" authorId="0">
      <text>
        <r>
          <rPr>
            <sz val="10"/>
            <rFont val="Arial"/>
            <family val="2"/>
          </rPr>
          <t xml:space="preserve">Kim, Justin G.:
Most companies will end their fiscal year in December; however companies like Takeda report Fiscal Year end on a different quarter - this requires you to recalendarize the line items so they are apples-to-apples with other companies ending their FY in December 31</t>
        </r>
      </text>
    </comment>
    <comment ref="N205" authorId="0">
      <text>
        <r>
          <rPr>
            <sz val="10"/>
            <rFont val="Arial"/>
            <family val="2"/>
          </rPr>
          <t xml:space="preserve">Hand spread: Revenue CY2025 (Neogen FY ends 31-May; calendarised to Dec YE by month-weighting, consistent with FactSet CALA basis) [calc]: 0.4167 x FY25 (894.7) + 0.5833 x FY26 (870.4) = 880.5. Sources – FY25: Neogen Form 10-K FY26 (YE 31-May-26) [2024-06-01 to 2025-05-31]: Revenues 894.7 (p.46) || FY26: Neogen Form 10-K FY26 (YE 31-May-26) [2025-06-01 to 2026-05-31]: Revenues 870.4 (p.46)</t>
        </r>
      </text>
    </comment>
    <comment ref="N206" authorId="0">
      <text>
        <r>
          <rPr>
            <sz val="10"/>
            <rFont val="Arial"/>
            <family val="2"/>
          </rPr>
          <t xml:space="preserve">Hand spread: Revenue CY2024 (Neogen FY ends 31-May; calendarised to Dec YE by month-weighting, consistent with FactSet CALA basis) [calc]: 0.4167 x FY24 (924.2) + 0.5833 x FY25 (894.7) = 907.0. Sources – FY24: Neogen Form 10-K FY26 (YE 31-May-26) [2023-06-01 to 2024-05-31]: Revenues 924.2 (p.46) || FY25: Neogen Form 10-K FY26 (YE 31-May-26) [2024-06-01 to 2025-05-31]: Revenues 894.7 (p.46)</t>
        </r>
      </text>
    </comment>
    <comment ref="N207" authorId="0">
      <text>
        <r>
          <rPr>
            <sz val="10"/>
            <rFont val="Arial"/>
            <family val="2"/>
          </rPr>
          <t xml:space="preserve">Hand spread: Revenue CY2023 (Neogen FY ends 31-May; calendarised to Dec YE by month-weighting, consistent with FactSet CALA basis) [calc]: 0.4167 x FY23 (822.4) + 0.5833 x FY24 (924.2) = 881.8. Sources – FY23: Neogen Form 10-K FY24 (YE 31-May-24) [2022-06-01 to 2023-05-31]: Revenues 822.4 (p.F-5) || FY24: Neogen Form 10-K FY26 (YE 31-May-26) [2023-06-01 to 2024-05-31]: Revenues 924.2 (p.46)</t>
        </r>
      </text>
    </comment>
    <comment ref="N215" authorId="0">
      <text>
        <r>
          <rPr>
            <sz val="10"/>
            <rFont val="Arial"/>
            <family val="2"/>
          </rPr>
          <t xml:space="preserve">Hand spread: Gross profit CY2025 (Neogen FY ends 31-May; calendarised to Dec YE by month-weighting, consistent with FactSet CALA basis) [calc]: 0.4167 x FY25 (421.4) + 0.5833 x FY26 (408.5) = 413.9. Sources – FY25: Neogen Form 10-K FY26 (YE 31-May-26) [2024-06-01 to 2025-05-31]: Gross margin 421.4 (p.46) || FY26: Neogen Form 10-K FY26 (YE 31-May-26) [2025-06-01 to 2026-05-31]: Gross margin 408.5 (p.46)</t>
        </r>
      </text>
    </comment>
    <comment ref="N216" authorId="0">
      <text>
        <r>
          <rPr>
            <sz val="10"/>
            <rFont val="Arial"/>
            <family val="2"/>
          </rPr>
          <t xml:space="preserve">Hand spread: Gross profit CY2024 (Neogen FY ends 31-May; calendarised to Dec YE by month-weighting, consistent with FactSet CALA basis) [calc]: 0.4167 x FY24 (463.9) + 0.5833 x FY25 (421.4) = 439.1. Sources – FY24: Neogen Form 10-K FY26 (YE 31-May-26) [2023-06-01 to 2024-05-31]: Gross margin 463.9 (p.46) || FY25: Neogen Form 10-K FY26 (YE 31-May-26) [2024-06-01 to 2025-05-31]: Gross margin 421.4 (p.46)</t>
        </r>
      </text>
    </comment>
    <comment ref="N217" authorId="0">
      <text>
        <r>
          <rPr>
            <sz val="10"/>
            <rFont val="Arial"/>
            <family val="2"/>
          </rPr>
          <t xml:space="preserve">Hand spread: Gross profit CY2023 (Neogen FY ends 31-May; calendarised to Dec YE by month-weighting, consistent with FactSet CALA basis) [calc]: 0.4167 x FY23 (406.0) + 0.5833 x FY24 (463.9) = 439.8. Sources – FY23: Neogen Form 10-K FY24 (YE 31-May-24) [2022-06-01 to 2023-05-31]: Gross margin 406.0 (p.F-5) || FY24: Neogen Form 10-K FY26 (YE 31-May-26) [2023-06-01 to 2024-05-31]: Gross margin 463.9 (p.46)</t>
        </r>
      </text>
    </comment>
    <comment ref="N225" authorId="0">
      <text>
        <r>
          <rPr>
            <sz val="10"/>
            <rFont val="Arial"/>
            <family val="2"/>
          </rPr>
          <t xml:space="preserve">Hand spread: R&amp;D CY2025 (Neogen FY ends 31-May; calendarised to Dec YE by month-weighting, consistent with FactSet CALA basis) [calc]: 0.4167 x FY25 (21.1) + 0.5833 x FY26 (18.4) = 19.525. Sources – FY25: Neogen Form 10-K FY26 (YE 31-May-26) [2024-06-01 to 2025-05-31]: R&amp;D expenses 21.1 (p.46) || FY26: Neogen Form 10-K FY26 (YE 31-May-26) [2025-06-01 to 2026-05-31]: R&amp;D expenses 18.4 (p.46)</t>
        </r>
      </text>
    </comment>
    <comment ref="N226" authorId="0">
      <text>
        <r>
          <rPr>
            <sz val="10"/>
            <rFont val="Arial"/>
            <family val="2"/>
          </rPr>
          <t xml:space="preserve">Hand spread: R&amp;D CY2024 (Neogen FY ends 31-May; calendarised to Dec YE by month-weighting, consistent with FactSet CALA basis) [calc]: 0.4167 x FY24 (22.5) + 0.5833 x FY25 (21.1) = 21.683. Sources – FY24: Neogen Form 10-K FY26 (YE 31-May-26) [2023-06-01 to 2024-05-31]: R&amp;D expenses 22.5 (p.46) || FY25: Neogen Form 10-K FY26 (YE 31-May-26) [2024-06-01 to 2025-05-31]: R&amp;D expenses 21.1 (p.46)</t>
        </r>
      </text>
    </comment>
    <comment ref="N227" authorId="0">
      <text>
        <r>
          <rPr>
            <sz val="10"/>
            <rFont val="Arial"/>
            <family val="2"/>
          </rPr>
          <t xml:space="preserve">Hand spread: R&amp;D CY2023 (Neogen FY ends 31-May; calendarised to Dec YE by month-weighting, consistent with FactSet CALA basis) [calc]: 0.4167 x FY23 (26.039) + 0.5833 x FY24 (22.5) = 23.975. Sources – FY23: Neogen Form 10-K FY24 (YE 31-May-24) [2022-06-01 to 2023-05-31]: R&amp;D expenses 26.039 (p.F-5) || FY24: Neogen Form 10-K FY26 (YE 31-May-26) [2023-06-01 to 2024-05-31]: R&amp;D expenses 22.5 (p.46)</t>
        </r>
      </text>
    </comment>
    <comment ref="N235" authorId="0">
      <text>
        <r>
          <rPr>
            <sz val="10"/>
            <rFont val="Arial"/>
            <family val="2"/>
          </rPr>
          <t xml:space="preserve">Hand spread: SG&amp;A CY2025 (Neogen FY ends 31-May; calendarised to Dec YE by month-weighting, consistent with FactSet CALA basis) [calc]: 0.4167 x FY25 (402.0) + 0.5833 x FY26 (411.7) = 407.7. Sources – FY25: Neogen Form 10-K FY26 (YE 31-May-26) [2024-06-01 to 2025-05-31]: Sales &amp; marketing 183.8 (p.46) ; General &amp; administrative 218.2 (p.46) =&gt; 402.0 || FY26: Neogen Form 10-K FY26 (YE 31-May-26) [2025-06-01 to 2026-05-31]: Sales &amp; marketing 166.6 (p.46) ; General &amp; administrative 245.1 (p.46) =&gt; 411.7</t>
        </r>
      </text>
    </comment>
    <comment ref="N236" authorId="0">
      <text>
        <r>
          <rPr>
            <sz val="10"/>
            <rFont val="Arial"/>
            <family val="2"/>
          </rPr>
          <t xml:space="preserve">Hand spread: SG&amp;A CY2024 (Neogen FY ends 31-May; calendarised to Dec YE by month-weighting, consistent with FactSet CALA basis) [calc]: 0.4167 x FY24 (382.8) + 0.5833 x FY25 (402.0) = 394.0. Sources – FY24: Neogen Form 10-K FY26 (YE 31-May-26) [2023-06-01 to 2024-05-31]: Sales &amp; marketing 182.9 (p.46) ; General &amp; administrative 199.9 (p.46) =&gt; 382.8 || FY25: Neogen Form 10-K FY26 (YE 31-May-26) [2024-06-01 to 2025-05-31]: Sales &amp; marketing 183.8 (p.46) ; General &amp; administrative 218.2 (p.46) =&gt; 402.0</t>
        </r>
      </text>
    </comment>
    <comment ref="N237" authorId="0">
      <text>
        <r>
          <rPr>
            <sz val="10"/>
            <rFont val="Arial"/>
            <family val="2"/>
          </rPr>
          <t xml:space="preserve">Hand spread: SG&amp;A CY2023 (Neogen FY ends 31-May; calendarised to Dec YE by month-weighting, consistent with FactSet CALA basis) [calc]: 0.4167 x FY23 (342.4) + 0.5833 x FY24 (382.8) = 366.0. Sources – FY23: Neogen Form 10-K FY24 (YE 31-May-24) [2022-06-01 to 2023-05-31]: Sales &amp; marketing 141.2 (p.F-5) ; General &amp; administrative 201.2 (p.F-5) =&gt; 342.4 || FY24: Neogen Form 10-K FY26 (YE 31-May-26) [2023-06-01 to 2024-05-31]: Sales &amp; marketing 182.9 (p.46) ; General &amp; administrative 199.9 (p.46) =&gt; 382.8</t>
        </r>
      </text>
    </comment>
    <comment ref="N245" authorId="0">
      <text>
        <r>
          <rPr>
            <sz val="10"/>
            <rFont val="Arial"/>
            <family val="2"/>
          </rPr>
          <t xml:space="preserve">Hand spread: EBIT (operating income, as reported) CY2025 (Neogen FY ends 31-May; calendarised to Dec YE by month-weighting, consistent with FactSet CALA basis) [calc]: 0.4167 x FY25 (-1,061.0) + 0.5833 x FY26 (-21.6) = -454.7. Sources – FY25: Neogen Form 10-K FY26 (YE 31-May-26) [2024-06-01 to 2025-05-31]: Operating income (loss) -1,061.0 (p.46) || FY26: Neogen Form 10-K FY26 (YE 31-May-26) [2025-06-01 to 2026-05-31]: Operating income (loss) -21.6 (p.46)</t>
        </r>
      </text>
    </comment>
    <comment ref="N246" authorId="0">
      <text>
        <r>
          <rPr>
            <sz val="10"/>
            <rFont val="Arial"/>
            <family val="2"/>
          </rPr>
          <t xml:space="preserve">Hand spread: EBIT (operating income, as reported) CY2024 (Neogen FY ends 31-May; calendarised to Dec YE by month-weighting, consistent with FactSet CALA basis) [calc]: 0.4167 x FY24 (58.6) + 0.5833 x FY25 (-1,061.0) = -594.5. Sources – FY24: Neogen Form 10-K FY26 (YE 31-May-26) [2023-06-01 to 2024-05-31]: Operating income (loss) 58.6 (p.46) || FY25: Neogen Form 10-K FY26 (YE 31-May-26) [2024-06-01 to 2025-05-31]: Operating income (loss) -1,061.0 (p.46)</t>
        </r>
      </text>
    </comment>
    <comment ref="N247" authorId="0">
      <text>
        <r>
          <rPr>
            <sz val="10"/>
            <rFont val="Arial"/>
            <family val="2"/>
          </rPr>
          <t xml:space="preserve">Hand spread: EBIT (operating income, as reported) CY2023 (Neogen FY ends 31-May; calendarised to Dec YE by month-weighting, consistent with FactSet CALA basis) [calc]: 0.4167 x FY23 (37.515) + 0.5833 x FY24 (58.6) = 49.815. Sources – FY23: Neogen Form 10-K FY24 (YE 31-May-24) [2022-06-01 to 2023-05-31]: Operating income (loss) 37.515 (p.F-5) || FY24: Neogen Form 10-K FY26 (YE 31-May-26) [2023-06-01 to 2024-05-31]: Operating income (loss) 58.6 (p.46)</t>
        </r>
      </text>
    </comment>
    <comment ref="N265" authorId="0">
      <text>
        <r>
          <rPr>
            <sz val="10"/>
            <rFont val="Arial"/>
            <family val="2"/>
          </rPr>
          <t xml:space="preserve">Hand spread: EBITDA CY2025 (Neogen FY ends 31-May; calendarised to Dec YE by month-weighting, consistent with FactSet CALA basis) [calc]: 0.4167 x FY25 (127.2) + 0.5833 x FY26 (94.7) = 108.2. Sources – FY25: Neogen Form 10-K FY26 (YE 31-May-26) [2024-06-01 to 2025-05-31]: EBITDA = EBIT -1,061.0 + Depreciation &amp; amortization (cash flow) 119.5 (p.49) + Impairment (cash flow) 1,068.7 (p.49) =&gt; 127.2 || FY26: Neogen Form 10-K FY26 (YE 31-May-26) [2025-06-01 to 2026-05-31]: EBITDA = EBIT -21.6 + Depreciation &amp; amortization (cash flow) 116.3 (p.49) + Impairment (cash flow) 0 (p.49) =&gt; 94.7 | EBITDA defined as EBIT + D&amp;A + non-cash impairments.</t>
        </r>
      </text>
    </comment>
    <comment ref="N266" authorId="0">
      <text>
        <r>
          <rPr>
            <sz val="10"/>
            <rFont val="Arial"/>
            <family val="2"/>
          </rPr>
          <t xml:space="preserve">Hand spread: EBITDA CY2024 (Neogen FY ends 31-May; calendarised to Dec YE by month-weighting, consistent with FactSet CALA basis) [calc]: 0.4167 x FY24 (175.9) + 0.5833 x FY25 (127.2) = 147.5. Sources – FY24: Neogen Form 10-K FY26 (YE 31-May-26) [2023-06-01 to 2024-05-31]: EBITDA = EBIT 58.6 + Depreciation &amp; amortization (cash flow) 116.7 (p.49) + Impairment (cash flow) 0.6 (p.49) =&gt; 175.9 || FY25: Neogen Form 10-K FY26 (YE 31-May-26) [2024-06-01 to 2025-05-31]: EBITDA = EBIT -1,061.0 + Depreciation &amp; amortization (cash flow) 119.5 (p.49) + Impairment (cash flow) 1,068.7 (p.49) =&gt; 127.2 | EBITDA defined as EBIT + D&amp;A + non-cash impairments.</t>
        </r>
      </text>
    </comment>
    <comment ref="N267" authorId="0">
      <text>
        <r>
          <rPr>
            <sz val="10"/>
            <rFont val="Arial"/>
            <family val="2"/>
          </rPr>
          <t xml:space="preserve">Hand spread: EBITDA CY2023 (Neogen FY ends 31-May; calendarised to Dec YE by month-weighting, consistent with FactSet CALA basis) [calc]: 0.4167 x FY23 (129.0) + 0.5833 x FY24 (175.9) = 156.4. Sources – FY23: Neogen Form 10-K FY24 (YE 31-May-24) [2022-06-01 to 2023-05-31]: EBITDA = EBIT 37.515 + Depreciation &amp; amortization (cash flow) 88.377 (p.F-8) + Impairment/write-down (cash flow) 3.109 (p.F-8) =&gt; 129.0 || FY24: Neogen Form 10-K FY26 (YE 31-May-26) [2023-06-01 to 2024-05-31]: EBITDA = EBIT 58.6 + Depreciation &amp; amortization (cash flow) 116.7 (p.49) + Impairment (cash flow) 0.6 (p.49) =&gt; 175.9 | EBITDA defined as EBIT + D&amp;A + non-cash impairments.</t>
        </r>
      </text>
    </comment>
    <comment ref="N285" authorId="0">
      <text>
        <r>
          <rPr>
            <sz val="10"/>
            <rFont val="Arial"/>
            <family val="2"/>
          </rPr>
          <t xml:space="preserve">Hand spread: Net income attributable to shareholders CY2025 (Neogen FY ends 31-May; calendarised to Dec YE by month-weighting, consistent with FactSet CALA basis) [calc]: 0.4167 x FY25 (-1,092.0) + 0.5833 x FY26 (-7.9) = -459.6. Sources – FY25: Neogen Form 10-K FY26 (YE 31-May-26) [2024-06-01 to 2025-05-31]: Net income (loss) -1,092.0 (p.46) || FY26: Neogen Form 10-K FY26 (YE 31-May-26) [2025-06-01 to 2026-05-31]: Net income (loss) -7.9 (p.46)</t>
        </r>
      </text>
    </comment>
    <comment ref="N286" authorId="0">
      <text>
        <r>
          <rPr>
            <sz val="10"/>
            <rFont val="Arial"/>
            <family val="2"/>
          </rPr>
          <t xml:space="preserve">Hand spread: Net income attributable to shareholders CY2024 (Neogen FY ends 31-May; calendarised to Dec YE by month-weighting, consistent with FactSet CALA basis) [calc]: 0.4167 x FY24 (-9.4) + 0.5833 x FY25 (-1,092.0) = -640.9. Sources – FY24: Neogen Form 10-K FY26 (YE 31-May-26) [2023-06-01 to 2024-05-31]: Net income (loss) -9.4 (p.46) || FY25: Neogen Form 10-K FY26 (YE 31-May-26) [2024-06-01 to 2025-05-31]: Net income (loss) -1,092.0 (p.46)</t>
        </r>
      </text>
    </comment>
    <comment ref="N287" authorId="0">
      <text>
        <r>
          <rPr>
            <sz val="10"/>
            <rFont val="Arial"/>
            <family val="2"/>
          </rPr>
          <t xml:space="preserve">Hand spread: Net income attributable to shareholders CY2023 (Neogen FY ends 31-May; calendarised to Dec YE by month-weighting, consistent with FactSet CALA basis) [calc]: 0.4167 x FY23 (-22.87) + 0.5833 x FY24 (-9.4) = -15.013. Sources – FY23: Neogen Form 10-K FY24 (YE 31-May-24) [2022-06-01 to 2023-05-31]: Net income (loss) -22.87 (p.F-5) || FY24: Neogen Form 10-K FY26 (YE 31-May-26) [2023-06-01 to 2024-05-31]: Net income (loss) -9.4 (p.46)</t>
        </r>
      </text>
    </comment>
    <comment ref="N295" authorId="0">
      <text>
        <r>
          <rPr>
            <sz val="10"/>
            <rFont val="Arial"/>
            <family val="2"/>
          </rPr>
          <t xml:space="preserve">Hand spread: Diluted EPS CY2025 (Neogen FY ends 31-May; calendarised to Dec YE by month-weighting, consistent with FactSet CALA basis) [calc]: 0.4167 x FY25 (-5.03) + 0.5833 x FY26 (-0.04) = -2.119. Sources – FY25: Neogen Form 10-K FY26 (YE 31-May-26) [2024-06-01 to 2025-05-31]: Diluted EPS -5.03 (p.46) || FY26: Neogen Form 10-K FY26 (YE 31-May-26) [2025-06-01 to 2026-05-31]: Diluted EPS -0.04 (p.46)</t>
        </r>
      </text>
    </comment>
    <comment ref="N296" authorId="0">
      <text>
        <r>
          <rPr>
            <sz val="10"/>
            <rFont val="Arial"/>
            <family val="2"/>
          </rPr>
          <t xml:space="preserve">Hand spread: Diluted EPS CY2024 (Neogen FY ends 31-May; calendarised to Dec YE by month-weighting, consistent with FactSet CALA basis) [calc]: 0.4167 x FY24 (-0.04) + 0.5833 x FY25 (-5.03) = -2.951. Sources – FY24: Neogen Form 10-K FY26 (YE 31-May-26) [2023-06-01 to 2024-05-31]: Diluted EPS -0.04 (p.46) || FY25: Neogen Form 10-K FY26 (YE 31-May-26) [2024-06-01 to 2025-05-31]: Diluted EPS -5.03 (p.46)</t>
        </r>
      </text>
    </comment>
    <comment ref="N297" authorId="0">
      <text>
        <r>
          <rPr>
            <sz val="10"/>
            <rFont val="Arial"/>
            <family val="2"/>
          </rPr>
          <t xml:space="preserve">Hand spread: Diluted EPS CY2023 (Neogen FY ends 31-May; calendarised to Dec YE by month-weighting, consistent with FactSet CALA basis) [calc]: 0.4167 x FY23 (-0.12) + 0.5833 x FY24 (-0.04) = -0.073. Sources – FY23: Neogen Form 10-K FY24 (YE 31-May-24) [2022-06-01 to 2023-05-31]: Diluted EPS -0.12 (p.F-5) || FY24: Neogen Form 10-K FY26 (YE 31-May-26) [2023-06-01 to 2024-05-31]: Diluted EPS -0.04 (p.46)</t>
        </r>
      </text>
    </comment>
    <comment ref="N309" authorId="0">
      <text>
        <r>
          <rPr>
            <sz val="10"/>
            <rFont val="Arial"/>
            <family val="2"/>
          </rPr>
          <t xml:space="preserve">Hand spread: reporting currency of the financial statements = USD.</t>
        </r>
      </text>
    </comment>
    <comment ref="N313" authorId="0">
      <text>
        <r>
          <rPr>
            <sz val="10"/>
            <rFont val="Arial"/>
            <family val="2"/>
          </rPr>
          <t xml:space="preserve">Hand spread: ECB spot USD per USD at this column's pricing date (row 2) – FX tab.</t>
        </r>
      </text>
    </comment>
    <comment ref="N315" authorId="0">
      <text>
        <r>
          <rPr>
            <sz val="10"/>
            <rFont val="Arial"/>
            <family val="2"/>
          </rPr>
          <t xml:space="preserve">Hand spread: balance sheet date of the latest filing (Neogen Form 10-K FY26 (YE 31-May-26)).</t>
        </r>
      </text>
    </comment>
    <comment ref="N316" authorId="0">
      <text>
        <r>
          <rPr>
            <sz val="10"/>
            <rFont val="Arial"/>
            <family val="2"/>
          </rPr>
          <t xml:space="preserve">Hand spread: ECB spot USD per USD at the 30-Jun-26 balance sheet date – FX tab. (USD reporter: 1.0)</t>
        </r>
      </text>
    </comment>
    <comment ref="N327" authorId="0">
      <text>
        <r>
          <rPr>
            <sz val="10"/>
            <rFont val="Arial"/>
            <family val="2"/>
          </rPr>
          <t xml:space="preserve">Hand spread: US GAAP (ASC 842) reporter – operating lease cost is already within EBITDA and operating lease liabilities are not in reported debt; no IFRS 16 adjustment required.</t>
        </r>
      </text>
    </comment>
    <comment ref="N328" authorId="0">
      <text>
        <r>
          <rPr>
            <sz val="10"/>
            <rFont val="Arial"/>
            <family val="2"/>
          </rPr>
          <t xml:space="preserve">Hand spread: US GAAP (ASC 842) reporter – operating lease cost is already within EBITDA and operating lease liabilities are not in reported debt; no IFRS 16 adjustment required.</t>
        </r>
      </text>
    </comment>
    <comment ref="N339" authorId="0">
      <text>
        <r>
          <rPr>
            <sz val="10"/>
            <rFont val="Arial"/>
            <family val="2"/>
          </rPr>
          <t xml:space="preserve">Hand spread: CapEx CY2025 (Neogen FY ends 31-May; calendarised to Dec YE by month-weighting, consistent with FactSet CALA basis) [calc]: 0.4167 x FY25 (104.6) + 0.5833 x FY26 (51.3) = 73.508. Sources – FY25: Neogen Form 10-K FY26 (YE 31-May-26) [2024-06-01 to 2025-05-31]: Purchases of property, equipment and other non-current intangible assets 104.6 (p.49) || FY26: Neogen Form 10-K FY26 (YE 31-May-26) [2025-06-01 to 2026-05-31]: Purchases of property, equipment and other non-current intangible assets 51.3 (p.49)</t>
        </r>
      </text>
    </comment>
    <comment ref="N340" authorId="0">
      <text>
        <r>
          <rPr>
            <sz val="10"/>
            <rFont val="Arial"/>
            <family val="2"/>
          </rPr>
          <t xml:space="preserve">Hand spread: CapEx CY2024 (Neogen FY ends 31-May; calendarised to Dec YE by month-weighting, consistent with FactSet CALA basis) [calc]: 0.4167 x FY24 (111.4) + 0.5833 x FY25 (104.6) = 107.4. Sources – FY24: Neogen Form 10-K FY26 (YE 31-May-26) [2023-06-01 to 2024-05-31]: Purchases of property, equipment and other non-current intangible assets 111.4 (p.49) || FY25: Neogen Form 10-K FY26 (YE 31-May-26) [2024-06-01 to 2025-05-31]: Purchases of property, equipment and other non-current intangible assets 104.6 (p.49)</t>
        </r>
      </text>
    </comment>
    <comment ref="N341" authorId="0">
      <text>
        <r>
          <rPr>
            <sz val="10"/>
            <rFont val="Arial"/>
            <family val="2"/>
          </rPr>
          <t xml:space="preserve">Hand spread: CapEx CY2023 (Neogen FY ends 31-May; calendarised to Dec YE by month-weighting, consistent with FactSet CALA basis) [calc]: 0.4167 x FY23 (65.757) + 0.5833 x FY24 (111.4) = 92.382. Sources – FY23: Neogen Form 10-K FY24 (YE 31-May-24) [2022-06-01 to 2023-05-31]: Purchases of property, equipment and other non-current intangible assets 65.757 (p.F-8) || FY24: Neogen Form 10-K FY26 (YE 31-May-26) [2023-06-01 to 2024-05-31]: Purchases of property, equipment and other non-current intangible assets 111.4 (p.49)</t>
        </r>
      </text>
    </comment>
    <comment ref="O13" authorId="0">
      <text>
        <r>
          <rPr>
            <sz val="10"/>
            <rFont val="Arial"/>
            <family val="2"/>
          </rPr>
          <t xml:space="preserve">Latest filing used for the balance sheet / share data. See cell notes for every figure and the "Spread Notes" tab.</t>
        </r>
      </text>
    </comment>
    <comment ref="O43" authorId="0">
      <text>
        <r>
          <rPr>
            <sz val="10"/>
            <rFont val="Arial"/>
            <family val="2"/>
          </rPr>
          <t xml:space="preserve">Hand spread: Maravai Form 10-Q, quarter ended 30-Jun-26, p.5 – Condensed Consolidated Balance Sheets – Cash and cash equivalents: 70.091</t>
        </r>
      </text>
    </comment>
    <comment ref="O44" authorId="0">
      <text>
        <r>
          <rPr>
            <sz val="10"/>
            <rFont val="Arial"/>
            <family val="2"/>
          </rPr>
          <t xml:space="preserve">Hand spread: Maravai Form 10-Q, quarter ended 30-Jun-26, p.5 – no short-term investments on balance sheet.</t>
        </r>
      </text>
    </comment>
    <comment ref="O46" authorId="0">
      <text>
        <r>
          <rPr>
            <sz val="10"/>
            <rFont val="Arial"/>
            <family val="2"/>
          </rPr>
          <t xml:space="preserve">Hand spread: Maravai Form 10-Q, quarter ended 30-Jun-26 – balance sheet: no investments in associates / joint ventures (equity-accounted) shown.</t>
        </r>
      </text>
    </comment>
    <comment ref="O55" authorId="0">
      <text>
        <r>
          <rPr>
            <sz val="10"/>
            <rFont val="Arial"/>
            <family val="2"/>
          </rPr>
          <t xml:space="preserve">Hand spread: Maravai Form 10-Q, quarter ended 30-Jun-26, p.5 – Condensed Consolidated Balance Sheets – Current portion of long-term debt: 1.125</t>
        </r>
      </text>
    </comment>
    <comment ref="O56" authorId="0">
      <text>
        <r>
          <rPr>
            <sz val="10"/>
            <rFont val="Arial"/>
            <family val="2"/>
          </rPr>
          <t xml:space="preserve">Hand spread: Maravai Form 10-Q, quarter ended 30-Jun-26, p.5 – Condensed Consolidated Balance Sheets – Long-term debt, less current portion (2026 Credit Agreement; principal 150.0, p.20): 146.0</t>
        </r>
      </text>
    </comment>
    <comment ref="O58" authorId="0">
      <text>
        <r>
          <rPr>
            <sz val="10"/>
            <rFont val="Arial"/>
            <family val="2"/>
          </rPr>
          <t xml:space="preserve">Hand spread: Maravai Form 10-Q, quarter ended 30-Jun-26, p.5 – Condensed Consolidated Balance Sheets – Finance lease liabilities, less current portion (finance leases are debt under both US GAAP and pre-IFRS 16; current portion sits in accrued liabilities and is not separately disclosed in the 10-Q – c.1.0 at 31-Dec-25 per 10-K p.102): 29.591</t>
        </r>
      </text>
    </comment>
    <comment ref="O62" authorId="0">
      <text>
        <r>
          <rPr>
            <sz val="10"/>
            <rFont val="Arial"/>
            <family val="2"/>
          </rPr>
          <t xml:space="preserve">Hand spread: US GAAP reporter – no IFRS 16 lease liabilities to strip (operating lease liabilities excluded from debt).</t>
        </r>
      </text>
    </comment>
    <comment ref="O70" authorId="0">
      <text>
        <r>
          <rPr>
            <sz val="10"/>
            <rFont val="Arial"/>
            <family val="2"/>
          </rPr>
          <t xml:space="preserve">Hand spread: Maravai Form 10-Q, quarter ended 30-Jun-26 – no defined benefit pension plans.</t>
        </r>
      </text>
    </comment>
    <comment ref="O71" authorId="0">
      <text>
        <r>
          <rPr>
            <sz val="10"/>
            <rFont val="Arial"/>
            <family val="2"/>
          </rPr>
          <t xml:space="preserve">Statutory tax rate 21.00% for UNITED STATES, from the "Tax Rates" tab of the external LGC – WACC and Trading Comps_v2.xlsx (external link removed; cached value kept). Used only to tax-effect the pension deficit (row 72).</t>
        </r>
      </text>
    </comment>
    <comment ref="O74" authorId="0">
      <text>
        <r>
          <rPr>
            <sz val="10"/>
            <rFont val="Arial"/>
            <family val="2"/>
          </rPr>
          <t xml:space="preserve">Hand spread: Maravai Form 10-Q, quarter ended 30-Jun-26, p.5 – Noncontrolling interest of 151.0 (Class B / LLC units held by Maravai Life Sciences Holdings, LLC members) EXCLUDED from EV because the 110,684,080 Class B shares (exchangeable 1:1 into Class A with paired LLC units) are included in the share count (row 138). FactSet instead counted Class A only and added NCI at book value.</t>
        </r>
      </text>
    </comment>
    <comment ref="O77" authorId="0">
      <text>
        <r>
          <rPr>
            <sz val="10"/>
            <rFont val="Arial"/>
            <family val="2"/>
          </rPr>
          <t xml:space="preserve">Hand spread: Maravai Form 10-Q, quarter ended 30-Jun-26, p.5 – no preferred stock outstanding.</t>
        </r>
      </text>
    </comment>
    <comment ref="O81" authorId="0">
      <text>
        <r>
          <rPr>
            <sz val="10"/>
            <rFont val="Arial"/>
            <family val="2"/>
          </rPr>
          <t xml:space="preserve">Hand spread: Maravai Form 10-Q, quarter ended 30-Jun-26, p.5 – Condensed Consolidated Balance Sheets – Total stockholders' equity attributable to Maravai LifeSciences Holdings, Inc.: 204.6</t>
        </r>
      </text>
    </comment>
    <comment ref="O137" authorId="0">
      <text>
        <r>
          <rPr>
            <sz val="10"/>
            <rFont val="Arial"/>
            <family val="2"/>
          </rPr>
          <t xml:space="preserve">Hand spread: Maravai Form 10-Q, quarter ended 30-Jun-26, cover page – Class A common stock outstanding at 31-Jul-26: 148,989,545.</t>
        </r>
      </text>
    </comment>
    <comment ref="O138" authorId="0">
      <text>
        <r>
          <rPr>
            <sz val="10"/>
            <rFont val="Arial"/>
            <family val="2"/>
          </rPr>
          <t xml:space="preserve">Hand spread: Maravai Form 10-Q, quarter ended 30-Jun-26, cover page – Class B common stock outstanding at 31-Jul-26: 110,684,080 (Up-C structure; Class B + LLC units exchangeable 1:1 into Class A – included so market cap reflects 100% economic ownership).</t>
        </r>
      </text>
    </comment>
    <comment ref="O152" authorId="0">
      <text>
        <r>
          <rPr>
            <sz val="10"/>
            <rFont val="Arial"/>
            <family val="2"/>
          </rPr>
          <t xml:space="preserve">Hand spread: Maravai Form 10-K FY25 (YE 31-Dec-25), p.107 (Stock-based compensation) – options outstanding at 31-Dec-25: 4.529m (latest disclosure; not updated in Q2-26 10-Q).</t>
        </r>
      </text>
    </comment>
    <comment ref="O159" authorId="0">
      <text>
        <r>
          <rPr>
            <sz val="10"/>
            <rFont val="Arial"/>
            <family val="2"/>
          </rPr>
          <t xml:space="preserve">Hand spread: Maravai Form 10-K FY25 (YE 31-Dec-25), p.108 – unvested RSUs at 31-Dec-25: 11.609m (latest disclosure).</t>
        </r>
      </text>
    </comment>
    <comment ref="O164" authorId="0">
      <text>
        <r>
          <rPr>
            <sz val="10"/>
            <rFont val="Arial"/>
            <family val="2"/>
          </rPr>
          <t xml:space="preserve">Hand spread: Maravai Form 10-K FY25 (YE 31-Dec-25), p.107 – weighted-average exercise price of options outstanding: $12.91 (out of the money at current price).</t>
        </r>
      </text>
    </comment>
    <comment ref="O189" authorId="0">
      <text>
        <r>
          <rPr>
            <sz val="10"/>
            <rFont val="Arial"/>
            <family val="2"/>
          </rPr>
          <t xml:space="preserve">Hand spread: Maravai Form 10-Q, quarter ended 30-Jun-26 – fiscal year ends 31 December.</t>
        </r>
      </text>
    </comment>
    <comment ref="O192" authorId="0">
      <text>
        <r>
          <rPr>
            <sz val="10"/>
            <rFont val="Arial"/>
            <family val="2"/>
          </rPr>
          <t xml:space="preserve">Kim, Justin G.:
Most companies will end their fiscal year in December; however companies like Takeda report Fiscal Year end on a different quarter - this requires you to recalendarize the line items so they are apples-to-apples with other companies ending their FY in December 31</t>
        </r>
      </text>
    </comment>
    <comment ref="O205" authorId="0">
      <text>
        <r>
          <rPr>
            <sz val="10"/>
            <rFont val="Arial"/>
            <family val="2"/>
          </rPr>
          <t xml:space="preserve">Hand spread: Maravai Form 10-K FY25 (YE 31-Dec-25), FY2025 (2025-01-01 to 2025-12-31) – Revenue: Revenue 185.7 (p.77) =&gt; 185.7</t>
        </r>
      </text>
    </comment>
    <comment ref="O206" authorId="0">
      <text>
        <r>
          <rPr>
            <sz val="10"/>
            <rFont val="Arial"/>
            <family val="2"/>
          </rPr>
          <t xml:space="preserve">Hand spread: Maravai Form 10-K FY25 (YE 31-Dec-25), FY2024 (2024-01-01 to 2024-12-31) – Revenue: Revenue 259.2 (p.77) =&gt; 259.2</t>
        </r>
      </text>
    </comment>
    <comment ref="O207" authorId="0">
      <text>
        <r>
          <rPr>
            <sz val="10"/>
            <rFont val="Arial"/>
            <family val="2"/>
          </rPr>
          <t xml:space="preserve">Hand spread: Maravai Form 10-K FY25 (YE 31-Dec-25), FY2023 (2023-01-01 to 2023-12-31) – Revenue: Revenue 288.9 (p.77) =&gt; 288.9</t>
        </r>
      </text>
    </comment>
    <comment ref="O215" authorId="0">
      <text>
        <r>
          <rPr>
            <sz val="10"/>
            <rFont val="Arial"/>
            <family val="2"/>
          </rPr>
          <t xml:space="preserve">Hand spread: Maravai Form 10-K FY25 (YE 31-Dec-25), FY2025 (2025-01-01 to 2025-12-31) – Gross profit: Gross profit 33.99 (p.77) =&gt; 33.99</t>
        </r>
      </text>
    </comment>
    <comment ref="O216" authorId="0">
      <text>
        <r>
          <rPr>
            <sz val="10"/>
            <rFont val="Arial"/>
            <family val="2"/>
          </rPr>
          <t xml:space="preserve">Hand spread: Maravai Form 10-K FY25 (YE 31-Dec-25), FY2024 (2024-01-01 to 2024-12-31) – Gross profit: Gross profit 108.3 (p.77) =&gt; 108.3</t>
        </r>
      </text>
    </comment>
    <comment ref="O217" authorId="0">
      <text>
        <r>
          <rPr>
            <sz val="10"/>
            <rFont val="Arial"/>
            <family val="2"/>
          </rPr>
          <t xml:space="preserve">Hand spread: Maravai Form 10-K FY25 (YE 31-Dec-25), FY2023 (2023-01-01 to 2023-12-31) – Gross profit: Gross profit 140.2 (p.77) =&gt; 140.2</t>
        </r>
      </text>
    </comment>
    <comment ref="O225" authorId="0">
      <text>
        <r>
          <rPr>
            <sz val="10"/>
            <rFont val="Arial"/>
            <family val="2"/>
          </rPr>
          <t xml:space="preserve">Hand spread: Maravai Form 10-K FY25 (YE 31-Dec-25), FY2025 (2025-01-01 to 2025-12-31) – R&amp;D: Research and development 17.402 (p.77) =&gt; 17.402</t>
        </r>
      </text>
    </comment>
    <comment ref="O226" authorId="0">
      <text>
        <r>
          <rPr>
            <sz val="10"/>
            <rFont val="Arial"/>
            <family val="2"/>
          </rPr>
          <t xml:space="preserve">Hand spread: Maravai Form 10-K FY25 (YE 31-Dec-25), FY2024 (2024-01-01 to 2024-12-31) – R&amp;D: Research and development 19.221 (p.77) =&gt; 19.221</t>
        </r>
      </text>
    </comment>
    <comment ref="O227" authorId="0">
      <text>
        <r>
          <rPr>
            <sz val="10"/>
            <rFont val="Arial"/>
            <family val="2"/>
          </rPr>
          <t xml:space="preserve">Hand spread: Maravai Form 10-K FY25 (YE 31-Dec-25), FY2023 (2023-01-01 to 2023-12-31) – R&amp;D: Research and development 17.28 (p.77) =&gt; 17.28</t>
        </r>
      </text>
    </comment>
    <comment ref="O235" authorId="0">
      <text>
        <r>
          <rPr>
            <sz val="10"/>
            <rFont val="Arial"/>
            <family val="2"/>
          </rPr>
          <t xml:space="preserve">Hand spread: Maravai Form 10-K FY25 (YE 31-Dec-25), FY2025 (2025-01-01 to 2025-12-31) – SG&amp;A: Selling, general and administrative 145.1 (p.77) =&gt; 145.1</t>
        </r>
      </text>
    </comment>
    <comment ref="O236" authorId="0">
      <text>
        <r>
          <rPr>
            <sz val="10"/>
            <rFont val="Arial"/>
            <family val="2"/>
          </rPr>
          <t xml:space="preserve">Hand spread: Maravai Form 10-K FY25 (YE 31-Dec-25), FY2024 (2024-01-01 to 2024-12-31) – SG&amp;A: Selling, general and administrative 161.8 (p.77) =&gt; 161.8</t>
        </r>
      </text>
    </comment>
    <comment ref="O237" authorId="0">
      <text>
        <r>
          <rPr>
            <sz val="10"/>
            <rFont val="Arial"/>
            <family val="2"/>
          </rPr>
          <t xml:space="preserve">Hand spread: Maravai Form 10-K FY25 (YE 31-Dec-25), FY2023 (2023-01-01 to 2023-12-31) – SG&amp;A: Selling, general and administrative 151.4 (p.77) =&gt; 151.4</t>
        </r>
      </text>
    </comment>
    <comment ref="O245" authorId="0">
      <text>
        <r>
          <rPr>
            <sz val="10"/>
            <rFont val="Arial"/>
            <family val="2"/>
          </rPr>
          <t xml:space="preserve">Hand spread: Maravai Form 10-K FY25 (YE 31-Dec-25), FY2025 (2025-01-01 to 2025-12-31) – EBIT (operating income, as reported): Loss from operations -215.3 (p.77) =&gt; -215.3</t>
        </r>
      </text>
    </comment>
    <comment ref="O246" authorId="0">
      <text>
        <r>
          <rPr>
            <sz val="10"/>
            <rFont val="Arial"/>
            <family val="2"/>
          </rPr>
          <t xml:space="preserve">Hand spread: Maravai Form 10-K FY25 (YE 31-Dec-25), FY2024 (2024-01-01 to 2024-12-31) – EBIT (operating income, as reported): Loss from operations -235.6 (p.77) =&gt; -235.6</t>
        </r>
      </text>
    </comment>
    <comment ref="O247" authorId="0">
      <text>
        <r>
          <rPr>
            <sz val="10"/>
            <rFont val="Arial"/>
            <family val="2"/>
          </rPr>
          <t xml:space="preserve">Hand spread: Maravai Form 10-K FY25 (YE 31-Dec-25), FY2023 (2023-01-01 to 2023-12-31) – EBIT (operating income, as reported): Loss from operations -31.648 (p.77) =&gt; -31.648</t>
        </r>
      </text>
    </comment>
    <comment ref="O265" authorId="0">
      <text>
        <r>
          <rPr>
            <sz val="10"/>
            <rFont val="Arial"/>
            <family val="2"/>
          </rPr>
          <t xml:space="preserve">Hand spread: Maravai Form 10-K FY25 (YE 31-Dec-25), FY2025 – EBITDA = EBIT + D&amp;A + non-cash impairments [calc]: EBIT -215.3 + Depreciation 23.558 (p.80) + Amortization of intangible assets 27.951 (p.80) + Impairment charges (cash flow) 84.597 (p.80) =&gt; -79.16</t>
        </r>
      </text>
    </comment>
    <comment ref="O266" authorId="0">
      <text>
        <r>
          <rPr>
            <sz val="10"/>
            <rFont val="Arial"/>
            <family val="2"/>
          </rPr>
          <t xml:space="preserve">Hand spread: Maravai Form 10-K FY25 (YE 31-Dec-25), FY2024 – EBITDA = EBIT + D&amp;A + non-cash impairments [calc]: EBIT -235.6 + Depreciation 20.852 (p.80) + Amortization of intangible assets 27.531 (p.80) + Impairment charges (cash flow) 166.2 (p.80) =&gt; -21.083</t>
        </r>
      </text>
    </comment>
    <comment ref="O267" authorId="0">
      <text>
        <r>
          <rPr>
            <sz val="10"/>
            <rFont val="Arial"/>
            <family val="2"/>
          </rPr>
          <t xml:space="preserve">Hand spread: Maravai Form 10-K FY25 (YE 31-Dec-25), FY2023 – EBITDA = EBIT + D&amp;A + non-cash impairments [calc]: EBIT -31.648 + Depreciation 12.898 (p.80) + Amortization of intangible assets 27.356 (p.80) + Impairment charges (cash flow) 0 (p.80) =&gt; 8.606</t>
        </r>
      </text>
    </comment>
    <comment ref="O285" authorId="0">
      <text>
        <r>
          <rPr>
            <sz val="10"/>
            <rFont val="Arial"/>
            <family val="2"/>
          </rPr>
          <t xml:space="preserve">Hand spread: Maravai Form 10-K FY25 (YE 31-Dec-25), FY2025 (2025-01-01 to 2025-12-31) – Net income attributable to shareholders: Net loss (consolidated, before NCI – consistent with Class B shares included in share count) -230.8 (p.77) =&gt; -230.8</t>
        </r>
      </text>
    </comment>
    <comment ref="O286" authorId="0">
      <text>
        <r>
          <rPr>
            <sz val="10"/>
            <rFont val="Arial"/>
            <family val="2"/>
          </rPr>
          <t xml:space="preserve">Hand spread: Maravai Form 10-K FY25 (YE 31-Dec-25), FY2024 (2024-01-01 to 2024-12-31) – Net income attributable to shareholders: Net loss (consolidated, before NCI – consistent with Class B shares included in share count) -259.6 (p.77) =&gt; -259.6</t>
        </r>
      </text>
    </comment>
    <comment ref="O287" authorId="0">
      <text>
        <r>
          <rPr>
            <sz val="10"/>
            <rFont val="Arial"/>
            <family val="2"/>
          </rPr>
          <t xml:space="preserve">Hand spread: Maravai Form 10-K FY25 (YE 31-Dec-25), FY2023 (2023-01-01 to 2023-12-31) – Net income attributable to shareholders: Net loss (consolidated, before NCI – consistent with Class B shares included in share count) -138.4 (p.77) =&gt; -138.4</t>
        </r>
      </text>
    </comment>
    <comment ref="O295" authorId="0">
      <text>
        <r>
          <rPr>
            <sz val="10"/>
            <rFont val="Arial"/>
            <family val="2"/>
          </rPr>
          <t xml:space="preserve">Hand spread: Maravai Form 10-K FY25 (YE 31-Dec-25), FY2025 (2025-01-01 to 2025-12-31) – Diluted EPS: Net loss per Class A share, diluted (as reported) -0.9 (p.77) =&gt; -0.9</t>
        </r>
      </text>
    </comment>
    <comment ref="O296" authorId="0">
      <text>
        <r>
          <rPr>
            <sz val="10"/>
            <rFont val="Arial"/>
            <family val="2"/>
          </rPr>
          <t xml:space="preserve">Hand spread: Maravai Form 10-K FY25 (YE 31-Dec-25), FY2024 (2024-01-01 to 2024-12-31) – Diluted EPS: Net loss per Class A share, diluted (as reported) -1.05 (p.77) =&gt; -1.05</t>
        </r>
      </text>
    </comment>
    <comment ref="O297" authorId="0">
      <text>
        <r>
          <rPr>
            <sz val="10"/>
            <rFont val="Arial"/>
            <family val="2"/>
          </rPr>
          <t xml:space="preserve">Hand spread: Maravai Form 10-K FY25 (YE 31-Dec-25), FY2023 (2023-01-01 to 2023-12-31) – Diluted EPS: Net loss per Class A share, diluted (as reported) -0.9 (p.106) =&gt; -0.9</t>
        </r>
      </text>
    </comment>
    <comment ref="O309" authorId="0">
      <text>
        <r>
          <rPr>
            <sz val="10"/>
            <rFont val="Arial"/>
            <family val="2"/>
          </rPr>
          <t xml:space="preserve">Hand spread: reporting currency of the financial statements = USD.</t>
        </r>
      </text>
    </comment>
    <comment ref="O313" authorId="0">
      <text>
        <r>
          <rPr>
            <sz val="10"/>
            <rFont val="Arial"/>
            <family val="2"/>
          </rPr>
          <t xml:space="preserve">Hand spread: ECB spot USD per USD at this column's pricing date (row 2) – FX tab.</t>
        </r>
      </text>
    </comment>
    <comment ref="O315" authorId="0">
      <text>
        <r>
          <rPr>
            <sz val="10"/>
            <rFont val="Arial"/>
            <family val="2"/>
          </rPr>
          <t xml:space="preserve">Hand spread: balance sheet date of the latest filing (Maravai Form 10-Q, quarter ended 30-Jun-26).</t>
        </r>
      </text>
    </comment>
    <comment ref="O316" authorId="0">
      <text>
        <r>
          <rPr>
            <sz val="10"/>
            <rFont val="Arial"/>
            <family val="2"/>
          </rPr>
          <t xml:space="preserve">Hand spread: ECB spot USD per USD at the 30-Jun-26 balance sheet date – FX tab. (USD reporter: 1.0)</t>
        </r>
      </text>
    </comment>
    <comment ref="O327" authorId="0">
      <text>
        <r>
          <rPr>
            <sz val="10"/>
            <rFont val="Arial"/>
            <family val="2"/>
          </rPr>
          <t xml:space="preserve">Hand spread: US GAAP (ASC 842) reporter – operating lease cost is already within EBITDA and operating lease liabilities are not in reported debt; no IFRS 16 adjustment required.</t>
        </r>
      </text>
    </comment>
    <comment ref="O328" authorId="0">
      <text>
        <r>
          <rPr>
            <sz val="10"/>
            <rFont val="Arial"/>
            <family val="2"/>
          </rPr>
          <t xml:space="preserve">Hand spread: US GAAP (ASC 842) reporter – operating lease cost is already within EBITDA and operating lease liabilities are not in reported debt; no IFRS 16 adjustment required.</t>
        </r>
      </text>
    </comment>
    <comment ref="O339" authorId="0">
      <text>
        <r>
          <rPr>
            <sz val="10"/>
            <rFont val="Arial"/>
            <family val="2"/>
          </rPr>
          <t xml:space="preserve">Hand spread: Maravai Form 10-K FY25 (YE 31-Dec-25), FY2025 (2025-01-01 to 2025-12-31) – CapEx: Purchases of property and equipment 13.149 (p.80) =&gt; 13.149</t>
        </r>
      </text>
    </comment>
    <comment ref="O340" authorId="0">
      <text>
        <r>
          <rPr>
            <sz val="10"/>
            <rFont val="Arial"/>
            <family val="2"/>
          </rPr>
          <t xml:space="preserve">Hand spread: Maravai Form 10-K FY25 (YE 31-Dec-25), FY2024 (2024-01-01 to 2024-12-31) – CapEx: Purchases of property and equipment 29.658 (p.80) =&gt; 29.658</t>
        </r>
      </text>
    </comment>
    <comment ref="O341" authorId="0">
      <text>
        <r>
          <rPr>
            <sz val="10"/>
            <rFont val="Arial"/>
            <family val="2"/>
          </rPr>
          <t xml:space="preserve">Hand spread: Maravai Form 10-K FY25 (YE 31-Dec-25), FY2023 (2023-01-01 to 2023-12-31) – CapEx: Purchases of property and equipment 65.553 (p.80) =&gt; 65.553</t>
        </r>
      </text>
    </comment>
    <comment ref="P13" authorId="0">
      <text>
        <r>
          <rPr>
            <sz val="10"/>
            <rFont val="Arial"/>
            <family val="2"/>
          </rPr>
          <t xml:space="preserve">Latest filing used for the balance sheet / share data. See cell notes for every figure and the "Spread Notes" tab.</t>
        </r>
      </text>
    </comment>
    <comment ref="P43" authorId="0">
      <text>
        <r>
          <rPr>
            <sz val="10"/>
            <rFont val="Arial"/>
            <family val="2"/>
          </rPr>
          <t xml:space="preserve">Hand spread: Bachem Half-Year Report 2026 (30-Jun-26, Swiss GAAP FER), p.6 (PDF p.8) – Consolidated Balance Sheet – Cash and cash equivalents: CHF 51,574k</t>
        </r>
      </text>
    </comment>
    <comment ref="P44" authorId="0">
      <text>
        <r>
          <rPr>
            <sz val="10"/>
            <rFont val="Arial"/>
            <family val="2"/>
          </rPr>
          <t xml:space="preserve">Hand spread: Bachem Half-Year Report 2026 (30-Jun-26, Swiss GAAP FER), p.6 – no securities/short-term investments on balance sheet.</t>
        </r>
      </text>
    </comment>
    <comment ref="P46" authorId="0">
      <text>
        <r>
          <rPr>
            <sz val="10"/>
            <rFont val="Arial"/>
            <family val="2"/>
          </rPr>
          <t xml:space="preserve">Hand spread: Bachem Half-Year Report 2026 (30-Jun-26, Swiss GAAP FER) – balance sheet: no investments in associates / joint ventures (equity-accounted) shown.</t>
        </r>
      </text>
    </comment>
    <comment ref="P55" authorId="0">
      <text>
        <r>
          <rPr>
            <sz val="10"/>
            <rFont val="Arial"/>
            <family val="2"/>
          </rPr>
          <t xml:space="preserve">Hand spread: Bachem Half-Year Report 2026 (30-Jun-26, Swiss GAAP FER), p.6 – Current financial liabilities: CHF 208,064k (Note 11, p.12: RCF drawn 175.0 + related-party loan Ingro Finanz 33.0 + finance leases 0.1)</t>
        </r>
      </text>
    </comment>
    <comment ref="P56" authorId="0">
      <text>
        <r>
          <rPr>
            <sz val="10"/>
            <rFont val="Arial"/>
            <family val="2"/>
          </rPr>
          <t xml:space="preserve">Hand spread: Bachem Half-Year Report 2026 (30-Jun-26, Swiss GAAP FER), p.6 – Non-current financial liabilities: CHF 39k (finance leases)</t>
        </r>
      </text>
    </comment>
    <comment ref="P58" authorId="0">
      <text>
        <r>
          <rPr>
            <sz val="10"/>
            <rFont val="Arial"/>
            <family val="2"/>
          </rPr>
          <t xml:space="preserve">Hand spread: Bachem Half-Year Report 2026 (30-Jun-26, Swiss GAAP FER), p.12 (Note 11) – Bachem reports under Swiss GAAP FER: no IFRS 16 right-of-use lease liabilities exist (operating leases off-balance sheet); finance leases (0.1) already in financial liabilities. Figures are therefore already on a pre-IFRS 16 basis.</t>
        </r>
      </text>
    </comment>
    <comment ref="P62" authorId="0">
      <text>
        <r>
          <rPr>
            <sz val="10"/>
            <rFont val="Arial"/>
            <family val="2"/>
          </rPr>
          <t xml:space="preserve">Hand spread: Swiss GAAP FER reporter – operating leases are off balance sheet; already on a pre-IFRS 16 basis.</t>
        </r>
      </text>
    </comment>
    <comment ref="P70" authorId="0">
      <text>
        <r>
          <rPr>
            <sz val="10"/>
            <rFont val="Arial"/>
            <family val="2"/>
          </rPr>
          <t xml:space="preserve">Hand spread: Bachem Annual Report 2025 (Financial Report, Swiss GAAP FER), p.74 (Note 4 Post-employment benefits) – Swiss GAAP FER 16 economic obligation of pension plans: CHF 0 (plans with surplus; no economic benefit/obligation recognised).</t>
        </r>
      </text>
    </comment>
    <comment ref="P71" authorId="0">
      <text>
        <r>
          <rPr>
            <sz val="10"/>
            <rFont val="Arial"/>
            <family val="2"/>
          </rPr>
          <t xml:space="preserve">Statutory tax rate 14.43% for SWITZERLAND, from the "Tax Rates" tab of the external LGC – WACC and Trading Comps_v2.xlsx (external link removed; cached value kept). Used only to tax-effect the pension deficit (row 72).</t>
        </r>
      </text>
    </comment>
    <comment ref="P74" authorId="0">
      <text>
        <r>
          <rPr>
            <sz val="10"/>
            <rFont val="Arial"/>
            <family val="2"/>
          </rPr>
          <t xml:space="preserve">Hand spread: Bachem Half-Year Report 2026 (30-Jun-26, Swiss GAAP FER), p.5 (footnote 1) – net income completely attributable to equity holders of the parent; no minority interests.</t>
        </r>
      </text>
    </comment>
    <comment ref="P77" authorId="0">
      <text>
        <r>
          <rPr>
            <sz val="10"/>
            <rFont val="Arial"/>
            <family val="2"/>
          </rPr>
          <t xml:space="preserve">Hand spread: Bachem Half-Year Report 2026 (30-Jun-26, Swiss GAAP FER) – no preferred stock.</t>
        </r>
      </text>
    </comment>
    <comment ref="P81" authorId="0">
      <text>
        <r>
          <rPr>
            <sz val="10"/>
            <rFont val="Arial"/>
            <family val="2"/>
          </rPr>
          <t xml:space="preserve">Hand spread: Bachem Half-Year Report 2026 (30-Jun-26, Swiss GAAP FER), p.6 – Total capital and reserves attributable to equity holders: CHF 1,443,799k (note: Swiss GAAP FER – goodwill offset against equity)</t>
        </r>
      </text>
    </comment>
    <comment ref="P137" authorId="0">
      <text>
        <r>
          <rPr>
            <sz val="10"/>
            <rFont val="Arial"/>
            <family val="2"/>
          </rPr>
          <t xml:space="preserve">Hand spread: Bachem Annual Report 2025 (Financial Report, Swiss GAAP FER), p.83 (Note 21 Share capital) – Total shares outstanding at 31-Dec-25: 75,000,000 registered shares less 64,460 own shares = 74,935,540. H1-26 report does not disclose own-share count (own shares at cost fell from CHF 3.9m to 2.5m, p.6).</t>
        </r>
      </text>
    </comment>
    <comment ref="P152" authorId="0">
      <text>
        <r>
          <rPr>
            <sz val="10"/>
            <rFont val="Arial"/>
            <family val="2"/>
          </rPr>
          <t xml:space="preserve">Hand spread: Bachem Half-Year Report 2026 (30-Jun-26, Swiss GAAP FER), p.5 (footnote 2) – 'There are no options or similar that have a dilutive effect.'</t>
        </r>
      </text>
    </comment>
    <comment ref="P189" authorId="0">
      <text>
        <r>
          <rPr>
            <sz val="10"/>
            <rFont val="Arial"/>
            <family val="2"/>
          </rPr>
          <t xml:space="preserve">Hand spread: Bachem Half-Year Report 2026 (30-Jun-26, Swiss GAAP FER) – fiscal year ends 31 December.</t>
        </r>
      </text>
    </comment>
    <comment ref="P192" authorId="0">
      <text>
        <r>
          <rPr>
            <sz val="10"/>
            <rFont val="Arial"/>
            <family val="2"/>
          </rPr>
          <t xml:space="preserve">Kim, Justin G.:
Most companies will end their fiscal year in December; however companies like Takeda report Fiscal Year end on a different quarter - this requires you to recalendarize the line items so they are apples-to-apples with other companies ending their FY in December 31</t>
        </r>
      </text>
    </comment>
    <comment ref="P205" authorId="0">
      <text>
        <r>
          <rPr>
            <sz val="10"/>
            <rFont val="Arial"/>
            <family val="2"/>
          </rPr>
          <t xml:space="preserve">Hand spread: Bachem Annual Report 2025 (Financial Report, Swiss GAAP FER), p.60 (PDF p.62) – Consolidated Income Statement FY25 – Net sales: CHF 695,070k
[Converted to USD at the 2025 average CHF rate, FX!D6; value above is in CHF m.]</t>
        </r>
      </text>
    </comment>
    <comment ref="P206" authorId="0">
      <text>
        <r>
          <rPr>
            <sz val="10"/>
            <rFont val="Arial"/>
            <family val="2"/>
          </rPr>
          <t xml:space="preserve">Hand spread: Bachem Annual Report 2025 (Financial Report, Swiss GAAP FER), p.60 – Net sales FY24: CHF 605,259k
[Converted to USD at the 2024 average CHF rate, FX!C6; value above is in CHF m.]</t>
        </r>
      </text>
    </comment>
    <comment ref="P207" authorId="0">
      <text>
        <r>
          <rPr>
            <sz val="10"/>
            <rFont val="Arial"/>
            <family val="2"/>
          </rPr>
          <t xml:space="preserve">Hand spread: Bachem Annual Report 2024 (Financial Report), p.58 (PDF p.60) – Net sales FY23: CHF 577,316k
[Converted to USD at the 2023 average CHF rate, FX!B6; value above is in CHF m.]</t>
        </r>
      </text>
    </comment>
    <comment ref="P215" authorId="0">
      <text>
        <r>
          <rPr>
            <sz val="10"/>
            <rFont val="Arial"/>
            <family val="2"/>
          </rPr>
          <t xml:space="preserve">Hand spread: Bachem Annual Report 2025 (Financial Report, Swiss GAAP FER), p.60 – Gross profit FY25: CHF 199,732k
[Converted to USD at the 2025 average CHF rate, FX!D6; value above is in CHF m.]</t>
        </r>
      </text>
    </comment>
    <comment ref="P216" authorId="0">
      <text>
        <r>
          <rPr>
            <sz val="10"/>
            <rFont val="Arial"/>
            <family val="2"/>
          </rPr>
          <t xml:space="preserve">Hand spread: Bachem Annual Report 2025 (Financial Report, Swiss GAAP FER), p.60 – Gross profit FY24: CHF 182,555k
[Converted to USD at the 2024 average CHF rate, FX!C6; value above is in CHF m.]</t>
        </r>
      </text>
    </comment>
    <comment ref="P217" authorId="0">
      <text>
        <r>
          <rPr>
            <sz val="10"/>
            <rFont val="Arial"/>
            <family val="2"/>
          </rPr>
          <t xml:space="preserve">Hand spread: Bachem Annual Report 2024 (Financial Report), p.58 – Gross profit FY23: CHF 176,963k
[Converted to USD at the 2023 average CHF rate, FX!B6; value above is in CHF m.]</t>
        </r>
      </text>
    </comment>
    <comment ref="P225" authorId="0">
      <text>
        <r>
          <rPr>
            <sz val="10"/>
            <rFont val="Arial"/>
            <family val="2"/>
          </rPr>
          <t xml:space="preserve">Hand spread: Bachem Annual Report 2025 (Financial Report, Swiss GAAP FER), p.60 – Research and development costs FY25: CHF 10,228k
[Converted to USD at the 2025 average CHF rate, FX!D6; value above is in CHF m.]</t>
        </r>
      </text>
    </comment>
    <comment ref="P226" authorId="0">
      <text>
        <r>
          <rPr>
            <sz val="10"/>
            <rFont val="Arial"/>
            <family val="2"/>
          </rPr>
          <t xml:space="preserve">Hand spread: Bachem Annual Report 2025 (Financial Report, Swiss GAAP FER), p.60 – Research and development costs FY24: CHF 11,378k
[Converted to USD at the 2024 average CHF rate, FX!C6; value above is in CHF m.]</t>
        </r>
      </text>
    </comment>
    <comment ref="P227" authorId="0">
      <text>
        <r>
          <rPr>
            <sz val="10"/>
            <rFont val="Arial"/>
            <family val="2"/>
          </rPr>
          <t xml:space="preserve">Hand spread: Bachem Annual Report 2024 (Financial Report), p.58 – Research and development costs FY23: CHF 11,041k
[Converted to USD at the 2023 average CHF rate, FX!B6; value above is in CHF m.]</t>
        </r>
      </text>
    </comment>
    <comment ref="P235" authorId="0">
      <text>
        <r>
          <rPr>
            <sz val="10"/>
            <rFont val="Arial"/>
            <family val="2"/>
          </rPr>
          <t xml:space="preserve">Hand spread: Bachem Annual Report 2025 (Financial Report, Swiss GAAP FER), p.60 – SG&amp;A FY25 [calc] = Marketing and sales costs 15,950 + General administrative costs 23,269 = CHF 39,219k
[Converted to USD at the 2025 average CHF rate, FX!D6; value above is in CHF m.]</t>
        </r>
      </text>
    </comment>
    <comment ref="P236" authorId="0">
      <text>
        <r>
          <rPr>
            <sz val="10"/>
            <rFont val="Arial"/>
            <family val="2"/>
          </rPr>
          <t xml:space="preserve">Hand spread: Bachem Annual Report 2025 (Financial Report, Swiss GAAP FER), p.60 – SG&amp;A FY24 [calc] = Marketing and sales 17,419 + General administrative 21,815 = CHF 39,234k
[Converted to USD at the 2024 average CHF rate, FX!C6; value above is in CHF m.]</t>
        </r>
      </text>
    </comment>
    <comment ref="P237" authorId="0">
      <text>
        <r>
          <rPr>
            <sz val="10"/>
            <rFont val="Arial"/>
            <family val="2"/>
          </rPr>
          <t xml:space="preserve">Hand spread: Bachem Annual Report 2024 (Financial Report), p.58 – SG&amp;A FY23 [calc] = Marketing and sales 17,958 + General administrative 19,402 = CHF 37,360k
[Converted to USD at the 2023 average CHF rate, FX!B6; value above is in CHF m.]</t>
        </r>
      </text>
    </comment>
    <comment ref="P245" authorId="0">
      <text>
        <r>
          <rPr>
            <sz val="10"/>
            <rFont val="Arial"/>
            <family val="2"/>
          </rPr>
          <t xml:space="preserve">Hand spread: Bachem Annual Report 2025 (Financial Report, Swiss GAAP FER), p.60 – Operating income (EBIT) FY25: CHF 167,303k
[Converted to USD at the 2025 average CHF rate, FX!D6; value above is in CHF m.]</t>
        </r>
      </text>
    </comment>
    <comment ref="P246" authorId="0">
      <text>
        <r>
          <rPr>
            <sz val="10"/>
            <rFont val="Arial"/>
            <family val="2"/>
          </rPr>
          <t xml:space="preserve">Hand spread: Bachem Annual Report 2025 (Financial Report, Swiss GAAP FER), p.60 – Operating income (EBIT) FY24: CHF 133,048k
[Converted to USD at the 2024 average CHF rate, FX!C6; value above is in CHF m.]</t>
        </r>
      </text>
    </comment>
    <comment ref="P247" authorId="0">
      <text>
        <r>
          <rPr>
            <sz val="10"/>
            <rFont val="Arial"/>
            <family val="2"/>
          </rPr>
          <t xml:space="preserve">Hand spread: Bachem Annual Report 2024 (Financial Report), p.58 – Operating income (EBIT) FY23: CHF 129,380k
[Converted to USD at the 2023 average CHF rate, FX!B6; value above is in CHF m.]</t>
        </r>
      </text>
    </comment>
    <comment ref="P265" authorId="0">
      <text>
        <r>
          <rPr>
            <sz val="10"/>
            <rFont val="Arial"/>
            <family val="2"/>
          </rPr>
          <t xml:space="preserve">Hand spread: Bachem Annual Report 2025 (Financial Report, Swiss GAAP FER), company-reported EBITDA FY25 CHF 214.7m (p.10 key figures) = EBIT 167,303 + depreciation 43,453 (Note 13, p.78) + amortization 3,987 (Note 14, p.80) = CHF 214,743k [calc]. Excludes CHF 7.8m reversal of 2023 fire impairment (offset by equal reduction of insurance income, p.86).
[Converted to USD at the 2025 average CHF rate, FX!D6; value above is in CHF m.]</t>
        </r>
      </text>
    </comment>
    <comment ref="P266" authorId="0">
      <text>
        <r>
          <rPr>
            <sz val="10"/>
            <rFont val="Arial"/>
            <family val="2"/>
          </rPr>
          <t xml:space="preserve">Hand spread: Bachem Annual Report 2025 (Financial Report, Swiss GAAP FER), company-reported EBITDA FY24 CHF 176.3m (p.10) = EBIT 133,048 + depreciation 39,039 (Note 13, p.78) + amortization 4,223 (Note 14, p.80) = CHF 176,310k [calc]
[Converted to USD at the 2024 average CHF rate, FX!C6; value above is in CHF m.]</t>
        </r>
      </text>
    </comment>
    <comment ref="P267" authorId="0">
      <text>
        <r>
          <rPr>
            <sz val="10"/>
            <rFont val="Arial"/>
            <family val="2"/>
          </rPr>
          <t xml:space="preserve">Hand spread: Bachem Annual Report 2024 (Financial Report), company-reported EBITDA FY23 CHF 166.7m (p.10) = EBIT 129,380 + depreciation 33,896 (Note 13, p.76) + amortization 3,460 (Note 14, p.78) = CHF 166,736k [calc]. Note: CHF 7.8m Vionnaz fire impairment (p.76) not added back, per company definition.
[Converted to USD at the 2023 average CHF rate, FX!B6; value above is in CHF m.]</t>
        </r>
      </text>
    </comment>
    <comment ref="P285" authorId="0">
      <text>
        <r>
          <rPr>
            <sz val="10"/>
            <rFont val="Arial"/>
            <family val="2"/>
          </rPr>
          <t xml:space="preserve">Hand spread: Bachem Annual Report 2025 (Financial Report, Swiss GAAP FER), p.60 – Net income FY25 (100% attributable to parent): CHF 148,793k
[Converted to USD at the 2025 average CHF rate, FX!D6; value above is in CHF m.]</t>
        </r>
      </text>
    </comment>
    <comment ref="P286" authorId="0">
      <text>
        <r>
          <rPr>
            <sz val="10"/>
            <rFont val="Arial"/>
            <family val="2"/>
          </rPr>
          <t xml:space="preserve">Hand spread: Bachem Annual Report 2025 (Financial Report, Swiss GAAP FER), p.60 – Net income FY24: CHF 120,248k
[Converted to USD at the 2024 average CHF rate, FX!C6; value above is in CHF m.]</t>
        </r>
      </text>
    </comment>
    <comment ref="P287" authorId="0">
      <text>
        <r>
          <rPr>
            <sz val="10"/>
            <rFont val="Arial"/>
            <family val="2"/>
          </rPr>
          <t xml:space="preserve">Hand spread: Bachem Annual Report 2024 (Financial Report), p.58 – Net income FY23: CHF 111,859k
[Converted to USD at the 2023 average CHF rate, FX!B6; value above is in CHF m.]</t>
        </r>
      </text>
    </comment>
    <comment ref="P295" authorId="0">
      <text>
        <r>
          <rPr>
            <sz val="10"/>
            <rFont val="Arial"/>
            <family val="2"/>
          </rPr>
          <t xml:space="preserve">Hand spread: Bachem Annual Report 2025 (Financial Report, Swiss GAAP FER), p.60 – Earnings per share FY25: CHF 1.98 (no dilutive instruments)
[Converted to USD at the 2025 average CHF rate, FX!D6; value above is in CHF m.]</t>
        </r>
      </text>
    </comment>
    <comment ref="P296" authorId="0">
      <text>
        <r>
          <rPr>
            <sz val="10"/>
            <rFont val="Arial"/>
            <family val="2"/>
          </rPr>
          <t xml:space="preserve">Hand spread: Bachem Annual Report 2025 (Financial Report, Swiss GAAP FER), p.60 – Earnings per share FY24: CHF 1.60
[Converted to USD at the 2024 average CHF rate, FX!C6; value above is in CHF m.]</t>
        </r>
      </text>
    </comment>
    <comment ref="P297" authorId="0">
      <text>
        <r>
          <rPr>
            <sz val="10"/>
            <rFont val="Arial"/>
            <family val="2"/>
          </rPr>
          <t xml:space="preserve">Hand spread: Bachem Annual Report 2024 (Financial Report), p.58 – Earnings per share FY23: CHF 1.50
[Converted to USD at the 2023 average CHF rate, FX!B6; value above is in CHF m.]</t>
        </r>
      </text>
    </comment>
    <comment ref="P309" authorId="0">
      <text>
        <r>
          <rPr>
            <sz val="10"/>
            <rFont val="Arial"/>
            <family val="2"/>
          </rPr>
          <t xml:space="preserve">Hand spread: reporting currency of the financial statements = CHF.</t>
        </r>
      </text>
    </comment>
    <comment ref="P313" authorId="0">
      <text>
        <r>
          <rPr>
            <sz val="10"/>
            <rFont val="Arial"/>
            <family val="2"/>
          </rPr>
          <t xml:space="preserve">Hand spread: ECB spot USD per CHF at this column's pricing date (row 2) – FX tab.</t>
        </r>
      </text>
    </comment>
    <comment ref="P315" authorId="0">
      <text>
        <r>
          <rPr>
            <sz val="10"/>
            <rFont val="Arial"/>
            <family val="2"/>
          </rPr>
          <t xml:space="preserve">Hand spread: balance sheet date of the latest filing (Bachem Half-Year Report 2026 (30-Jun-26, Swiss GAAP FER)).</t>
        </r>
      </text>
    </comment>
    <comment ref="P316" authorId="0">
      <text>
        <r>
          <rPr>
            <sz val="10"/>
            <rFont val="Arial"/>
            <family val="2"/>
          </rPr>
          <t xml:space="preserve">Hand spread: ECB spot USD per CHF at the 30-Jun-26 balance sheet date – FX tab.</t>
        </r>
      </text>
    </comment>
    <comment ref="P327" authorId="0">
      <text>
        <r>
          <rPr>
            <sz val="10"/>
            <rFont val="Arial"/>
            <family val="2"/>
          </rPr>
          <t xml:space="preserve">Hand spread: Bachem Half-Year Report 2026 (30-Jun-26, Swiss GAAP FER) – Swiss GAAP FER reporter: no IFRS 16 right-of-use depreciation; EBITDA already pre-IFRS 16.</t>
        </r>
      </text>
    </comment>
    <comment ref="P328" authorId="0">
      <text>
        <r>
          <rPr>
            <sz val="10"/>
            <rFont val="Arial"/>
            <family val="2"/>
          </rPr>
          <t xml:space="preserve">Hand spread: Bachem Half-Year Report 2026 (30-Jun-26, Swiss GAAP FER) – Swiss GAAP FER reporter: no IFRS 16 lease interest.</t>
        </r>
      </text>
    </comment>
    <comment ref="P339" authorId="0">
      <text>
        <r>
          <rPr>
            <sz val="10"/>
            <rFont val="Arial"/>
            <family val="2"/>
          </rPr>
          <t xml:space="preserve">Hand spread: Bachem Annual Report 2025 (Financial Report, Swiss GAAP FER), p.62 (PDF p.64) – Cash flow statement FY25 [calc]: investments in PP&amp;E 319,564 + investments in intangible assets 9,832 = CHF 329,396k
[Converted to USD at the 2025 average CHF rate, FX!D6; value above is in CHF m.]</t>
        </r>
      </text>
    </comment>
    <comment ref="P340" authorId="0">
      <text>
        <r>
          <rPr>
            <sz val="10"/>
            <rFont val="Arial"/>
            <family val="2"/>
          </rPr>
          <t xml:space="preserve">Hand spread: Bachem Annual Report 2025 (Financial Report, Swiss GAAP FER), p.62 – Cash flow statement FY24 [calc]: PP&amp;E 273,841 + intangibles 10,777 = CHF 284,618k
[Converted to USD at the 2024 average CHF rate, FX!C6; value above is in CHF m.]</t>
        </r>
      </text>
    </comment>
    <comment ref="P341" authorId="0">
      <text>
        <r>
          <rPr>
            <sz val="10"/>
            <rFont val="Arial"/>
            <family val="2"/>
          </rPr>
          <t xml:space="preserve">Hand spread: Bachem Annual Report 2024 (Financial Report), p.60 (PDF p.62) – Cash flow statement FY23 [calc]: PP&amp;E 264,564 + intangibles 3,838 = CHF 268,402k
[Converted to USD at the 2023 average CHF rate, FX!B6; value above is in CHF m.]</t>
        </r>
      </text>
    </comment>
    <comment ref="Q13" authorId="0">
      <text>
        <r>
          <rPr>
            <sz val="10"/>
            <rFont val="Arial"/>
            <family val="2"/>
          </rPr>
          <t xml:space="preserve">Latest filing used for the balance sheet / share data. See cell notes for every figure and the "Spread Notes" tab.</t>
        </r>
      </text>
    </comment>
    <comment ref="Q43" authorId="0">
      <text>
        <r>
          <rPr>
            <sz val="10"/>
            <rFont val="Arial"/>
            <family val="2"/>
          </rPr>
          <t xml:space="preserve">Hand spread: Siegfried Half-Year Report 2026 (30-Jun-26, Swiss GAAP FER), p.8 – Consolidated balance sheet – Cash and cash equivalents: CHF 104,672k</t>
        </r>
      </text>
    </comment>
    <comment ref="Q44" authorId="0">
      <text>
        <r>
          <rPr>
            <sz val="10"/>
            <rFont val="Arial"/>
            <family val="2"/>
          </rPr>
          <t xml:space="preserve">Hand spread: Siegfried Half-Year Report 2026 (30-Jun-26, Swiss GAAP FER), p.8 – Securities: CHF 488k</t>
        </r>
      </text>
    </comment>
    <comment ref="Q46" authorId="0">
      <text>
        <r>
          <rPr>
            <sz val="10"/>
            <rFont val="Arial"/>
            <family val="2"/>
          </rPr>
          <t xml:space="preserve">Hand spread: Siegfried Half-Year Report 2026 (30-Jun-26, Swiss GAAP FER) – balance sheet: no investments in associates / joint ventures (equity-accounted) shown.</t>
        </r>
      </text>
    </comment>
    <comment ref="Q55" authorId="0">
      <text>
        <r>
          <rPr>
            <sz val="10"/>
            <rFont val="Arial"/>
            <family val="2"/>
          </rPr>
          <t xml:space="preserve">Hand spread: Siegfried Half-Year Report 2026 (30-Jun-26, Swiss GAAP FER), p.9 – Other current financial liabilities: CHF 0 (Dec-25: 200,000 repaid in H1-26)</t>
        </r>
      </text>
    </comment>
    <comment ref="Q56" authorId="0">
      <text>
        <r>
          <rPr>
            <sz val="10"/>
            <rFont val="Arial"/>
            <family val="2"/>
          </rPr>
          <t xml:space="preserve">Hand spread: Siegfried Half-Year Report 2026 (30-Jun-26, Swiss GAAP FER), p.9 – Non-current financial liabilities: CHF 925,200k (bonds/loans, incl. financing of US/Australia site acquisition closed 1-May-26)</t>
        </r>
      </text>
    </comment>
    <comment ref="Q58" authorId="0">
      <text>
        <r>
          <rPr>
            <sz val="10"/>
            <rFont val="Arial"/>
            <family val="2"/>
          </rPr>
          <t xml:space="preserve">Hand spread: Siegfried Half-Year Report 2026 (30-Jun-26, Swiss GAAP FER), p.13 (Note 1 – accounting principles) – Siegfried reports under Swiss GAAP FER: no IFRS 16 lease liabilities on balance sheet; figures already on a pre-IFRS 16 basis.</t>
        </r>
      </text>
    </comment>
    <comment ref="Q62" authorId="0">
      <text>
        <r>
          <rPr>
            <sz val="10"/>
            <rFont val="Arial"/>
            <family val="2"/>
          </rPr>
          <t xml:space="preserve">Hand spread: Swiss GAAP FER reporter – operating leases are off balance sheet; already on a pre-IFRS 16 basis.</t>
        </r>
      </text>
    </comment>
    <comment ref="Q70" authorId="0">
      <text>
        <r>
          <rPr>
            <sz val="10"/>
            <rFont val="Arial"/>
            <family val="2"/>
          </rPr>
          <t xml:space="preserve">Hand spread: Siegfried Half-Year Report 2026 (30-Jun-26, Swiss GAAP FER), p.9 – Pension liabilities (Swiss GAAP FER 16, mainly foreign plans): non-current 71,808 + current 387 = CHF 72,195k [calc]. Employer contribution reserves asset of 10,833 (p.8) not netted (restricted use).</t>
        </r>
      </text>
    </comment>
    <comment ref="Q71" authorId="0">
      <text>
        <r>
          <rPr>
            <sz val="10"/>
            <rFont val="Arial"/>
            <family val="2"/>
          </rPr>
          <t xml:space="preserve">Statutory tax rate 14.43% for SWITZERLAND, from the "Tax Rates" tab of the external LGC – WACC and Trading Comps_v2.xlsx (external link removed; cached value kept). Used only to tax-effect the pension deficit (row 72).</t>
        </r>
      </text>
    </comment>
    <comment ref="Q74" authorId="0">
      <text>
        <r>
          <rPr>
            <sz val="10"/>
            <rFont val="Arial"/>
            <family val="2"/>
          </rPr>
          <t xml:space="preserve">Hand spread: Siegfried Half-Year Report 2026 (30-Jun-26, Swiss GAAP FER), p.9 – Minorities: CHF (775)k (95% owned SIEGFRIED DiNAMIQS Ltd, p.13)</t>
        </r>
      </text>
    </comment>
    <comment ref="Q77" authorId="0">
      <text>
        <r>
          <rPr>
            <sz val="10"/>
            <rFont val="Arial"/>
            <family val="2"/>
          </rPr>
          <t xml:space="preserve">Hand spread: Siegfried Half-Year Report 2026 (30-Jun-26, Swiss GAAP FER) – no preferred stock.</t>
        </r>
      </text>
    </comment>
    <comment ref="Q81" authorId="0">
      <text>
        <r>
          <rPr>
            <sz val="10"/>
            <rFont val="Arial"/>
            <family val="2"/>
          </rPr>
          <t xml:space="preserve">Hand spread: Siegfried Half-Year Report 2026 (30-Jun-26, Swiss GAAP FER), p.9 – Total equity excl. minorities: CHF 994,678k (FER – goodwill offset against equity)</t>
        </r>
      </text>
    </comment>
    <comment ref="Q137" authorId="0">
      <text>
        <r>
          <rPr>
            <sz val="10"/>
            <rFont val="Arial"/>
            <family val="2"/>
          </rPr>
          <t xml:space="preserve">Hand spread: Siegfried Annual Report 2025 – Financial Report (Swiss GAAP FER), p.25 (Note 11 Treasury shares) &amp; Siegfried Half-Year Report 2026 (30-Jun-26, Swiss GAAP FER) p.13 (45,230,000 registered shares) – 45,230,000 less 1,421,560 treasury shares at 31-Dec-25 = 43,808,440 [calc]. H1-26 treasury share count not disclosed (CHF 7.9m purchased, cash flow p.11).</t>
        </r>
      </text>
    </comment>
    <comment ref="Q160" authorId="0">
      <text>
        <r>
          <rPr>
            <sz val="10"/>
            <rFont val="Arial"/>
            <family val="2"/>
          </rPr>
          <t xml:space="preserve">Hand spread: Siegfried Annual Report 2025 – Financial Report (Swiss GAAP FER), p.29 (Note 18 Share-based payments) – unvested LTIP PSUs: 2024–2026 plan 122,139 + 2025–2027 plan 111,481 = 233,620 [calc] (2023–2025 plan vested Q1-26 from treasury shares, H1-26 p.13). 0–1.5 shares per PSU; counted at 1.0x.</t>
        </r>
      </text>
    </comment>
    <comment ref="Q189" authorId="0">
      <text>
        <r>
          <rPr>
            <sz val="10"/>
            <rFont val="Arial"/>
            <family val="2"/>
          </rPr>
          <t xml:space="preserve">Hand spread: Siegfried Half-Year Report 2026 (30-Jun-26, Swiss GAAP FER) – fiscal year ends 31 December.</t>
        </r>
      </text>
    </comment>
    <comment ref="Q192" authorId="0">
      <text>
        <r>
          <rPr>
            <sz val="10"/>
            <rFont val="Arial"/>
            <family val="2"/>
          </rPr>
          <t xml:space="preserve">Kim, Justin G.:
Most companies will end their fiscal year in December; however companies like Takeda report Fiscal Year end on a different quarter - this requires you to recalendarize the line items so they are apples-to-apples with other companies ending their FY in December 31</t>
        </r>
      </text>
    </comment>
    <comment ref="Q205" authorId="0">
      <text>
        <r>
          <rPr>
            <sz val="10"/>
            <rFont val="Arial"/>
            <family val="2"/>
          </rPr>
          <t xml:space="preserve">Hand spread: Siegfried Annual Report 2025 – Financial Report (Swiss GAAP FER), p.7 – Consolidated income statement FY25 – Net sales: CHF 1,327,834k
[Converted to USD at the 2025 average CHF rate, FX!D6; value above is in CHF m.]</t>
        </r>
      </text>
    </comment>
    <comment ref="Q206" authorId="0">
      <text>
        <r>
          <rPr>
            <sz val="10"/>
            <rFont val="Arial"/>
            <family val="2"/>
          </rPr>
          <t xml:space="preserve">Hand spread: Siegfried Annual Report 2025 – Financial Report (Swiss GAAP FER), p.7 – Net sales FY24: CHF 1,294,573k
[Converted to USD at the 2024 average CHF rate, FX!C6; value above is in CHF m.]</t>
        </r>
      </text>
    </comment>
    <comment ref="Q207" authorId="0">
      <text>
        <r>
          <rPr>
            <sz val="10"/>
            <rFont val="Arial"/>
            <family val="2"/>
          </rPr>
          <t xml:space="preserve">Hand spread: Siegfried Annual Report 2024 (Full Report) – Financial Report section, Financial Report p.7 (PDF p.143) – Net sales FY23: CHF 1,271,494k
[Converted to USD at the 2023 average CHF rate, FX!B6; value above is in CHF m.]</t>
        </r>
      </text>
    </comment>
    <comment ref="Q215" authorId="0">
      <text>
        <r>
          <rPr>
            <sz val="10"/>
            <rFont val="Arial"/>
            <family val="2"/>
          </rPr>
          <t xml:space="preserve">Hand spread: Siegfried Annual Report 2025 – Financial Report (Swiss GAAP FER), p.7 – Gross profit FY25: CHF 353,994k
[Converted to USD at the 2025 average CHF rate, FX!D6; value above is in CHF m.]</t>
        </r>
      </text>
    </comment>
    <comment ref="Q216" authorId="0">
      <text>
        <r>
          <rPr>
            <sz val="10"/>
            <rFont val="Arial"/>
            <family val="2"/>
          </rPr>
          <t xml:space="preserve">Hand spread: Siegfried Annual Report 2025 – Financial Report (Swiss GAAP FER), p.7 – Gross profit FY24: CHF 329,057k
[Converted to USD at the 2024 average CHF rate, FX!C6; value above is in CHF m.]</t>
        </r>
      </text>
    </comment>
    <comment ref="Q217" authorId="0">
      <text>
        <r>
          <rPr>
            <sz val="10"/>
            <rFont val="Arial"/>
            <family val="2"/>
          </rPr>
          <t xml:space="preserve">Hand spread: Siegfried Annual Report 2024 (Full Report) – Financial Report section, p.7 (PDF p.143) – Gross profit FY23: CHF 320,408k
[Converted to USD at the 2023 average CHF rate, FX!B6; value above is in CHF m.]</t>
        </r>
      </text>
    </comment>
    <comment ref="Q225" authorId="0">
      <text>
        <r>
          <rPr>
            <sz val="10"/>
            <rFont val="Arial"/>
            <family val="2"/>
          </rPr>
          <t xml:space="preserve">Hand spread: Siegfried Annual Report 2025 – Financial Report (Swiss GAAP FER), p.7 – Research and development costs FY25: CHF 46,182k
[Converted to USD at the 2025 average CHF rate, FX!D6; value above is in CHF m.]</t>
        </r>
      </text>
    </comment>
    <comment ref="Q226" authorId="0">
      <text>
        <r>
          <rPr>
            <sz val="10"/>
            <rFont val="Arial"/>
            <family val="2"/>
          </rPr>
          <t xml:space="preserve">Hand spread: Siegfried Annual Report 2025 – Financial Report (Swiss GAAP FER), p.7 – Research and development costs FY24: CHF 41,115k
[Converted to USD at the 2024 average CHF rate, FX!C6; value above is in CHF m.]</t>
        </r>
      </text>
    </comment>
    <comment ref="Q227" authorId="0">
      <text>
        <r>
          <rPr>
            <sz val="10"/>
            <rFont val="Arial"/>
            <family val="2"/>
          </rPr>
          <t xml:space="preserve">Hand spread: Siegfried Annual Report 2024 (Full Report) – Financial Report section, p.7 (PDF p.143) – Research and development costs FY23: CHF 44,503k
[Converted to USD at the 2023 average CHF rate, FX!B6; value above is in CHF m.]</t>
        </r>
      </text>
    </comment>
    <comment ref="Q235" authorId="0">
      <text>
        <r>
          <rPr>
            <sz val="10"/>
            <rFont val="Arial"/>
            <family val="2"/>
          </rPr>
          <t xml:space="preserve">Hand spread: Siegfried Annual Report 2025 – Financial Report (Swiss GAAP FER), p.7 – SG&amp;A FY25 [calc] = Marketing and sales 18,645 + Administration and general overhead 80,134 = CHF 98,779k
[Converted to USD at the 2025 average CHF rate, FX!D6; value above is in CHF m.]</t>
        </r>
      </text>
    </comment>
    <comment ref="Q236" authorId="0">
      <text>
        <r>
          <rPr>
            <sz val="10"/>
            <rFont val="Arial"/>
            <family val="2"/>
          </rPr>
          <t xml:space="preserve">Hand spread: Siegfried Annual Report 2025 – Financial Report (Swiss GAAP FER), p.7 – SG&amp;A FY24 [calc] = Marketing and sales 18,067 + Administration and general overhead 80,294 = CHF 98,361k
[Converted to USD at the 2024 average CHF rate, FX!C6; value above is in CHF m.]</t>
        </r>
      </text>
    </comment>
    <comment ref="Q237" authorId="0">
      <text>
        <r>
          <rPr>
            <sz val="10"/>
            <rFont val="Arial"/>
            <family val="2"/>
          </rPr>
          <t xml:space="preserve">Hand spread: Siegfried Annual Report 2024 (Full Report) – Financial Report section, p.7 (PDF p.143) – SG&amp;A FY23 [calc] = Marketing and sales 19,353 + Administration and general overhead 89,470 = CHF 108,823k
[Converted to USD at the 2023 average CHF rate, FX!B6; value above is in CHF m.]</t>
        </r>
      </text>
    </comment>
    <comment ref="Q245" authorId="0">
      <text>
        <r>
          <rPr>
            <sz val="10"/>
            <rFont val="Arial"/>
            <family val="2"/>
          </rPr>
          <t xml:space="preserve">Hand spread: Siegfried Annual Report 2025 – Financial Report (Swiss GAAP FER), p.7 – Operating result (EBIT, reported – not 'core') FY25: CHF 223,764k
[Converted to USD at the 2025 average CHF rate, FX!D6; value above is in CHF m.]</t>
        </r>
      </text>
    </comment>
    <comment ref="Q246" authorId="0">
      <text>
        <r>
          <rPr>
            <sz val="10"/>
            <rFont val="Arial"/>
            <family val="2"/>
          </rPr>
          <t xml:space="preserve">Hand spread: Siegfried Annual Report 2025 – Financial Report (Swiss GAAP FER), p.7 – Operating result FY24: CHF 199,260k
[Converted to USD at the 2024 average CHF rate, FX!C6; value above is in CHF m.]</t>
        </r>
      </text>
    </comment>
    <comment ref="Q247" authorId="0">
      <text>
        <r>
          <rPr>
            <sz val="10"/>
            <rFont val="Arial"/>
            <family val="2"/>
          </rPr>
          <t xml:space="preserve">Hand spread: Siegfried Annual Report 2024 (Full Report) – Financial Report section, p.7 (PDF p.143) – Operating result FY23: CHF 172,068k
[Converted to USD at the 2023 average CHF rate, FX!B6; value above is in CHF m.]</t>
        </r>
      </text>
    </comment>
    <comment ref="Q265" authorId="0">
      <text>
        <r>
          <rPr>
            <sz val="10"/>
            <rFont val="Arial"/>
            <family val="2"/>
          </rPr>
          <t xml:space="preserve">Hand spread: Siegfried Annual Report 2025 – Financial Report (Swiss GAAP FER) – EBITDA FY25 [calc] = Operating result 223,764 (p.7) + Depreciation and impairment of PP&amp;E and intangibles 94,763 (cash flow statement, p.8) = CHF 318,527k (reported basis; company's 'core EBITDA' excluded)
[Converted to USD at the 2025 average CHF rate, FX!D6; value above is in CHF m.]</t>
        </r>
      </text>
    </comment>
    <comment ref="Q266" authorId="0">
      <text>
        <r>
          <rPr>
            <sz val="10"/>
            <rFont val="Arial"/>
            <family val="2"/>
          </rPr>
          <t xml:space="preserve">Hand spread: Siegfried Annual Report 2025 – Financial Report (Swiss GAAP FER) – EBITDA FY24 [calc] = Operating result 199,260 (p.7) + Depreciation and impairment 84,726 (p.8) = CHF 283,986k
[Converted to USD at the 2024 average CHF rate, FX!C6; value above is in CHF m.]</t>
        </r>
      </text>
    </comment>
    <comment ref="Q267" authorId="0">
      <text>
        <r>
          <rPr>
            <sz val="10"/>
            <rFont val="Arial"/>
            <family val="2"/>
          </rPr>
          <t xml:space="preserve">Hand spread: Siegfried Annual Report 2024 (Full Report) – Financial Report section – EBITDA FY23 [calc] = Operating result 172,068 (p.7, PDF p.143) + Depreciation and impairment 81,353 (cash flow p.8, PDF p.144) = CHF 253,421k
[Converted to USD at the 2023 average CHF rate, FX!B6; value above is in CHF m.]</t>
        </r>
      </text>
    </comment>
    <comment ref="Q285" authorId="0">
      <text>
        <r>
          <rPr>
            <sz val="10"/>
            <rFont val="Arial"/>
            <family val="2"/>
          </rPr>
          <t xml:space="preserve">Hand spread: Siegfried Annual Report 2025 – Financial Report (Swiss GAAP FER), p.7 – Net profit attributable to shareholders of Siegfried Holding AG FY25: CHF 168,659k
[Converted to USD at the 2025 average CHF rate, FX!D6; value above is in CHF m.]</t>
        </r>
      </text>
    </comment>
    <comment ref="Q286" authorId="0">
      <text>
        <r>
          <rPr>
            <sz val="10"/>
            <rFont val="Arial"/>
            <family val="2"/>
          </rPr>
          <t xml:space="preserve">Hand spread: Siegfried Annual Report 2025 – Financial Report (Swiss GAAP FER), p.7 – Net profit attributable to shareholders FY24: CHF 160,064k
[Converted to USD at the 2024 average CHF rate, FX!C6; value above is in CHF m.]</t>
        </r>
      </text>
    </comment>
    <comment ref="Q287" authorId="0">
      <text>
        <r>
          <rPr>
            <sz val="10"/>
            <rFont val="Arial"/>
            <family val="2"/>
          </rPr>
          <t xml:space="preserve">Hand spread: Siegfried Annual Report 2024 (Full Report) – Financial Report section, p.7 (PDF p.143) – Net profit attributable to shareholders FY23: CHF 112,774k
[Converted to USD at the 2023 average CHF rate, FX!B6; value above is in CHF m.]</t>
        </r>
      </text>
    </comment>
    <comment ref="Q295" authorId="0">
      <text>
        <r>
          <rPr>
            <sz val="10"/>
            <rFont val="Arial"/>
            <family val="2"/>
          </rPr>
          <t xml:space="preserve">Hand spread: Siegfried Annual Report 2025 – Financial Report (Swiss GAAP FER), p.7 – Diluted EPS FY25: CHF 3.84 (post 1:10 split)
[Converted to USD at the 2025 average CHF rate, FX!D6; value above is in CHF m.]</t>
        </r>
      </text>
    </comment>
    <comment ref="Q296" authorId="0">
      <text>
        <r>
          <rPr>
            <sz val="10"/>
            <rFont val="Arial"/>
            <family val="2"/>
          </rPr>
          <t xml:space="preserve">Hand spread: Siegfried Annual Report 2025 – Financial Report (Swiss GAAP FER), p.7 – Diluted EPS FY24: CHF 3.69 (restated for 1:10 split of 28-Apr-25)
[Converted to USD at the 2024 average CHF rate, FX!C6; value above is in CHF m.]</t>
        </r>
      </text>
    </comment>
    <comment ref="Q297" authorId="0">
      <text>
        <r>
          <rPr>
            <sz val="10"/>
            <rFont val="Arial"/>
            <family val="2"/>
          </rPr>
          <t xml:space="preserve">Hand spread: Siegfried Annual Report 2024 (Full Report) – Financial Report section, p.7 (PDF p.143) – Diluted EPS FY23 as reported CHF 26.22, divided by 10 for the 1:10 share split (April 2025) = CHF 2.622 [calc]
[Converted to USD at the 2023 average CHF rate, FX!B6; value above is in CHF m.]</t>
        </r>
      </text>
    </comment>
    <comment ref="Q309" authorId="0">
      <text>
        <r>
          <rPr>
            <sz val="10"/>
            <rFont val="Arial"/>
            <family val="2"/>
          </rPr>
          <t xml:space="preserve">Hand spread: reporting currency of the financial statements = CHF.</t>
        </r>
      </text>
    </comment>
    <comment ref="Q313" authorId="0">
      <text>
        <r>
          <rPr>
            <sz val="10"/>
            <rFont val="Arial"/>
            <family val="2"/>
          </rPr>
          <t xml:space="preserve">Hand spread: ECB spot USD per CHF at this column's pricing date (row 2) – FX tab.</t>
        </r>
      </text>
    </comment>
    <comment ref="Q315" authorId="0">
      <text>
        <r>
          <rPr>
            <sz val="10"/>
            <rFont val="Arial"/>
            <family val="2"/>
          </rPr>
          <t xml:space="preserve">Hand spread: balance sheet date of the latest filing (Siegfried Half-Year Report 2026 (30-Jun-26, Swiss GAAP FER)).</t>
        </r>
      </text>
    </comment>
    <comment ref="Q316" authorId="0">
      <text>
        <r>
          <rPr>
            <sz val="10"/>
            <rFont val="Arial"/>
            <family val="2"/>
          </rPr>
          <t xml:space="preserve">Hand spread: ECB spot USD per CHF at the 30-Jun-26 balance sheet date – FX tab.</t>
        </r>
      </text>
    </comment>
    <comment ref="Q327" authorId="0">
      <text>
        <r>
          <rPr>
            <sz val="10"/>
            <rFont val="Arial"/>
            <family val="2"/>
          </rPr>
          <t xml:space="preserve">Hand spread: Siegfried Half-Year Report 2026 (30-Jun-26, Swiss GAAP FER) – Swiss GAAP FER reporter: no IFRS 16 right-of-use depreciation; EBITDA already pre-IFRS 16.</t>
        </r>
      </text>
    </comment>
    <comment ref="Q328" authorId="0">
      <text>
        <r>
          <rPr>
            <sz val="10"/>
            <rFont val="Arial"/>
            <family val="2"/>
          </rPr>
          <t xml:space="preserve">Hand spread: Siegfried Half-Year Report 2026 (30-Jun-26, Swiss GAAP FER) – Swiss GAAP FER reporter: no IFRS 16 lease interest.</t>
        </r>
      </text>
    </comment>
    <comment ref="Q339" authorId="0">
      <text>
        <r>
          <rPr>
            <sz val="10"/>
            <rFont val="Arial"/>
            <family val="2"/>
          </rPr>
          <t xml:space="preserve">Hand spread: Siegfried Annual Report 2025 – Financial Report (Swiss GAAP FER), p.8 – Cash flow FY25 [calc]: Purchase of PP&amp;E 211,914 + Purchase of intangible and other assets 19,555 = CHF 231,469k
[Converted to USD at the 2025 average CHF rate, FX!D6; value above is in CHF m.]</t>
        </r>
      </text>
    </comment>
    <comment ref="Q340" authorId="0">
      <text>
        <r>
          <rPr>
            <sz val="10"/>
            <rFont val="Arial"/>
            <family val="2"/>
          </rPr>
          <t xml:space="preserve">Hand spread: Siegfried Annual Report 2025 – Financial Report (Swiss GAAP FER), p.8 – Cash flow FY24 [calc]: PP&amp;E 165,301 + intangible and other assets 15,546 = CHF 180,847k
[Converted to USD at the 2024 average CHF rate, FX!C6; value above is in CHF m.]</t>
        </r>
      </text>
    </comment>
    <comment ref="Q341" authorId="0">
      <text>
        <r>
          <rPr>
            <sz val="10"/>
            <rFont val="Arial"/>
            <family val="2"/>
          </rPr>
          <t xml:space="preserve">Hand spread: Siegfried Annual Report 2024 (Full Report) – Financial Report section, p.8 (PDF p.144) – Cash flow FY23 [calc]: PP&amp;E 127,441 + intangible and other assets 9,653 = CHF 137,094k
[Converted to USD at the 2023 average CHF rate, FX!B6; value above is in CHF m.]</t>
        </r>
      </text>
    </comment>
    <comment ref="R13" authorId="0">
      <text>
        <r>
          <rPr>
            <sz val="10"/>
            <rFont val="Arial"/>
            <family val="2"/>
          </rPr>
          <t xml:space="preserve">Latest filing used for the balance sheet / share data. See cell notes for every figure and the "Spread Notes" tab.</t>
        </r>
      </text>
    </comment>
    <comment ref="R43" authorId="0">
      <text>
        <r>
          <rPr>
            <sz val="10"/>
            <rFont val="Arial"/>
            <family val="2"/>
          </rPr>
          <t xml:space="preserve">Hand spread: Lonza Half-Year Report 2026 (30-Jun-26, IFRS; via SGXNet), p.10 – Condensed consolidated balance sheet – Cash and cash equivalents: CHF 487m (excludes CHF 64m cash classified as held for sale, p.12)</t>
        </r>
      </text>
    </comment>
    <comment ref="R44" authorId="0">
      <text>
        <r>
          <rPr>
            <sz val="10"/>
            <rFont val="Arial"/>
            <family val="2"/>
          </rPr>
          <t xml:space="preserve">Hand spread: Lonza Half-Year Report 2026 (30-Jun-26, IFRS; via SGXNet), p.10 – no short-term deposits/investments at 30-Jun-26 (Other investments of 44 at FV are strategic, p.18 – excluded).</t>
        </r>
      </text>
    </comment>
    <comment ref="R46" authorId="0">
      <text>
        <r>
          <rPr>
            <sz val="10"/>
            <rFont val="Arial"/>
            <family val="2"/>
          </rPr>
          <t xml:space="preserve">Hand spread: Lonza Annual Report 2025 (IFRS; continuing operations, C&amp;HI restated as discontinued), p.87 (Note 7 Other non-current assets) – Investments in associates / joint ventures at 31-Dec-25: CHF 33m (mainly BioAtrium AG, note 8.2; not shown separately in the H1-26 balance sheet – latest disclosed figure used). FactSet's 64.4 was USD and is replaced.</t>
        </r>
      </text>
    </comment>
    <comment ref="R47" authorId="0">
      <text>
        <r>
          <rPr>
            <sz val="10"/>
            <rFont val="Arial"/>
            <family val="2"/>
          </rPr>
          <t xml:space="preserve">Hand spread: Lonza Half-Year Report 2026 (30-Jun-26, IFRS; via SGXNet), p.10 – PF ADJUSTMENT [calc]: Assets held for sale 2,604 less Liabilities held for sale 497 = CHF 2,107m net assets of Capsules &amp; Health Ingredients (agreed divestiture, EV CHF 2.3bn per AR25; closing expected H2-26). Added as cash-like because C&amp;HI is presented as discontinued operations and excluded from restated/continuing earnings. JUDGEMENT – remove if consensus still includes C&amp;HI.</t>
        </r>
      </text>
    </comment>
    <comment ref="R55" authorId="0">
      <text>
        <r>
          <rPr>
            <sz val="10"/>
            <rFont val="Arial"/>
            <family val="2"/>
          </rPr>
          <t xml:space="preserve">Hand spread: Lonza Half-Year Report 2026 (30-Jun-26, IFRS; via SGXNet), p.10 – Current debt: CHF 774m (straight bonds/other debt; lease liabilities are NOT in Lonza's debt lines – shown within other liabilities, AR25 Note 15 p.97)</t>
        </r>
      </text>
    </comment>
    <comment ref="R56" authorId="0">
      <text>
        <r>
          <rPr>
            <sz val="10"/>
            <rFont val="Arial"/>
            <family val="2"/>
          </rPr>
          <t xml:space="preserve">Hand spread: Lonza Half-Year Report 2026 (30-Jun-26, IFRS; via SGXNet), p.10 – Non-current debt: CHF 3,393m. Cross-check p.18: straight bonds 3,916 + other debt 250 = 4,166 vs. 774 + 3,393 = 4,167.</t>
        </r>
      </text>
    </comment>
    <comment ref="R58" authorId="0">
      <text>
        <r>
          <rPr>
            <sz val="10"/>
            <rFont val="Arial"/>
            <family val="2"/>
          </rPr>
          <t xml:space="preserve">Hand spread: Lonza Annual Report 2025 (IFRS; continuing operations, C&amp;HI restated as discontinued), p.97 (Note 15 Other non-current and current liabilities) – IFRS 16 lease liabilities: non-current 321 + current 34 = CHF 355m at 31-Dec-25 [calc] (latest disclosed; not updated in HY26). Entered here and reversed in rows 62/63 so EV is on a pre-IFRS 16 basis (net nil).</t>
        </r>
      </text>
    </comment>
    <comment ref="R62" authorId="0">
      <text>
        <r>
          <rPr>
            <sz val="10"/>
            <rFont val="Arial"/>
            <family val="2"/>
          </rPr>
          <t xml:space="preserve">Hand spread: IFRS 16 lease liabilities = row 58 (other debt) – see row 58 note for source. Reversed in row 63 when the pre-IFRS 16 toggle (F5) = 1.</t>
        </r>
      </text>
    </comment>
    <comment ref="R70" authorId="0">
      <text>
        <r>
          <rPr>
            <sz val="10"/>
            <rFont val="Arial"/>
            <family val="2"/>
          </rPr>
          <t xml:space="preserve">Hand spread: Lonza Annual Report 2025 (IFRS; continuing operations, C&amp;HI restated as discontinued), p.106 (Note 23 Employee benefits) – Total net defined benefit (asset)/liability at 31-Dec-25: (103) i.e. net ASSET 103 (entered as negative liability). Latest disclosure.</t>
        </r>
      </text>
    </comment>
    <comment ref="R71" authorId="0">
      <text>
        <r>
          <rPr>
            <sz val="10"/>
            <rFont val="Arial"/>
            <family val="2"/>
          </rPr>
          <t xml:space="preserve">Statutory tax rate 13.00% for SWITZERLAND, from the "Tax Rates" tab of the external LGC – WACC and Trading Comps_v2.xlsx (external link removed; cached value kept). Used only to tax-effect the pension deficit (row 72).</t>
        </r>
      </text>
    </comment>
    <comment ref="R74" authorId="0">
      <text>
        <r>
          <rPr>
            <sz val="10"/>
            <rFont val="Arial"/>
            <family val="2"/>
          </rPr>
          <t xml:space="preserve">Hand spread: Lonza Half-Year Report 2026 (30-Jun-26, IFRS; via SGXNet), p.10 – Non-controlling interests: CHF 32m</t>
        </r>
      </text>
    </comment>
    <comment ref="R77" authorId="0">
      <text>
        <r>
          <rPr>
            <sz val="10"/>
            <rFont val="Arial"/>
            <family val="2"/>
          </rPr>
          <t xml:space="preserve">Hand spread: Lonza Half-Year Report 2026 (30-Jun-26, IFRS; via SGXNet) – no preferred stock.</t>
        </r>
      </text>
    </comment>
    <comment ref="R81" authorId="0">
      <text>
        <r>
          <rPr>
            <sz val="10"/>
            <rFont val="Arial"/>
            <family val="2"/>
          </rPr>
          <t xml:space="preserve">Hand spread: Lonza Half-Year Report 2026 (30-Jun-26, IFRS; via SGXNet), p.10 – Equity attributable to equity holders of the parent: CHF 8,120m</t>
        </r>
      </text>
    </comment>
    <comment ref="R137" authorId="0">
      <text>
        <r>
          <rPr>
            <sz val="10"/>
            <rFont val="Arial"/>
            <family val="2"/>
          </rPr>
          <t xml:space="preserve">Hand spread: Lonza Annual Report 2025 (IFRS; continuing operations, C&amp;HI restated as discontinued), p.115 (Note 25 Changes in shares) – Total number of shares 70,229,021 less treasury shares 384,792 = 69,844,229 outstanding at 31-Dec-25 [calc]. H1-26 count not disclosed (CHF 124m treasury purchases in H1-26, p.12 – not reflected).</t>
        </r>
      </text>
    </comment>
    <comment ref="R159" authorId="0">
      <text>
        <r>
          <rPr>
            <sz val="10"/>
            <rFont val="Arial"/>
            <family val="2"/>
          </rPr>
          <t xml:space="preserve">Hand spread: Lonza Annual Report 2025 (IFRS; continuing operations, C&amp;HI restated as discontinued), p.110-111 (Note 24 Share-based payments) – equity awards outstanding at 31-Dec-25: LRSP 63,248 (p.110) + ShareMatch 56,491 (p.111) = 119,739 [calc] (zero strike)</t>
        </r>
      </text>
    </comment>
    <comment ref="R160" authorId="0">
      <text>
        <r>
          <rPr>
            <sz val="10"/>
            <rFont val="Arial"/>
            <family val="2"/>
          </rPr>
          <t xml:space="preserve">Hand spread: Lonza Annual Report 2025 (IFRS; continuing operations, C&amp;HI restated as discontinued), p.110 – LTIP equity awards outstanding at 31-Dec-25 (at target): 127,761 (zero strike; 0–200% payout)</t>
        </r>
      </text>
    </comment>
    <comment ref="R189" authorId="0">
      <text>
        <r>
          <rPr>
            <sz val="10"/>
            <rFont val="Arial"/>
            <family val="2"/>
          </rPr>
          <t xml:space="preserve">Hand spread: Lonza Half-Year Report 2026 (30-Jun-26, IFRS; via SGXNet) – fiscal year ends 31 December.</t>
        </r>
      </text>
    </comment>
    <comment ref="R192" authorId="0">
      <text>
        <r>
          <rPr>
            <sz val="10"/>
            <rFont val="Arial"/>
            <family val="2"/>
          </rPr>
          <t xml:space="preserve">Kim, Justin G.:
Most companies will end their fiscal year in December; however companies like Takeda report Fiscal Year end on a different quarter - this requires you to recalendarize the line items so they are apples-to-apples with other companies ending their FY in December 31</t>
        </r>
      </text>
    </comment>
    <comment ref="R205" authorId="0">
      <text>
        <r>
          <rPr>
            <sz val="10"/>
            <rFont val="Arial"/>
            <family val="2"/>
          </rPr>
          <t xml:space="preserve">Hand spread: Lonza Annual Report 2025 (IFRS; continuing operations, C&amp;HI restated as discontinued), p.66 (Consolidated income statement) – Sales FY25 (continuing): CHF 6,531m
[Converted to USD at the 2025 average CHF rate, FX!D6; value above is in CHF m.]</t>
        </r>
      </text>
    </comment>
    <comment ref="R206" authorId="0">
      <text>
        <r>
          <rPr>
            <sz val="10"/>
            <rFont val="Arial"/>
            <family val="2"/>
          </rPr>
          <t xml:space="preserve">Hand spread: Lonza Annual Report 2025 (IFRS; continuing operations, C&amp;HI restated as discontinued), p.66 – Sales FY24 (restated, continuing): CHF 5,480m
[Converted to USD at the 2024 average CHF rate, FX!C6; value above is in CHF m.]</t>
        </r>
      </text>
    </comment>
    <comment ref="R207" authorId="0">
      <text>
        <r>
          <rPr>
            <sz val="10"/>
            <rFont val="Arial"/>
            <family val="2"/>
          </rPr>
          <t xml:space="preserve">Hand spread: Lonza Annual Report 2024 (IFRS, as originally reported – incl. Capsules &amp; Health Ingredients), p.66 – Sales FY23 as originally reported: CHF 6,717m. NOT COMPARABLE – includes C&amp;HI (no restated FY23 published).
[Converted to USD at the 2023 average CHF rate, FX!B6; value above is in CHF m.]</t>
        </r>
      </text>
    </comment>
    <comment ref="R215" authorId="0">
      <text>
        <r>
          <rPr>
            <sz val="10"/>
            <rFont val="Arial"/>
            <family val="2"/>
          </rPr>
          <t xml:space="preserve">Hand spread: Lonza Annual Report 2025 (IFRS; continuing operations, C&amp;HI restated as discontinued), p.66 – Gross profit FY25: CHF 2,309m
[Converted to USD at the 2025 average CHF rate, FX!D6; value above is in CHF m.]</t>
        </r>
      </text>
    </comment>
    <comment ref="R216" authorId="0">
      <text>
        <r>
          <rPr>
            <sz val="10"/>
            <rFont val="Arial"/>
            <family val="2"/>
          </rPr>
          <t xml:space="preserve">Hand spread: Lonza Annual Report 2025 (IFRS; continuing operations, C&amp;HI restated as discontinued), p.66 – Gross profit FY24 (restated): CHF 1,793m
[Converted to USD at the 2024 average CHF rate, FX!C6; value above is in CHF m.]</t>
        </r>
      </text>
    </comment>
    <comment ref="R217" authorId="0">
      <text>
        <r>
          <rPr>
            <sz val="10"/>
            <rFont val="Arial"/>
            <family val="2"/>
          </rPr>
          <t xml:space="preserve">Hand spread: Lonza Annual Report 2024 (IFRS, as originally reported – incl. Capsules &amp; Health Ingredients), p.66 – Gross profit FY23 (incl. C&amp;HI): CHF 1,948m
[Converted to USD at the 2023 average CHF rate, FX!B6; value above is in CHF m.]</t>
        </r>
      </text>
    </comment>
    <comment ref="R225" authorId="0">
      <text>
        <r>
          <rPr>
            <sz val="10"/>
            <rFont val="Arial"/>
            <family val="2"/>
          </rPr>
          <t xml:space="preserve">Hand spread: Lonza Annual Report 2025 (IFRS; continuing operations, C&amp;HI restated as discontinued), p.66 – Research and development FY25: CHF 112m
[Converted to USD at the 2025 average CHF rate, FX!D6; value above is in CHF m.]</t>
        </r>
      </text>
    </comment>
    <comment ref="R226" authorId="0">
      <text>
        <r>
          <rPr>
            <sz val="10"/>
            <rFont val="Arial"/>
            <family val="2"/>
          </rPr>
          <t xml:space="preserve">Hand spread: Lonza Annual Report 2025 (IFRS; continuing operations, C&amp;HI restated as discontinued), p.66 – Research and development FY24 (restated): CHF 102m
[Converted to USD at the 2024 average CHF rate, FX!C6; value above is in CHF m.]</t>
        </r>
      </text>
    </comment>
    <comment ref="R227" authorId="0">
      <text>
        <r>
          <rPr>
            <sz val="10"/>
            <rFont val="Arial"/>
            <family val="2"/>
          </rPr>
          <t xml:space="preserve">Hand spread: Lonza Annual Report 2024 (IFRS, as originally reported – incl. Capsules &amp; Health Ingredients), p.66 – Research and development FY23 (incl. C&amp;HI): CHF 105m
[Converted to USD at the 2023 average CHF rate, FX!B6; value above is in CHF m.]</t>
        </r>
      </text>
    </comment>
    <comment ref="R235" authorId="0">
      <text>
        <r>
          <rPr>
            <sz val="10"/>
            <rFont val="Arial"/>
            <family val="2"/>
          </rPr>
          <t xml:space="preserve">Hand spread: Lonza Annual Report 2025 (IFRS; continuing operations, C&amp;HI restated as discontinued), p.66 – SG&amp;A FY25 [calc] = Marketing and distribution 190 + Administration and general overheads 726 = CHF 916m
[Converted to USD at the 2025 average CHF rate, FX!D6; value above is in CHF m.]</t>
        </r>
      </text>
    </comment>
    <comment ref="R236" authorId="0">
      <text>
        <r>
          <rPr>
            <sz val="10"/>
            <rFont val="Arial"/>
            <family val="2"/>
          </rPr>
          <t xml:space="preserve">Hand spread: Lonza Annual Report 2025 (IFRS; continuing operations, C&amp;HI restated as discontinued), p.66 – SG&amp;A FY24 [calc] = Marketing and distribution 186 + Administration and general overheads 599 = CHF 785m
[Converted to USD at the 2024 average CHF rate, FX!C6; value above is in CHF m.]</t>
        </r>
      </text>
    </comment>
    <comment ref="R237" authorId="0">
      <text>
        <r>
          <rPr>
            <sz val="10"/>
            <rFont val="Arial"/>
            <family val="2"/>
          </rPr>
          <t xml:space="preserve">Hand spread: Lonza Annual Report 2024 (IFRS, as originally reported – incl. Capsules &amp; Health Ingredients), p.66 – SG&amp;A FY23 [calc] = Marketing and distribution 237 + Administration and general overheads 732 = CHF 969m (incl. C&amp;HI)
[Converted to USD at the 2023 average CHF rate, FX!B6; value above is in CHF m.]</t>
        </r>
      </text>
    </comment>
    <comment ref="R245" authorId="0">
      <text>
        <r>
          <rPr>
            <sz val="10"/>
            <rFont val="Arial"/>
            <family val="2"/>
          </rPr>
          <t xml:space="preserve">Hand spread: Lonza Annual Report 2025 (IFRS; continuing operations, C&amp;HI restated as discontinued), p.66 – Result from operating activities (EBIT) FY25: CHF 1,239m
[Converted to USD at the 2025 average CHF rate, FX!D6; value above is in CHF m.]</t>
        </r>
      </text>
    </comment>
    <comment ref="R246" authorId="0">
      <text>
        <r>
          <rPr>
            <sz val="10"/>
            <rFont val="Arial"/>
            <family val="2"/>
          </rPr>
          <t xml:space="preserve">Hand spread: Lonza Annual Report 2025 (IFRS; continuing operations, C&amp;HI restated as discontinued), p.66 – EBIT FY24 (restated): CHF 908m
[Converted to USD at the 2024 average CHF rate, FX!C6; value above is in CHF m.]</t>
        </r>
      </text>
    </comment>
    <comment ref="R247" authorId="0">
      <text>
        <r>
          <rPr>
            <sz val="10"/>
            <rFont val="Arial"/>
            <family val="2"/>
          </rPr>
          <t xml:space="preserve">Hand spread: Lonza Annual Report 2024 (IFRS, as originally reported – incl. Capsules &amp; Health Ingredients), p.66 – EBIT FY23 (incl. C&amp;HI): CHF 880m
[Converted to USD at the 2023 average CHF rate, FX!B6; value above is in CHF m.]</t>
        </r>
      </text>
    </comment>
    <comment ref="R265" authorId="0">
      <text>
        <r>
          <rPr>
            <sz val="10"/>
            <rFont val="Arial"/>
            <family val="2"/>
          </rPr>
          <t xml:space="preserve">Hand spread: Lonza Annual Report 2025 (IFRS; continuing operations, C&amp;HI restated as discontinued), p.74-75 (Note 2 – CORE EBITDA reconciliation) – EBITDA FY25 [calc] = EBIT 1,239 + D&amp;A of PP&amp;E and intangibles 646 + impairment net of reversals 85 = CHF 1,970m (reported basis; CORE EBITDA of 2,064 additionally excludes special items)
[Converted to USD at the 2025 average CHF rate, FX!D6; value above is in CHF m.]</t>
        </r>
      </text>
    </comment>
    <comment ref="R266" authorId="0">
      <text>
        <r>
          <rPr>
            <sz val="10"/>
            <rFont val="Arial"/>
            <family val="2"/>
          </rPr>
          <t xml:space="preserve">Hand spread: Lonza Annual Report 2025 (IFRS; continuing operations, C&amp;HI restated as discontinued), p.74-75 – EBITDA FY24 (restated) [calc] = EBIT 908 + D&amp;A 474 + impairment net 70 = CHF 1,452m
[Converted to USD at the 2024 average CHF rate, FX!C6; value above is in CHF m.]</t>
        </r>
      </text>
    </comment>
    <comment ref="R267" authorId="0">
      <text>
        <r>
          <rPr>
            <sz val="10"/>
            <rFont val="Arial"/>
            <family val="2"/>
          </rPr>
          <t xml:space="preserve">Hand spread: Lonza Annual Report 2024 (IFRS, as originally reported – incl. Capsules &amp; Health Ingredients), p.72-73 (CORE EBITDA reconciliation) – EBITDA FY23 [calc] = EBIT 880 + D&amp;A 648 + impairment net 439 = CHF 1,967m (incl. C&amp;HI)
[Converted to USD at the 2023 average CHF rate, FX!B6; value above is in CHF m.]</t>
        </r>
      </text>
    </comment>
    <comment ref="R285" authorId="0">
      <text>
        <r>
          <rPr>
            <sz val="10"/>
            <rFont val="Arial"/>
            <family val="2"/>
          </rPr>
          <t xml:space="preserve">Hand spread: Lonza Annual Report 2025 (IFRS; continuing operations, C&amp;HI restated as discontinued), p.66 – Profit from continuing operations FY25: CHF 909m (total incl. C&amp;HI loss: (275))
[Converted to USD at the 2025 average CHF rate, FX!D6; value above is in CHF m.]</t>
        </r>
      </text>
    </comment>
    <comment ref="R286" authorId="0">
      <text>
        <r>
          <rPr>
            <sz val="10"/>
            <rFont val="Arial"/>
            <family val="2"/>
          </rPr>
          <t xml:space="preserve">Hand spread: Lonza Annual Report 2025 (IFRS; continuing operations, C&amp;HI restated as discontinued), p.66 – Profit from continuing operations FY24 (restated): CHF 602m
[Converted to USD at the 2024 average CHF rate, FX!C6; value above is in CHF m.]</t>
        </r>
      </text>
    </comment>
    <comment ref="R287" authorId="0">
      <text>
        <r>
          <rPr>
            <sz val="10"/>
            <rFont val="Arial"/>
            <family val="2"/>
          </rPr>
          <t xml:space="preserve">Hand spread: Lonza Annual Report 2024 (IFRS, as originally reported – incl. Capsules &amp; Health Ingredients), p.66 – Profit attributable to equity holders FY23 (incl. C&amp;HI): CHF 654m
[Converted to USD at the 2023 average CHF rate, FX!B6; value above is in CHF m.]</t>
        </r>
      </text>
    </comment>
    <comment ref="R295" authorId="0">
      <text>
        <r>
          <rPr>
            <sz val="10"/>
            <rFont val="Arial"/>
            <family val="2"/>
          </rPr>
          <t xml:space="preserve">Hand spread: Lonza Annual Report 2025 (IFRS; continuing operations, C&amp;HI restated as discontinued), p.66 – Diluted EPS from continuing operations FY25: CHF 13.00
[Converted to USD at the 2025 average CHF rate, FX!D6; value above is in CHF m.]</t>
        </r>
      </text>
    </comment>
    <comment ref="R296" authorId="0">
      <text>
        <r>
          <rPr>
            <sz val="10"/>
            <rFont val="Arial"/>
            <family val="2"/>
          </rPr>
          <t xml:space="preserve">Hand spread: Lonza Annual Report 2025 (IFRS; continuing operations, C&amp;HI restated as discontinued), p.66 – Diluted EPS from continuing operations FY24 (restated): CHF 8.49
[Converted to USD at the 2024 average CHF rate, FX!C6; value above is in CHF m.]</t>
        </r>
      </text>
    </comment>
    <comment ref="R297" authorId="0">
      <text>
        <r>
          <rPr>
            <sz val="10"/>
            <rFont val="Arial"/>
            <family val="2"/>
          </rPr>
          <t xml:space="preserve">Hand spread: Lonza Annual Report 2024 (IFRS, as originally reported – incl. Capsules &amp; Health Ingredients), p.66 – Diluted EPS FY23 (incl. C&amp;HI): CHF 8.88
[Converted to USD at the 2023 average CHF rate, FX!B6; value above is in CHF m.]</t>
        </r>
      </text>
    </comment>
    <comment ref="R309" authorId="0">
      <text>
        <r>
          <rPr>
            <sz val="10"/>
            <rFont val="Arial"/>
            <family val="2"/>
          </rPr>
          <t xml:space="preserve">Hand spread: reporting currency of the financial statements = CHF.</t>
        </r>
      </text>
    </comment>
    <comment ref="R313" authorId="0">
      <text>
        <r>
          <rPr>
            <sz val="10"/>
            <rFont val="Arial"/>
            <family val="2"/>
          </rPr>
          <t xml:space="preserve">Hand spread: ECB spot USD per CHF at this column's pricing date (row 2) – FX tab.</t>
        </r>
      </text>
    </comment>
    <comment ref="R315" authorId="0">
      <text>
        <r>
          <rPr>
            <sz val="10"/>
            <rFont val="Arial"/>
            <family val="2"/>
          </rPr>
          <t xml:space="preserve">Hand spread: balance sheet date of the latest filing (Lonza Half-Year Report 2026 (30-Jun-26, IFRS; via SGXNet)).</t>
        </r>
      </text>
    </comment>
    <comment ref="R316" authorId="0">
      <text>
        <r>
          <rPr>
            <sz val="10"/>
            <rFont val="Arial"/>
            <family val="2"/>
          </rPr>
          <t xml:space="preserve">Hand spread: ECB spot USD per CHF at the 30-Jun-26 balance sheet date – FX tab.</t>
        </r>
      </text>
    </comment>
    <comment ref="R327" authorId="0">
      <text>
        <r>
          <rPr>
            <sz val="10"/>
            <rFont val="Arial"/>
            <family val="2"/>
          </rPr>
          <t xml:space="preserve">Hand spread: Lonza Annual Report 2025 (IFRS; continuing operations, C&amp;HI restated as discontinued), p.86 (Note – Leases) – Depreciation of right-of-use assets FY25: CHF 40m. Used as LTM proxy – H1-26 report does not disclose ROU depreciation.</t>
        </r>
      </text>
    </comment>
    <comment ref="R328" authorId="0">
      <text>
        <r>
          <rPr>
            <sz val="10"/>
            <rFont val="Arial"/>
            <family val="2"/>
          </rPr>
          <t xml:space="preserve">Hand spread: LTM lease interest [calc] = Lonza Annual Report 2025 (IFRS; continuing operations, C&amp;HI restated as discontinued) p.86 interest expense on lease liabilities FY25 13 + Lonza Half-Year Report 2026 (30-Jun-26, IFRS; via SGXNet) p.19 (Note 6) net interest on IFRS 16 lease liabilities H1-26 7 – H1-25 6 = CHF 14m</t>
        </r>
      </text>
    </comment>
    <comment ref="R339" authorId="0">
      <text>
        <r>
          <rPr>
            <sz val="10"/>
            <rFont val="Arial"/>
            <family val="2"/>
          </rPr>
          <t xml:space="preserve">Hand spread: Lonza Annual Report 2025 (IFRS; continuing operations, C&amp;HI restated as discontinued), p.68 (Consolidated cash flow statement) – FY25 [calc]: Purchase of PP&amp;E 1,321 + intangible assets 52 = CHF 1,373m (total group incl. C&amp;HI – cash flow not split)
[Converted to USD at the 2025 average CHF rate, FX!D6; value above is in CHF m.]</t>
        </r>
      </text>
    </comment>
    <comment ref="R340" authorId="0">
      <text>
        <r>
          <rPr>
            <sz val="10"/>
            <rFont val="Arial"/>
            <family val="2"/>
          </rPr>
          <t xml:space="preserve">Hand spread: Lonza Annual Report 2025 (IFRS; continuing operations, C&amp;HI restated as discontinued), p.68 – FY24 [calc]: PP&amp;E 1,381 + intangibles 36 = CHF 1,417m (total group)
[Converted to USD at the 2024 average CHF rate, FX!C6; value above is in CHF m.]</t>
        </r>
      </text>
    </comment>
    <comment ref="R341" authorId="0">
      <text>
        <r>
          <rPr>
            <sz val="10"/>
            <rFont val="Arial"/>
            <family val="2"/>
          </rPr>
          <t xml:space="preserve">Hand spread: Lonza Annual Report 2024 (IFRS, as originally reported – incl. Capsules &amp; Health Ingredients), p.68 – FY23 [calc]: PP&amp;E 1,653 + intangibles 29 = CHF 1,682m (total group)
[Converted to USD at the 2023 average CHF rate, FX!B6; value above is in CHF m.]</t>
        </r>
      </text>
    </comment>
    <comment ref="S13" authorId="0">
      <text>
        <r>
          <rPr>
            <sz val="10"/>
            <rFont val="Arial"/>
            <family val="2"/>
          </rPr>
          <t xml:space="preserve">Latest filing used for the balance sheet / share data. See cell notes for every figure and the "Spread Notes" tab.</t>
        </r>
      </text>
    </comment>
    <comment ref="S43" authorId="0">
      <text>
        <r>
          <rPr>
            <sz val="10"/>
            <rFont val="Arial"/>
            <family val="2"/>
          </rPr>
          <t xml:space="preserve">Hand spread: Samsung Biologics 2026 2Q Reviewed Consolidated Interim FS (30-Jun-26, K-IFRS, English; also filed in DART </t>
        </r>
        <r>
          <rPr>
            <sz val="10"/>
            <rFont val="WenQuanYi Zen Hei"/>
            <family val="2"/>
          </rPr>
          <t xml:space="preserve">반기보고서 </t>
        </r>
        <r>
          <rPr>
            <sz val="10"/>
            <rFont val="Arial"/>
            <family val="2"/>
          </rPr>
          <t xml:space="preserve">2026.06), p.3 – Consolidated statement of financial position – Cash and cash equivalents: KRW 288,575,631,853 (KRW m)</t>
        </r>
      </text>
    </comment>
    <comment ref="S44" authorId="0">
      <text>
        <r>
          <rPr>
            <sz val="10"/>
            <rFont val="Arial"/>
            <family val="2"/>
          </rPr>
          <t xml:space="preserve">Hand spread: Samsung Biologics 2026 2Q Reviewed Consolidated Interim FS (30-Jun-26, K-IFRS, English; also filed in DART </t>
        </r>
        <r>
          <rPr>
            <sz val="10"/>
            <rFont val="WenQuanYi Zen Hei"/>
            <family val="2"/>
          </rPr>
          <t xml:space="preserve">반기보고서 </t>
        </r>
        <r>
          <rPr>
            <sz val="10"/>
            <rFont val="Arial"/>
            <family val="2"/>
          </rPr>
          <t xml:space="preserve">2026.06), p.3 – Short-term financial instruments (bank deposits): KRW 1,900,000,000,000</t>
        </r>
      </text>
    </comment>
    <comment ref="S45" authorId="0">
      <text>
        <r>
          <rPr>
            <sz val="10"/>
            <rFont val="Arial"/>
            <family val="2"/>
          </rPr>
          <t xml:space="preserve">Hand spread: Samsung Biologics 2026 2Q Reviewed Consolidated Interim FS (30-Jun-26, K-IFRS, English; also filed in DART </t>
        </r>
        <r>
          <rPr>
            <sz val="10"/>
            <rFont val="WenQuanYi Zen Hei"/>
            <family val="2"/>
          </rPr>
          <t xml:space="preserve">반기보고서 </t>
        </r>
        <r>
          <rPr>
            <sz val="10"/>
            <rFont val="Arial"/>
            <family val="2"/>
          </rPr>
          <t xml:space="preserve">2026.06), p.3 – Long-term financial instruments: KRW 6,000,000</t>
        </r>
      </text>
    </comment>
    <comment ref="S46" authorId="0">
      <text>
        <r>
          <rPr>
            <sz val="10"/>
            <rFont val="Arial"/>
            <family val="2"/>
          </rPr>
          <t xml:space="preserve">Hand spread: Samsung Biologics 2026 2Q Reviewed Consolidated Interim FS (30-Jun-26, K-IFRS, English; also filed in DART </t>
        </r>
        <r>
          <rPr>
            <sz val="10"/>
            <rFont val="WenQuanYi Zen Hei"/>
            <family val="2"/>
          </rPr>
          <t xml:space="preserve">반기보고서 </t>
        </r>
        <r>
          <rPr>
            <sz val="10"/>
            <rFont val="Arial"/>
            <family val="2"/>
          </rPr>
          <t xml:space="preserve">2026.06), p.3 – Investments in associates: KRW 51,938,446,870</t>
        </r>
      </text>
    </comment>
    <comment ref="S47" authorId="0">
      <text>
        <r>
          <rPr>
            <sz val="10"/>
            <rFont val="Arial"/>
            <family val="2"/>
          </rPr>
          <t xml:space="preserve">Hand spread: Samsung Biologics DART </t>
        </r>
        <r>
          <rPr>
            <sz val="10"/>
            <rFont val="WenQuanYi Zen Hei"/>
            <family val="2"/>
          </rPr>
          <t xml:space="preserve">주요사항보고서</t>
        </r>
        <r>
          <rPr>
            <sz val="10"/>
            <rFont val="Arial"/>
            <family val="2"/>
          </rPr>
          <t xml:space="preserve">(</t>
        </r>
        <r>
          <rPr>
            <sz val="10"/>
            <rFont val="WenQuanYi Zen Hei"/>
            <family val="2"/>
          </rPr>
          <t xml:space="preserve">유상증자결정</t>
        </r>
        <r>
          <rPr>
            <sz val="10"/>
            <rFont val="Arial"/>
            <family val="2"/>
          </rPr>
          <t xml:space="preserve">) 28-Aug-26 &amp; press release 28-Aug-26 – PF ADJUSTMENT: KRW 3tn rights offering – 2,270,000 new shares x expected issue price KRW 1,322,000 = KRW 3,000,940m gross proceeds [calc] (DART p.2). Final price fixed 4-Nov-26 (after pricing date); ~KRW 2.71tn earmarked for PolyPeptide acquisition (not closed). Shares added in row 142. JUDGEMENT – remove both if not treating as PF.</t>
        </r>
      </text>
    </comment>
    <comment ref="S55" authorId="0">
      <text>
        <r>
          <rPr>
            <sz val="10"/>
            <rFont val="Arial"/>
            <family val="2"/>
          </rPr>
          <t xml:space="preserve">Hand spread: Samsung Biologics 2026 2Q Reviewed Consolidated Interim FS (30-Jun-26, K-IFRS, English; also filed in DART </t>
        </r>
        <r>
          <rPr>
            <sz val="10"/>
            <rFont val="WenQuanYi Zen Hei"/>
            <family val="2"/>
          </rPr>
          <t xml:space="preserve">반기보고서 </t>
        </r>
        <r>
          <rPr>
            <sz val="10"/>
            <rFont val="Arial"/>
            <family val="2"/>
          </rPr>
          <t xml:space="preserve">2026.06), p.4 – Current debentures and borrowings: KRW 366,131,648,789 (debentures 319,887m + short-term borrowings 46,245m, p.11)</t>
        </r>
      </text>
    </comment>
    <comment ref="S56" authorId="0">
      <text>
        <r>
          <rPr>
            <sz val="10"/>
            <rFont val="Arial"/>
            <family val="2"/>
          </rPr>
          <t xml:space="preserve">Hand spread: Samsung Biologics 2026 2Q Reviewed Consolidated Interim FS (30-Jun-26, K-IFRS, English; also filed in DART </t>
        </r>
        <r>
          <rPr>
            <sz val="10"/>
            <rFont val="WenQuanYi Zen Hei"/>
            <family val="2"/>
          </rPr>
          <t xml:space="preserve">반기보고서 </t>
        </r>
        <r>
          <rPr>
            <sz val="10"/>
            <rFont val="Arial"/>
            <family val="2"/>
          </rPr>
          <t xml:space="preserve">2026.06), p.4 – Non-current debentures: KRW 599,227,527,623 (+ long-term borrowings of KRW 32.8m in other payables, immaterial)</t>
        </r>
      </text>
    </comment>
    <comment ref="S58" authorId="0">
      <text>
        <r>
          <rPr>
            <sz val="10"/>
            <rFont val="Arial"/>
            <family val="2"/>
          </rPr>
          <t xml:space="preserve">Hand spread: Samsung Biologics 2026 2Q Reviewed Consolidated Interim FS (30-Jun-26, K-IFRS, English; also filed in DART </t>
        </r>
        <r>
          <rPr>
            <sz val="10"/>
            <rFont val="WenQuanYi Zen Hei"/>
            <family val="2"/>
          </rPr>
          <t xml:space="preserve">반기보고서 </t>
        </r>
        <r>
          <rPr>
            <sz val="10"/>
            <rFont val="Arial"/>
            <family val="2"/>
          </rPr>
          <t xml:space="preserve">2026.06), p.4 &amp; Note 19 p.30 – IFRS 16 lease liabilities: current 40,403,725,409 + non-current 235,511,691,765 = KRW 275,915,417,174 [calc] (new building lease added H1-26). Reversed in rows 62/63 for pre-IFRS 16 basis.</t>
        </r>
      </text>
    </comment>
    <comment ref="S62" authorId="0">
      <text>
        <r>
          <rPr>
            <sz val="10"/>
            <rFont val="Arial"/>
            <family val="2"/>
          </rPr>
          <t xml:space="preserve">Hand spread: IFRS 16 lease liabilities = row 58 (other debt) – see row 58 note for source. Reversed in row 63 when the pre-IFRS 16 toggle (F5) = 1.</t>
        </r>
      </text>
    </comment>
    <comment ref="S70" authorId="0">
      <text>
        <r>
          <rPr>
            <sz val="10"/>
            <rFont val="Arial"/>
            <family val="2"/>
          </rPr>
          <t xml:space="preserve">Hand spread: Samsung Biologics 2026 2Q Reviewed Consolidated Interim FS (30-Jun-26, K-IFRS, English; also filed in DART </t>
        </r>
        <r>
          <rPr>
            <sz val="10"/>
            <rFont val="WenQuanYi Zen Hei"/>
            <family val="2"/>
          </rPr>
          <t xml:space="preserve">반기보고서 </t>
        </r>
        <r>
          <rPr>
            <sz val="10"/>
            <rFont val="Arial"/>
            <family val="2"/>
          </rPr>
          <t xml:space="preserve">2026.06), p.4 – Net defined benefit liabilities: KRW 7,273,161,796 (Dec-25: net asset 23,296m)</t>
        </r>
      </text>
    </comment>
    <comment ref="S71" authorId="0">
      <text>
        <r>
          <rPr>
            <sz val="10"/>
            <rFont val="Arial"/>
            <family val="2"/>
          </rPr>
          <t xml:space="preserve">Statutory tax rate 27.50% for SOUTH KOREA, from the "Tax Rates" tab of the external LGC – WACC and Trading Comps_v2.xlsx (external link removed; cached value kept). Used only to tax-effect the pension deficit (row 72).</t>
        </r>
      </text>
    </comment>
    <comment ref="S74" authorId="0">
      <text>
        <r>
          <rPr>
            <sz val="10"/>
            <rFont val="Arial"/>
            <family val="2"/>
          </rPr>
          <t xml:space="preserve">Hand spread: Samsung Biologics 2026 2Q Reviewed Consolidated Interim FS (30-Jun-26, K-IFRS, English; also filed in DART </t>
        </r>
        <r>
          <rPr>
            <sz val="10"/>
            <rFont val="WenQuanYi Zen Hei"/>
            <family val="2"/>
          </rPr>
          <t xml:space="preserve">반기보고서 </t>
        </r>
        <r>
          <rPr>
            <sz val="10"/>
            <rFont val="Arial"/>
            <family val="2"/>
          </rPr>
          <t xml:space="preserve">2026.06), p.4 – no non-controlling interests (total equity = equity attributable to owners)</t>
        </r>
      </text>
    </comment>
    <comment ref="S77" authorId="0">
      <text>
        <r>
          <rPr>
            <sz val="10"/>
            <rFont val="Arial"/>
            <family val="2"/>
          </rPr>
          <t xml:space="preserve">Hand spread: Samsung Biologics 2026 2Q Reviewed Consolidated Interim FS (30-Jun-26, K-IFRS, English; also filed in DART </t>
        </r>
        <r>
          <rPr>
            <sz val="10"/>
            <rFont val="WenQuanYi Zen Hei"/>
            <family val="2"/>
          </rPr>
          <t xml:space="preserve">반기보고서 </t>
        </r>
        <r>
          <rPr>
            <sz val="10"/>
            <rFont val="Arial"/>
            <family val="2"/>
          </rPr>
          <t xml:space="preserve">2026.06) – no preferred shares.</t>
        </r>
      </text>
    </comment>
    <comment ref="S81" authorId="0">
      <text>
        <r>
          <rPr>
            <sz val="10"/>
            <rFont val="Arial"/>
            <family val="2"/>
          </rPr>
          <t xml:space="preserve">Hand spread: Samsung Biologics 2026 2Q Reviewed Consolidated Interim FS (30-Jun-26, K-IFRS, English; also filed in DART </t>
        </r>
        <r>
          <rPr>
            <sz val="10"/>
            <rFont val="WenQuanYi Zen Hei"/>
            <family val="2"/>
          </rPr>
          <t xml:space="preserve">반기보고서 </t>
        </r>
        <r>
          <rPr>
            <sz val="10"/>
            <rFont val="Arial"/>
            <family val="2"/>
          </rPr>
          <t xml:space="preserve">2026.06), p.4 – Equity attributable to owners of the Parent: KRW 8,361,923,185,339</t>
        </r>
      </text>
    </comment>
    <comment ref="S137" authorId="0">
      <text>
        <r>
          <rPr>
            <sz val="10"/>
            <rFont val="Arial"/>
            <family val="2"/>
          </rPr>
          <t xml:space="preserve">Hand spread: Samsung Biologics 2026 2Q Reviewed Consolidated Interim FS (30-Jun-26, K-IFRS, English; also filed in DART </t>
        </r>
        <r>
          <rPr>
            <sz val="10"/>
            <rFont val="WenQuanYi Zen Hei"/>
            <family val="2"/>
          </rPr>
          <t xml:space="preserve">반기보고서 </t>
        </r>
        <r>
          <rPr>
            <sz val="10"/>
            <rFont val="Arial"/>
            <family val="2"/>
          </rPr>
          <t xml:space="preserve">2026.06), p.34 (Note 22) – 46,290,951 shares issued less 51,433 treasury shares (fractional shares from Nov-25 spin-off, Note 29 p.40) = 46,239,518 outstanding [calc]. NB: post Samsung Epis Holdings spin-off (1-Nov-25) share count fell from 71,174,000.</t>
        </r>
      </text>
    </comment>
    <comment ref="S142" authorId="0">
      <text>
        <r>
          <rPr>
            <sz val="10"/>
            <rFont val="Arial"/>
            <family val="2"/>
          </rPr>
          <t xml:space="preserve">Hand spread: Samsung Biologics DART </t>
        </r>
        <r>
          <rPr>
            <sz val="10"/>
            <rFont val="WenQuanYi Zen Hei"/>
            <family val="2"/>
          </rPr>
          <t xml:space="preserve">주요사항보고서</t>
        </r>
        <r>
          <rPr>
            <sz val="10"/>
            <rFont val="Arial"/>
            <family val="2"/>
          </rPr>
          <t xml:space="preserve">(</t>
        </r>
        <r>
          <rPr>
            <sz val="10"/>
            <rFont val="WenQuanYi Zen Hei"/>
            <family val="2"/>
          </rPr>
          <t xml:space="preserve">유상증자결정</t>
        </r>
        <r>
          <rPr>
            <sz val="10"/>
            <rFont val="Arial"/>
            <family val="2"/>
          </rPr>
          <t xml:space="preserve">) 28-Aug-26 &amp; press release 28-Aug-26 – PF ADJUSTMENT: 2,270,000 new common shares from KRW 3tn rights offering (DART p.2, '</t>
        </r>
        <r>
          <rPr>
            <sz val="10"/>
            <rFont val="WenQuanYi Zen Hei"/>
            <family val="2"/>
          </rPr>
          <t xml:space="preserve">신주의 종류와 수</t>
        </r>
        <r>
          <rPr>
            <sz val="10"/>
            <rFont val="Arial"/>
            <family val="2"/>
          </rPr>
          <t xml:space="preserve">'). Pre-issue shares 46,290,951.</t>
        </r>
      </text>
    </comment>
    <comment ref="S189" authorId="0">
      <text>
        <r>
          <rPr>
            <sz val="10"/>
            <rFont val="Arial"/>
            <family val="2"/>
          </rPr>
          <t xml:space="preserve">Hand spread: Samsung Biologics 2026 2Q Reviewed Consolidated Interim FS (30-Jun-26, K-IFRS, English; also filed in DART </t>
        </r>
        <r>
          <rPr>
            <sz val="10"/>
            <rFont val="WenQuanYi Zen Hei"/>
            <family val="2"/>
          </rPr>
          <t xml:space="preserve">반기보고서 </t>
        </r>
        <r>
          <rPr>
            <sz val="10"/>
            <rFont val="Arial"/>
            <family val="2"/>
          </rPr>
          <t xml:space="preserve">2026.06) – fiscal year ends 31 December.</t>
        </r>
      </text>
    </comment>
    <comment ref="S192" authorId="0">
      <text>
        <r>
          <rPr>
            <sz val="10"/>
            <rFont val="Arial"/>
            <family val="2"/>
          </rPr>
          <t xml:space="preserve">Kim, Justin G.:
Most companies will end their fiscal year in December; however companies like Takeda report Fiscal Year end on a different quarter - this requires you to recalendarize the line items so they are apples-to-apples with other companies ending their FY in December 31</t>
        </r>
      </text>
    </comment>
    <comment ref="S205" authorId="0">
      <text>
        <r>
          <rPr>
            <sz val="10"/>
            <rFont val="Arial"/>
            <family val="2"/>
          </rPr>
          <t xml:space="preserve">Hand spread: Samsung Biologics FY2025 Audited Consolidated FS (K-IFRS, English; Bioepis spin-off restated as discontinued), p.7 – Consolidated statement of comprehensive income – Revenue FY25 (continuing): KRW 4,556,971,695,180
[Converted to USD at the 2025 average KRW rate, FX!D9; value above is in KRW m.]</t>
        </r>
      </text>
    </comment>
    <comment ref="S206" authorId="0">
      <text>
        <r>
          <rPr>
            <sz val="10"/>
            <rFont val="Arial"/>
            <family val="2"/>
          </rPr>
          <t xml:space="preserve">Hand spread: Samsung Biologics FY2025 Audited Consolidated FS (K-IFRS, English; Bioepis spin-off restated as discontinued), p.7 – Revenue FY24 (restated, continuing): KRW 3,497,145,675,782
[Converted to USD at the 2024 average KRW rate, FX!C9; value above is in KRW m.]</t>
        </r>
      </text>
    </comment>
    <comment ref="S207" authorId="0">
      <text>
        <r>
          <rPr>
            <sz val="10"/>
            <rFont val="Arial"/>
            <family val="2"/>
          </rPr>
          <t xml:space="preserve">Hand spread: Samsung Biologics FY2024 </t>
        </r>
        <r>
          <rPr>
            <sz val="10"/>
            <rFont val="WenQuanYi Zen Hei"/>
            <family val="2"/>
          </rPr>
          <t xml:space="preserve">연결감사보고서 </t>
        </r>
        <r>
          <rPr>
            <sz val="10"/>
            <rFont val="Arial"/>
            <family val="2"/>
          </rPr>
          <t xml:space="preserve">(DART </t>
        </r>
        <r>
          <rPr>
            <sz val="10"/>
            <rFont val="WenQuanYi Zen Hei"/>
            <family val="2"/>
          </rPr>
          <t xml:space="preserve">사업보고서 </t>
        </r>
        <r>
          <rPr>
            <sz val="10"/>
            <rFont val="Arial"/>
            <family val="2"/>
          </rPr>
          <t xml:space="preserve">2024.12 attachment, as originally reported – incl. Samsung Bioepis), p.11 – </t>
        </r>
        <r>
          <rPr>
            <sz val="10"/>
            <rFont val="WenQuanYi Zen Hei"/>
            <family val="2"/>
          </rPr>
          <t xml:space="preserve">매출액 </t>
        </r>
        <r>
          <rPr>
            <sz val="10"/>
            <rFont val="Arial"/>
            <family val="2"/>
          </rPr>
          <t xml:space="preserve">FY23 KRW 3,694,588,767,068. NOT COMPARABLE – includes Samsung Bioepis (no restated FY23 published).
[Converted to USD at the 2023 average KRW rate, FX!B9; value above is in KRW m.]</t>
        </r>
      </text>
    </comment>
    <comment ref="S215" authorId="0">
      <text>
        <r>
          <rPr>
            <sz val="10"/>
            <rFont val="Arial"/>
            <family val="2"/>
          </rPr>
          <t xml:space="preserve">Hand spread: Samsung Biologics FY2025 Audited Consolidated FS (K-IFRS, English; Bioepis spin-off restated as discontinued), p.7 – Gross profit FY25: KRW 2,516,640,411,646
[Converted to USD at the 2025 average KRW rate, FX!D9; value above is in KRW m.]</t>
        </r>
      </text>
    </comment>
    <comment ref="S216" authorId="0">
      <text>
        <r>
          <rPr>
            <sz val="10"/>
            <rFont val="Arial"/>
            <family val="2"/>
          </rPr>
          <t xml:space="preserve">Hand spread: Samsung Biologics FY2025 Audited Consolidated FS (K-IFRS, English; Bioepis spin-off restated as discontinued), p.7 – Gross profit FY24 (restated): KRW 1,711,184,700,054
[Converted to USD at the 2024 average KRW rate, FX!C9; value above is in KRW m.]</t>
        </r>
      </text>
    </comment>
    <comment ref="S217" authorId="0">
      <text>
        <r>
          <rPr>
            <sz val="10"/>
            <rFont val="Arial"/>
            <family val="2"/>
          </rPr>
          <t xml:space="preserve">Hand spread: Samsung Biologics FY2024 </t>
        </r>
        <r>
          <rPr>
            <sz val="10"/>
            <rFont val="WenQuanYi Zen Hei"/>
            <family val="2"/>
          </rPr>
          <t xml:space="preserve">연결감사보고서 </t>
        </r>
        <r>
          <rPr>
            <sz val="10"/>
            <rFont val="Arial"/>
            <family val="2"/>
          </rPr>
          <t xml:space="preserve">(DART </t>
        </r>
        <r>
          <rPr>
            <sz val="10"/>
            <rFont val="WenQuanYi Zen Hei"/>
            <family val="2"/>
          </rPr>
          <t xml:space="preserve">사업보고서 </t>
        </r>
        <r>
          <rPr>
            <sz val="10"/>
            <rFont val="Arial"/>
            <family val="2"/>
          </rPr>
          <t xml:space="preserve">2024.12 attachment, as originally reported – incl. Samsung Bioepis), p.11 – </t>
        </r>
        <r>
          <rPr>
            <sz val="10"/>
            <rFont val="WenQuanYi Zen Hei"/>
            <family val="2"/>
          </rPr>
          <t xml:space="preserve">매출총이익 </t>
        </r>
        <r>
          <rPr>
            <sz val="10"/>
            <rFont val="Arial"/>
            <family val="2"/>
          </rPr>
          <t xml:space="preserve">FY23 (incl. Bioepis): KRW 1,802,764,561,293
[Converted to USD at the 2023 average KRW rate, FX!B9; value above is in KRW m.]</t>
        </r>
      </text>
    </comment>
    <comment ref="S225" authorId="0">
      <text>
        <r>
          <rPr>
            <sz val="10"/>
            <rFont val="Arial"/>
            <family val="2"/>
          </rPr>
          <t xml:space="preserve">Hand spread: Samsung Biologics FY2025 Audited Consolidated FS (K-IFRS, English; Bioepis spin-off restated as discontinued), p.47 (Note 15) – Ordinary research expense (in SG&amp;A) FY25: KRW 37,181,220,139
[Converted to USD at the 2025 average KRW rate, FX!D9; value above is in KRW m.]</t>
        </r>
      </text>
    </comment>
    <comment ref="S226" authorId="0">
      <text>
        <r>
          <rPr>
            <sz val="10"/>
            <rFont val="Arial"/>
            <family val="2"/>
          </rPr>
          <t xml:space="preserve">Hand spread: Samsung Biologics FY2025 Audited Consolidated FS (K-IFRS, English; Bioepis spin-off restated as discontinued), p.47 – Ordinary research expense FY24 (restated): KRW 36,710,810,368
[Converted to USD at the 2024 average KRW rate, FX!C9; value above is in KRW m.]</t>
        </r>
      </text>
    </comment>
    <comment ref="S227" authorId="0">
      <text>
        <r>
          <rPr>
            <sz val="10"/>
            <rFont val="Arial"/>
            <family val="2"/>
          </rPr>
          <t xml:space="preserve">Hand spread: Samsung Biologics FY2024 </t>
        </r>
        <r>
          <rPr>
            <sz val="10"/>
            <rFont val="WenQuanYi Zen Hei"/>
            <family val="2"/>
          </rPr>
          <t xml:space="preserve">연결감사보고서 </t>
        </r>
        <r>
          <rPr>
            <sz val="10"/>
            <rFont val="Arial"/>
            <family val="2"/>
          </rPr>
          <t xml:space="preserve">(DART </t>
        </r>
        <r>
          <rPr>
            <sz val="10"/>
            <rFont val="WenQuanYi Zen Hei"/>
            <family val="2"/>
          </rPr>
          <t xml:space="preserve">사업보고서 </t>
        </r>
        <r>
          <rPr>
            <sz val="10"/>
            <rFont val="Arial"/>
            <family val="2"/>
          </rPr>
          <t xml:space="preserve">2024.12 attachment, as originally reported – incl. Samsung Bioepis), p.74 (Note 24) – </t>
        </r>
        <r>
          <rPr>
            <sz val="10"/>
            <rFont val="WenQuanYi Zen Hei"/>
            <family val="2"/>
          </rPr>
          <t xml:space="preserve">경상연구비 </t>
        </r>
        <r>
          <rPr>
            <sz val="10"/>
            <rFont val="Arial"/>
            <family val="2"/>
          </rPr>
          <t xml:space="preserve">FY23 (incl. Bioepis): KRW 81,587,987,609
[Converted to USD at the 2023 average KRW rate, FX!B9; value above is in KRW m.]</t>
        </r>
      </text>
    </comment>
    <comment ref="S235" authorId="0">
      <text>
        <r>
          <rPr>
            <sz val="10"/>
            <rFont val="Arial"/>
            <family val="2"/>
          </rPr>
          <t xml:space="preserve">Hand spread: Samsung Biologics FY2025 Audited Consolidated FS (K-IFRS, English; Bioepis spin-off restated as discontinued), p.7 – SG&amp;A FY25 [calc] = reported SG&amp;A 447,419,145,016 less ordinary research expense 37,181,220,139 (shown separately in R&amp;D row) = KRW 410,237.9m
[Converted to USD at the 2025 average KRW rate, FX!D9; value above is in KRW m.]</t>
        </r>
      </text>
    </comment>
    <comment ref="S236" authorId="0">
      <text>
        <r>
          <rPr>
            <sz val="10"/>
            <rFont val="Arial"/>
            <family val="2"/>
          </rPr>
          <t xml:space="preserve">Hand spread: Samsung Biologics FY2025 Audited Consolidated FS (K-IFRS, English; Bioepis spin-off restated as discontinued), p.7 – SG&amp;A FY24 [calc] = 389,818,319,466 less research 36,710,810,368 = KRW 353,107.5m
[Converted to USD at the 2024 average KRW rate, FX!C9; value above is in KRW m.]</t>
        </r>
      </text>
    </comment>
    <comment ref="S237" authorId="0">
      <text>
        <r>
          <rPr>
            <sz val="10"/>
            <rFont val="Arial"/>
            <family val="2"/>
          </rPr>
          <t xml:space="preserve">Hand spread: Samsung Biologics FY2024 </t>
        </r>
        <r>
          <rPr>
            <sz val="10"/>
            <rFont val="WenQuanYi Zen Hei"/>
            <family val="2"/>
          </rPr>
          <t xml:space="preserve">연결감사보고서 </t>
        </r>
        <r>
          <rPr>
            <sz val="10"/>
            <rFont val="Arial"/>
            <family val="2"/>
          </rPr>
          <t xml:space="preserve">(DART </t>
        </r>
        <r>
          <rPr>
            <sz val="10"/>
            <rFont val="WenQuanYi Zen Hei"/>
            <family val="2"/>
          </rPr>
          <t xml:space="preserve">사업보고서 </t>
        </r>
        <r>
          <rPr>
            <sz val="10"/>
            <rFont val="Arial"/>
            <family val="2"/>
          </rPr>
          <t xml:space="preserve">2024.12 attachment, as originally reported – incl. Samsung Bioepis), p.11 – SG&amp;A FY23 [calc] = </t>
        </r>
        <r>
          <rPr>
            <sz val="10"/>
            <rFont val="WenQuanYi Zen Hei"/>
            <family val="2"/>
          </rPr>
          <t xml:space="preserve">판매비와관리비 </t>
        </r>
        <r>
          <rPr>
            <sz val="10"/>
            <rFont val="Arial"/>
            <family val="2"/>
          </rPr>
          <t xml:space="preserve">689,084,551,578 less </t>
        </r>
        <r>
          <rPr>
            <sz val="10"/>
            <rFont val="WenQuanYi Zen Hei"/>
            <family val="2"/>
          </rPr>
          <t xml:space="preserve">경상연구비 </t>
        </r>
        <r>
          <rPr>
            <sz val="10"/>
            <rFont val="Arial"/>
            <family val="2"/>
          </rPr>
          <t xml:space="preserve">81,587,987,609 = KRW 607,496.6m (incl. Bioepis)
[Converted to USD at the 2023 average KRW rate, FX!B9; value above is in KRW m.]</t>
        </r>
      </text>
    </comment>
    <comment ref="S245" authorId="0">
      <text>
        <r>
          <rPr>
            <sz val="10"/>
            <rFont val="Arial"/>
            <family val="2"/>
          </rPr>
          <t xml:space="preserve">Hand spread: Samsung Biologics FY2025 Audited Consolidated FS (K-IFRS, English; Bioepis spin-off restated as discontinued), p.7 – Operating profit FY25: KRW 2,069,221,266,630
[Converted to USD at the 2025 average KRW rate, FX!D9; value above is in KRW m.]</t>
        </r>
      </text>
    </comment>
    <comment ref="S246" authorId="0">
      <text>
        <r>
          <rPr>
            <sz val="10"/>
            <rFont val="Arial"/>
            <family val="2"/>
          </rPr>
          <t xml:space="preserve">Hand spread: Samsung Biologics FY2025 Audited Consolidated FS (K-IFRS, English; Bioepis spin-off restated as discontinued), p.7 – Operating profit FY24 (restated): KRW 1,321,366,380,588
[Converted to USD at the 2024 average KRW rate, FX!C9; value above is in KRW m.]</t>
        </r>
      </text>
    </comment>
    <comment ref="S247" authorId="0">
      <text>
        <r>
          <rPr>
            <sz val="10"/>
            <rFont val="Arial"/>
            <family val="2"/>
          </rPr>
          <t xml:space="preserve">Hand spread: Samsung Biologics FY2024 </t>
        </r>
        <r>
          <rPr>
            <sz val="10"/>
            <rFont val="WenQuanYi Zen Hei"/>
            <family val="2"/>
          </rPr>
          <t xml:space="preserve">연결감사보고서 </t>
        </r>
        <r>
          <rPr>
            <sz val="10"/>
            <rFont val="Arial"/>
            <family val="2"/>
          </rPr>
          <t xml:space="preserve">(DART </t>
        </r>
        <r>
          <rPr>
            <sz val="10"/>
            <rFont val="WenQuanYi Zen Hei"/>
            <family val="2"/>
          </rPr>
          <t xml:space="preserve">사업보고서 </t>
        </r>
        <r>
          <rPr>
            <sz val="10"/>
            <rFont val="Arial"/>
            <family val="2"/>
          </rPr>
          <t xml:space="preserve">2024.12 attachment, as originally reported – incl. Samsung Bioepis), p.11 – </t>
        </r>
        <r>
          <rPr>
            <sz val="10"/>
            <rFont val="WenQuanYi Zen Hei"/>
            <family val="2"/>
          </rPr>
          <t xml:space="preserve">영업이익 </t>
        </r>
        <r>
          <rPr>
            <sz val="10"/>
            <rFont val="Arial"/>
            <family val="2"/>
          </rPr>
          <t xml:space="preserve">FY23 (incl. Bioepis): KRW 1,113,680,009,715
[Converted to USD at the 2023 average KRW rate, FX!B9; value above is in KRW m.]</t>
        </r>
      </text>
    </comment>
    <comment ref="S265" authorId="0">
      <text>
        <r>
          <rPr>
            <sz val="10"/>
            <rFont val="Arial"/>
            <family val="2"/>
          </rPr>
          <t xml:space="preserve">Hand spread: Samsung Biologics FY2025 Audited Consolidated FS (K-IFRS, English; Bioepis spin-off restated as discontinued) – EBITDA FY25 [calc] = Operating profit 2,069,221.3 + PP&amp;E depreciation 344,186.8 (Note 14, p.44) + amortization 15,538.8 (Note 15, p.46) + ROU depreciation 10,160.0 (Note 19, p.51) = KRW 2,439,106.9m (continuing operations; cash-flow add-backs include Bioepis and are not used)
[Converted to USD at the 2025 average KRW rate, FX!D9; value above is in KRW m.]</t>
        </r>
      </text>
    </comment>
    <comment ref="S266" authorId="0">
      <text>
        <r>
          <rPr>
            <sz val="10"/>
            <rFont val="Arial"/>
            <family val="2"/>
          </rPr>
          <t xml:space="preserve">Hand spread: Samsung Biologics FY2025 Audited Consolidated FS (K-IFRS, English; Bioepis spin-off restated as discontinued) – EBITDA FY24 [calc] = Operating profit 1,321,366.4 + PP&amp;E depreciation 277,373.4 (p.44) + amortization 12,947.7 (p.46) + ROU depreciation 11,087.9 (p.51) = KRW 1,622,775.4m
[Converted to USD at the 2024 average KRW rate, FX!C9; value above is in KRW m.]</t>
        </r>
      </text>
    </comment>
    <comment ref="S267" authorId="0">
      <text>
        <r>
          <rPr>
            <sz val="10"/>
            <rFont val="Arial"/>
            <family val="2"/>
          </rPr>
          <t xml:space="preserve">Hand spread: Samsung Biologics FY2024 </t>
        </r>
        <r>
          <rPr>
            <sz val="10"/>
            <rFont val="WenQuanYi Zen Hei"/>
            <family val="2"/>
          </rPr>
          <t xml:space="preserve">연결감사보고서 </t>
        </r>
        <r>
          <rPr>
            <sz val="10"/>
            <rFont val="Arial"/>
            <family val="2"/>
          </rPr>
          <t xml:space="preserve">(DART </t>
        </r>
        <r>
          <rPr>
            <sz val="10"/>
            <rFont val="WenQuanYi Zen Hei"/>
            <family val="2"/>
          </rPr>
          <t xml:space="preserve">사업보고서 </t>
        </r>
        <r>
          <rPr>
            <sz val="10"/>
            <rFont val="Arial"/>
            <family val="2"/>
          </rPr>
          <t xml:space="preserve">2024.12 attachment, as originally reported – incl. Samsung Bioepis) – EBITDA FY23 [calc] = </t>
        </r>
        <r>
          <rPr>
            <sz val="10"/>
            <rFont val="WenQuanYi Zen Hei"/>
            <family val="2"/>
          </rPr>
          <t xml:space="preserve">영업이익 </t>
        </r>
        <r>
          <rPr>
            <sz val="10"/>
            <rFont val="Arial"/>
            <family val="2"/>
          </rPr>
          <t xml:space="preserve">1,113,680.0 (p.11) + </t>
        </r>
        <r>
          <rPr>
            <sz val="10"/>
            <rFont val="WenQuanYi Zen Hei"/>
            <family val="2"/>
          </rPr>
          <t xml:space="preserve">감가상각비 </t>
        </r>
        <r>
          <rPr>
            <sz val="10"/>
            <rFont val="Arial"/>
            <family val="2"/>
          </rPr>
          <t xml:space="preserve">250,566.3 + </t>
        </r>
        <r>
          <rPr>
            <sz val="10"/>
            <rFont val="WenQuanYi Zen Hei"/>
            <family val="2"/>
          </rPr>
          <t xml:space="preserve">무형자산상각비 </t>
        </r>
        <r>
          <rPr>
            <sz val="10"/>
            <rFont val="Arial"/>
            <family val="2"/>
          </rPr>
          <t xml:space="preserve">226,942.8 (segment note p.44) + </t>
        </r>
        <r>
          <rPr>
            <sz val="10"/>
            <rFont val="WenQuanYi Zen Hei"/>
            <family val="2"/>
          </rPr>
          <t xml:space="preserve">사용권자산 감가상각비 </t>
        </r>
        <r>
          <rPr>
            <sz val="10"/>
            <rFont val="Arial"/>
            <family val="2"/>
          </rPr>
          <t xml:space="preserve">12,272.9 (p.69) = KRW 1,603,462.0m (incl. Bioepis)
[Converted to USD at the 2023 average KRW rate, FX!B9; value above is in KRW m.]</t>
        </r>
      </text>
    </comment>
    <comment ref="S285" authorId="0">
      <text>
        <r>
          <rPr>
            <sz val="10"/>
            <rFont val="Arial"/>
            <family val="2"/>
          </rPr>
          <t xml:space="preserve">Hand spread: Samsung Biologics FY2025 Audited Consolidated FS (K-IFRS, English; Bioepis spin-off restated as discontinued), p.7 – Profit from continuing operations FY25 (100% owners of parent): KRW 1,614,330,309,456
[Converted to USD at the 2025 average KRW rate, FX!D9; value above is in KRW m.]</t>
        </r>
      </text>
    </comment>
    <comment ref="S286" authorId="0">
      <text>
        <r>
          <rPr>
            <sz val="10"/>
            <rFont val="Arial"/>
            <family val="2"/>
          </rPr>
          <t xml:space="preserve">Hand spread: Samsung Biologics FY2025 Audited Consolidated FS (K-IFRS, English; Bioepis spin-off restated as discontinued), p.7 – Profit from continuing operations FY24: KRW 1,040,301,541,231
[Converted to USD at the 2024 average KRW rate, FX!C9; value above is in KRW m.]</t>
        </r>
      </text>
    </comment>
    <comment ref="S287" authorId="0">
      <text>
        <r>
          <rPr>
            <sz val="10"/>
            <rFont val="Arial"/>
            <family val="2"/>
          </rPr>
          <t xml:space="preserve">Hand spread: Samsung Biologics FY2024 </t>
        </r>
        <r>
          <rPr>
            <sz val="10"/>
            <rFont val="WenQuanYi Zen Hei"/>
            <family val="2"/>
          </rPr>
          <t xml:space="preserve">연결감사보고서 </t>
        </r>
        <r>
          <rPr>
            <sz val="10"/>
            <rFont val="Arial"/>
            <family val="2"/>
          </rPr>
          <t xml:space="preserve">(DART </t>
        </r>
        <r>
          <rPr>
            <sz val="10"/>
            <rFont val="WenQuanYi Zen Hei"/>
            <family val="2"/>
          </rPr>
          <t xml:space="preserve">사업보고서 </t>
        </r>
        <r>
          <rPr>
            <sz val="10"/>
            <rFont val="Arial"/>
            <family val="2"/>
          </rPr>
          <t xml:space="preserve">2024.12 attachment, as originally reported – incl. Samsung Bioepis), p.11 – </t>
        </r>
        <r>
          <rPr>
            <sz val="10"/>
            <rFont val="WenQuanYi Zen Hei"/>
            <family val="2"/>
          </rPr>
          <t xml:space="preserve">지배기업 소유주지분 당기순이익 </t>
        </r>
        <r>
          <rPr>
            <sz val="10"/>
            <rFont val="Arial"/>
            <family val="2"/>
          </rPr>
          <t xml:space="preserve">FY23 (incl. Bioepis): KRW 857,691,298,384
[Converted to USD at the 2023 average KRW rate, FX!B9; value above is in KRW m.]</t>
        </r>
      </text>
    </comment>
    <comment ref="S295" authorId="0">
      <text>
        <r>
          <rPr>
            <sz val="10"/>
            <rFont val="Arial"/>
            <family val="2"/>
          </rPr>
          <t xml:space="preserve">Hand spread: Samsung Biologics FY2025 Audited Consolidated FS (K-IFRS, English; Bioepis spin-off restated as discontinued), p.7 – Basic and diluted EPS from continuing operations FY25: KRW 24,091 (pre-spin-off weighted share base – not comparable to current 46.2m shares)
[Converted to USD at the 2025 average KRW rate, FX!D9; value above is in KRW m.]</t>
        </r>
      </text>
    </comment>
    <comment ref="S296" authorId="0">
      <text>
        <r>
          <rPr>
            <sz val="10"/>
            <rFont val="Arial"/>
            <family val="2"/>
          </rPr>
          <t xml:space="preserve">Hand spread: Samsung Biologics FY2025 Audited Consolidated FS (K-IFRS, English; Bioepis spin-off restated as discontinued), p.7 – EPS from continuing operations FY24: KRW 14,616 (71.2m share base)
[Converted to USD at the 2024 average KRW rate, FX!C9; value above is in KRW m.]</t>
        </r>
      </text>
    </comment>
    <comment ref="S297" authorId="0">
      <text>
        <r>
          <rPr>
            <sz val="10"/>
            <rFont val="Arial"/>
            <family val="2"/>
          </rPr>
          <t xml:space="preserve">Hand spread: Samsung Biologics FY2024 </t>
        </r>
        <r>
          <rPr>
            <sz val="10"/>
            <rFont val="WenQuanYi Zen Hei"/>
            <family val="2"/>
          </rPr>
          <t xml:space="preserve">연결감사보고서 </t>
        </r>
        <r>
          <rPr>
            <sz val="10"/>
            <rFont val="Arial"/>
            <family val="2"/>
          </rPr>
          <t xml:space="preserve">(DART </t>
        </r>
        <r>
          <rPr>
            <sz val="10"/>
            <rFont val="WenQuanYi Zen Hei"/>
            <family val="2"/>
          </rPr>
          <t xml:space="preserve">사업보고서 </t>
        </r>
        <r>
          <rPr>
            <sz val="10"/>
            <rFont val="Arial"/>
            <family val="2"/>
          </rPr>
          <t xml:space="preserve">2024.12 attachment, as originally reported – incl. Samsung Bioepis), p.11 – </t>
        </r>
        <r>
          <rPr>
            <sz val="10"/>
            <rFont val="WenQuanYi Zen Hei"/>
            <family val="2"/>
          </rPr>
          <t xml:space="preserve">희석주당이익 </t>
        </r>
        <r>
          <rPr>
            <sz val="10"/>
            <rFont val="Arial"/>
            <family val="2"/>
          </rPr>
          <t xml:space="preserve">FY23: KRW 12,051 (71.2m share base; incl. Bioepis)
[Converted to USD at the 2023 average KRW rate, FX!B9; value above is in KRW m.]</t>
        </r>
      </text>
    </comment>
    <comment ref="S309" authorId="0">
      <text>
        <r>
          <rPr>
            <sz val="10"/>
            <rFont val="Arial"/>
            <family val="2"/>
          </rPr>
          <t xml:space="preserve">Hand spread: reporting currency of the financial statements = KRW.</t>
        </r>
      </text>
    </comment>
    <comment ref="S313" authorId="0">
      <text>
        <r>
          <rPr>
            <sz val="10"/>
            <rFont val="Arial"/>
            <family val="2"/>
          </rPr>
          <t xml:space="preserve">Hand spread: ECB spot USD per KRW at this column's pricing date (row 2) – FX tab.</t>
        </r>
      </text>
    </comment>
    <comment ref="S315" authorId="0">
      <text>
        <r>
          <rPr>
            <sz val="10"/>
            <rFont val="Arial"/>
            <family val="2"/>
          </rPr>
          <t xml:space="preserve">Hand spread: balance sheet date of the latest filing (Samsung Biologics 2026 2Q Reviewed Consolidated Interim FS (30-Jun-26, K-IFRS, English; also filed in DART </t>
        </r>
        <r>
          <rPr>
            <sz val="10"/>
            <rFont val="WenQuanYi Zen Hei"/>
            <family val="2"/>
          </rPr>
          <t xml:space="preserve">반기보고서 </t>
        </r>
        <r>
          <rPr>
            <sz val="10"/>
            <rFont val="Arial"/>
            <family val="2"/>
          </rPr>
          <t xml:space="preserve">2026.06)).</t>
        </r>
      </text>
    </comment>
    <comment ref="S316" authorId="0">
      <text>
        <r>
          <rPr>
            <sz val="10"/>
            <rFont val="Arial"/>
            <family val="2"/>
          </rPr>
          <t xml:space="preserve">Hand spread: ECB spot USD per KRW at the 30-Jun-26 balance sheet date – FX tab.</t>
        </r>
      </text>
    </comment>
    <comment ref="S327" authorId="0">
      <text>
        <r>
          <rPr>
            <sz val="10"/>
            <rFont val="Arial"/>
            <family val="2"/>
          </rPr>
          <t xml:space="preserve">Hand spread: LTM ROU depreciation [calc] = Samsung Biologics FY2025 Audited Consolidated FS (K-IFRS, English; Bioepis spin-off restated as discontinued) p.51 (Note 19) FY25 10,160,033,883 + Samsung Biologics 2026 2Q Reviewed Consolidated Interim FS (30-Jun-26, K-IFRS, English; also filed in DART </t>
        </r>
        <r>
          <rPr>
            <sz val="10"/>
            <rFont val="WenQuanYi Zen Hei"/>
            <family val="2"/>
          </rPr>
          <t xml:space="preserve">반기보고서 </t>
        </r>
        <r>
          <rPr>
            <sz val="10"/>
            <rFont val="Arial"/>
            <family val="2"/>
          </rPr>
          <t xml:space="preserve">2026.06) p.31 (Note 19(b)) H1-26 13,178,973,447 – H1-25 5,338,392,978 = KRW 18,000.6m</t>
        </r>
      </text>
    </comment>
    <comment ref="S328" authorId="0">
      <text>
        <r>
          <rPr>
            <sz val="10"/>
            <rFont val="Arial"/>
            <family val="2"/>
          </rPr>
          <t xml:space="preserve">Hand spread: LTM lease interest [calc] = Samsung Biologics FY2025 Audited Consolidated FS (K-IFRS, English; Bioepis spin-off restated as discontinued) p.51 FY25 1,797,223,400 + Samsung Biologics 2026 2Q Reviewed Consolidated Interim FS (30-Jun-26, K-IFRS, English; also filed in DART </t>
        </r>
        <r>
          <rPr>
            <sz val="10"/>
            <rFont val="WenQuanYi Zen Hei"/>
            <family val="2"/>
          </rPr>
          <t xml:space="preserve">반기보고서 </t>
        </r>
        <r>
          <rPr>
            <sz val="10"/>
            <rFont val="Arial"/>
            <family val="2"/>
          </rPr>
          <t xml:space="preserve">2026.06) p.31 H1-26 3,355,431,422 – H1-25 1,202,758,866 = KRW 3,949.9m</t>
        </r>
      </text>
    </comment>
    <comment ref="S339" authorId="0">
      <text>
        <r>
          <rPr>
            <sz val="10"/>
            <rFont val="Arial"/>
            <family val="2"/>
          </rPr>
          <t xml:space="preserve">Hand spread: Samsung Biologics FY2025 Audited Consolidated FS (K-IFRS, English; Bioepis spin-off restated as discontinued), p.9 – Cash flow FY25 [calc]: acquisition of PP&amp;E 1,391,740,885,639 + intangible assets 83,332,629,654 = KRW 1,475,073.5m (cash flow includes Bioepis until 1-Nov-25)
[Converted to USD at the 2025 average KRW rate, FX!D9; value above is in KRW m.]</t>
        </r>
      </text>
    </comment>
    <comment ref="S340" authorId="0">
      <text>
        <r>
          <rPr>
            <sz val="10"/>
            <rFont val="Arial"/>
            <family val="2"/>
          </rPr>
          <t xml:space="preserve">Hand spread: Samsung Biologics FY2025 Audited Consolidated FS (K-IFRS, English; Bioepis spin-off restated as discontinued), p.9 – Cash flow FY24 [calc]: PP&amp;E 1,303,573,257,829 + intangibles 73,952,276,112 = KRW 1,377,525.5m (incl. Bioepis)
[Converted to USD at the 2024 average KRW rate, FX!C9; value above is in KRW m.]</t>
        </r>
      </text>
    </comment>
    <comment ref="S341" authorId="0">
      <text>
        <r>
          <rPr>
            <sz val="10"/>
            <rFont val="Arial"/>
            <family val="2"/>
          </rPr>
          <t xml:space="preserve">Hand spread: Samsung Biologics FY2024 </t>
        </r>
        <r>
          <rPr>
            <sz val="10"/>
            <rFont val="WenQuanYi Zen Hei"/>
            <family val="2"/>
          </rPr>
          <t xml:space="preserve">연결감사보고서 </t>
        </r>
        <r>
          <rPr>
            <sz val="10"/>
            <rFont val="Arial"/>
            <family val="2"/>
          </rPr>
          <t xml:space="preserve">(DART </t>
        </r>
        <r>
          <rPr>
            <sz val="10"/>
            <rFont val="WenQuanYi Zen Hei"/>
            <family val="2"/>
          </rPr>
          <t xml:space="preserve">사업보고서 </t>
        </r>
        <r>
          <rPr>
            <sz val="10"/>
            <rFont val="Arial"/>
            <family val="2"/>
          </rPr>
          <t xml:space="preserve">2024.12 attachment, as originally reported – incl. Samsung Bioepis), p.13 – Cash flow FY23 [calc]: </t>
        </r>
        <r>
          <rPr>
            <sz val="10"/>
            <rFont val="WenQuanYi Zen Hei"/>
            <family val="2"/>
          </rPr>
          <t xml:space="preserve">유형자산의 취득 </t>
        </r>
        <r>
          <rPr>
            <sz val="10"/>
            <rFont val="Arial"/>
            <family val="2"/>
          </rPr>
          <t xml:space="preserve">995,070,661,693 + </t>
        </r>
        <r>
          <rPr>
            <sz val="10"/>
            <rFont val="WenQuanYi Zen Hei"/>
            <family val="2"/>
          </rPr>
          <t xml:space="preserve">무형자산의 취득 </t>
        </r>
        <r>
          <rPr>
            <sz val="10"/>
            <rFont val="Arial"/>
            <family val="2"/>
          </rPr>
          <t xml:space="preserve">110,254,001,327 = KRW 1,105,324.7m (incl. Bioepis)
[Converted to USD at the 2023 average KRW rate, FX!B9; value above is in KRW m.]</t>
        </r>
      </text>
    </comment>
    <comment ref="T13" authorId="0">
      <text>
        <r>
          <rPr>
            <sz val="10"/>
            <rFont val="Arial"/>
            <family val="2"/>
          </rPr>
          <t xml:space="preserve">Latest filing used for the balance sheet / share data. See cell notes for every figure and the "Spread Notes" tab.</t>
        </r>
      </text>
    </comment>
    <comment ref="T43" authorId="0">
      <text>
        <r>
          <rPr>
            <sz val="10"/>
            <rFont val="Arial"/>
            <family val="2"/>
          </rPr>
          <t xml:space="preserve">Hand spread: ST Pharm </t>
        </r>
        <r>
          <rPr>
            <sz val="10"/>
            <rFont val="WenQuanYi Zen Hei"/>
            <family val="2"/>
          </rPr>
          <t xml:space="preserve">반기연결검토보고서 </t>
        </r>
        <r>
          <rPr>
            <sz val="10"/>
            <rFont val="Arial"/>
            <family val="2"/>
          </rPr>
          <t xml:space="preserve">(reviewed consolidated interim FS, 30-Jun-26; attachment to DART </t>
        </r>
        <r>
          <rPr>
            <sz val="10"/>
            <rFont val="WenQuanYi Zen Hei"/>
            <family val="2"/>
          </rPr>
          <t xml:space="preserve">반기보고서 </t>
        </r>
        <r>
          <rPr>
            <sz val="10"/>
            <rFont val="Arial"/>
            <family val="2"/>
          </rPr>
          <t xml:space="preserve">2026.06), DART p.5 – </t>
        </r>
        <r>
          <rPr>
            <sz val="10"/>
            <rFont val="WenQuanYi Zen Hei"/>
            <family val="2"/>
          </rPr>
          <t xml:space="preserve">반기연결재무상태표 – 현금및현금성자산 </t>
        </r>
        <r>
          <rPr>
            <sz val="10"/>
            <rFont val="Arial"/>
            <family val="2"/>
          </rPr>
          <t xml:space="preserve">(cash &amp; equivalents): KRW 53,834,180,234</t>
        </r>
      </text>
    </comment>
    <comment ref="T44" authorId="0">
      <text>
        <r>
          <rPr>
            <sz val="10"/>
            <rFont val="Arial"/>
            <family val="2"/>
          </rPr>
          <t xml:space="preserve">Hand spread: ST Pharm </t>
        </r>
        <r>
          <rPr>
            <sz val="10"/>
            <rFont val="WenQuanYi Zen Hei"/>
            <family val="2"/>
          </rPr>
          <t xml:space="preserve">반기연결검토보고서 </t>
        </r>
        <r>
          <rPr>
            <sz val="10"/>
            <rFont val="Arial"/>
            <family val="2"/>
          </rPr>
          <t xml:space="preserve">(reviewed consolidated interim FS, 30-Jun-26; attachment to DART </t>
        </r>
        <r>
          <rPr>
            <sz val="10"/>
            <rFont val="WenQuanYi Zen Hei"/>
            <family val="2"/>
          </rPr>
          <t xml:space="preserve">반기보고서 </t>
        </r>
        <r>
          <rPr>
            <sz val="10"/>
            <rFont val="Arial"/>
            <family val="2"/>
          </rPr>
          <t xml:space="preserve">2026.06), DART p.17 (Note 4 FVTPL assets) – </t>
        </r>
        <r>
          <rPr>
            <sz val="10"/>
            <rFont val="WenQuanYi Zen Hei"/>
            <family val="2"/>
          </rPr>
          <t xml:space="preserve">수익증권 </t>
        </r>
        <r>
          <rPr>
            <sz val="10"/>
            <rFont val="Arial"/>
            <family val="2"/>
          </rPr>
          <t xml:space="preserve">(beneficiary certificates/funds, current): KRW 110,830,000k. Excludes CB call-option asset 18,463m and minor strategic holdings.</t>
        </r>
      </text>
    </comment>
    <comment ref="T46" authorId="0">
      <text>
        <r>
          <rPr>
            <sz val="10"/>
            <rFont val="Arial"/>
            <family val="2"/>
          </rPr>
          <t xml:space="preserve">Hand spread: ST Pharm </t>
        </r>
        <r>
          <rPr>
            <sz val="10"/>
            <rFont val="WenQuanYi Zen Hei"/>
            <family val="2"/>
          </rPr>
          <t xml:space="preserve">반기연결검토보고서 </t>
        </r>
        <r>
          <rPr>
            <sz val="10"/>
            <rFont val="Arial"/>
            <family val="2"/>
          </rPr>
          <t xml:space="preserve">(reviewed consolidated interim FS, 30-Jun-26; attachment to DART </t>
        </r>
        <r>
          <rPr>
            <sz val="10"/>
            <rFont val="WenQuanYi Zen Hei"/>
            <family val="2"/>
          </rPr>
          <t xml:space="preserve">반기보고서 </t>
        </r>
        <r>
          <rPr>
            <sz val="10"/>
            <rFont val="Arial"/>
            <family val="2"/>
          </rPr>
          <t xml:space="preserve">2026.06) – balance sheet: no investments in associates / joint ventures (equity-accounted) shown.</t>
        </r>
      </text>
    </comment>
    <comment ref="T48" authorId="0">
      <text>
        <r>
          <rPr>
            <sz val="10"/>
            <rFont val="Arial"/>
            <family val="2"/>
          </rPr>
          <t xml:space="preserve">Hand spread: ST Pharm </t>
        </r>
        <r>
          <rPr>
            <sz val="10"/>
            <rFont val="WenQuanYi Zen Hei"/>
            <family val="2"/>
          </rPr>
          <t xml:space="preserve">반기연결검토보고서 </t>
        </r>
        <r>
          <rPr>
            <sz val="10"/>
            <rFont val="Arial"/>
            <family val="2"/>
          </rPr>
          <t xml:space="preserve">(reviewed consolidated interim FS, 30-Jun-26; attachment to DART </t>
        </r>
        <r>
          <rPr>
            <sz val="10"/>
            <rFont val="WenQuanYi Zen Hei"/>
            <family val="2"/>
          </rPr>
          <t xml:space="preserve">반기보고서 </t>
        </r>
        <r>
          <rPr>
            <sz val="10"/>
            <rFont val="Arial"/>
            <family val="2"/>
          </rPr>
          <t xml:space="preserve">2026.06), DART p.24 (Note 10 (*6)) – PF ADJUSTMENT: company exercised issuer call to acquire KRW 30,000m face of 2nd CB from holders on 10-Aug-26 (after BS date) – cash outflow of KRW 30,000m.</t>
        </r>
      </text>
    </comment>
    <comment ref="T55" authorId="0">
      <text>
        <r>
          <rPr>
            <sz val="10"/>
            <rFont val="Arial"/>
            <family val="2"/>
          </rPr>
          <t xml:space="preserve">Hand spread: ST Pharm </t>
        </r>
        <r>
          <rPr>
            <sz val="10"/>
            <rFont val="WenQuanYi Zen Hei"/>
            <family val="2"/>
          </rPr>
          <t xml:space="preserve">반기연결검토보고서 </t>
        </r>
        <r>
          <rPr>
            <sz val="10"/>
            <rFont val="Arial"/>
            <family val="2"/>
          </rPr>
          <t xml:space="preserve">(reviewed consolidated interim FS, 30-Jun-26; attachment to DART </t>
        </r>
        <r>
          <rPr>
            <sz val="10"/>
            <rFont val="WenQuanYi Zen Hei"/>
            <family val="2"/>
          </rPr>
          <t xml:space="preserve">반기보고서 </t>
        </r>
        <r>
          <rPr>
            <sz val="10"/>
            <rFont val="Arial"/>
            <family val="2"/>
          </rPr>
          <t xml:space="preserve">2026.06), DART p.5 [calc] – </t>
        </r>
        <r>
          <rPr>
            <sz val="10"/>
            <rFont val="WenQuanYi Zen Hei"/>
            <family val="2"/>
          </rPr>
          <t xml:space="preserve">차입금 </t>
        </r>
        <r>
          <rPr>
            <sz val="10"/>
            <rFont val="Arial"/>
            <family val="2"/>
          </rPr>
          <t xml:space="preserve">(short-term borrowings) 31,184,762,177 + </t>
        </r>
        <r>
          <rPr>
            <sz val="10"/>
            <rFont val="WenQuanYi Zen Hei"/>
            <family val="2"/>
          </rPr>
          <t xml:space="preserve">유동성장기차입금 </t>
        </r>
        <r>
          <rPr>
            <sz val="10"/>
            <rFont val="Arial"/>
            <family val="2"/>
          </rPr>
          <t xml:space="preserve">(2nd private CB, carrying amount) 41,582,136,042 = KRW 72,766.9m</t>
        </r>
      </text>
    </comment>
    <comment ref="T56" authorId="0">
      <text>
        <r>
          <rPr>
            <sz val="10"/>
            <rFont val="Arial"/>
            <family val="2"/>
          </rPr>
          <t xml:space="preserve">Hand spread: ST Pharm </t>
        </r>
        <r>
          <rPr>
            <sz val="10"/>
            <rFont val="WenQuanYi Zen Hei"/>
            <family val="2"/>
          </rPr>
          <t xml:space="preserve">반기연결검토보고서 </t>
        </r>
        <r>
          <rPr>
            <sz val="10"/>
            <rFont val="Arial"/>
            <family val="2"/>
          </rPr>
          <t xml:space="preserve">(reviewed consolidated interim FS, 30-Jun-26; attachment to DART </t>
        </r>
        <r>
          <rPr>
            <sz val="10"/>
            <rFont val="WenQuanYi Zen Hei"/>
            <family val="2"/>
          </rPr>
          <t xml:space="preserve">반기보고서 </t>
        </r>
        <r>
          <rPr>
            <sz val="10"/>
            <rFont val="Arial"/>
            <family val="2"/>
          </rPr>
          <t xml:space="preserve">2026.06), DART p.5 – no non-current borrowings.</t>
        </r>
      </text>
    </comment>
    <comment ref="T58" authorId="0">
      <text>
        <r>
          <rPr>
            <sz val="10"/>
            <rFont val="Arial"/>
            <family val="2"/>
          </rPr>
          <t xml:space="preserve">Hand spread: ST Pharm </t>
        </r>
        <r>
          <rPr>
            <sz val="10"/>
            <rFont val="WenQuanYi Zen Hei"/>
            <family val="2"/>
          </rPr>
          <t xml:space="preserve">반기연결검토보고서 </t>
        </r>
        <r>
          <rPr>
            <sz val="10"/>
            <rFont val="Arial"/>
            <family val="2"/>
          </rPr>
          <t xml:space="preserve">(reviewed consolidated interim FS, 30-Jun-26; attachment to DART </t>
        </r>
        <r>
          <rPr>
            <sz val="10"/>
            <rFont val="WenQuanYi Zen Hei"/>
            <family val="2"/>
          </rPr>
          <t xml:space="preserve">반기보고서 </t>
        </r>
        <r>
          <rPr>
            <sz val="10"/>
            <rFont val="Arial"/>
            <family val="2"/>
          </rPr>
          <t xml:space="preserve">2026.06), DART p.5 [calc] – IFRS 16 </t>
        </r>
        <r>
          <rPr>
            <sz val="10"/>
            <rFont val="WenQuanYi Zen Hei"/>
            <family val="2"/>
          </rPr>
          <t xml:space="preserve">리스부채</t>
        </r>
        <r>
          <rPr>
            <sz val="10"/>
            <rFont val="Arial"/>
            <family val="2"/>
          </rPr>
          <t xml:space="preserve">: current 1,345,026,564 + non-current 703,022,339 = KRW 2,048.0m. Reversed in rows 62/63.</t>
        </r>
      </text>
    </comment>
    <comment ref="T59" authorId="0">
      <text>
        <r>
          <rPr>
            <sz val="10"/>
            <rFont val="Arial"/>
            <family val="2"/>
          </rPr>
          <t xml:space="preserve">Hand spread: ST Pharm </t>
        </r>
        <r>
          <rPr>
            <sz val="10"/>
            <rFont val="WenQuanYi Zen Hei"/>
            <family val="2"/>
          </rPr>
          <t xml:space="preserve">반기연결검토보고서 </t>
        </r>
        <r>
          <rPr>
            <sz val="10"/>
            <rFont val="Arial"/>
            <family val="2"/>
          </rPr>
          <t xml:space="preserve">(reviewed consolidated interim FS, 30-Jun-26; attachment to DART </t>
        </r>
        <r>
          <rPr>
            <sz val="10"/>
            <rFont val="WenQuanYi Zen Hei"/>
            <family val="2"/>
          </rPr>
          <t xml:space="preserve">반기보고서 </t>
        </r>
        <r>
          <rPr>
            <sz val="10"/>
            <rFont val="Arial"/>
            <family val="2"/>
          </rPr>
          <t xml:space="preserve">2026.06), DART p.24 – PF ADJUSTMENT [calc]: carrying amount of CB acquired 10-Aug-26 = 41,582.1 x 30,000/51,551 face = KRW (24,198.7)m removed from debt (residual CB book 17,383.4 handled in convert section rows 88-90).</t>
        </r>
      </text>
    </comment>
    <comment ref="T62" authorId="0">
      <text>
        <r>
          <rPr>
            <sz val="10"/>
            <rFont val="Arial"/>
            <family val="2"/>
          </rPr>
          <t xml:space="preserve">Hand spread: IFRS 16 lease liabilities = row 58 (other debt) – see row 58 note for source. Reversed in row 63 when the pre-IFRS 16 toggle (F5) = 1.</t>
        </r>
      </text>
    </comment>
    <comment ref="T70" authorId="0">
      <text>
        <r>
          <rPr>
            <sz val="10"/>
            <rFont val="Arial"/>
            <family val="2"/>
          </rPr>
          <t xml:space="preserve">Hand spread: ST Pharm </t>
        </r>
        <r>
          <rPr>
            <sz val="10"/>
            <rFont val="WenQuanYi Zen Hei"/>
            <family val="2"/>
          </rPr>
          <t xml:space="preserve">반기연결검토보고서 </t>
        </r>
        <r>
          <rPr>
            <sz val="10"/>
            <rFont val="Arial"/>
            <family val="2"/>
          </rPr>
          <t xml:space="preserve">(reviewed consolidated interim FS, 30-Jun-26; attachment to DART </t>
        </r>
        <r>
          <rPr>
            <sz val="10"/>
            <rFont val="WenQuanYi Zen Hei"/>
            <family val="2"/>
          </rPr>
          <t xml:space="preserve">반기보고서 </t>
        </r>
        <r>
          <rPr>
            <sz val="10"/>
            <rFont val="Arial"/>
            <family val="2"/>
          </rPr>
          <t xml:space="preserve">2026.06), DART p.5 [calc] – </t>
        </r>
        <r>
          <rPr>
            <sz val="10"/>
            <rFont val="WenQuanYi Zen Hei"/>
            <family val="2"/>
          </rPr>
          <t xml:space="preserve">순확정급여자산 </t>
        </r>
        <r>
          <rPr>
            <sz val="10"/>
            <rFont val="Arial"/>
            <family val="2"/>
          </rPr>
          <t xml:space="preserve">(net DB asset) 2,714,112,424 less </t>
        </r>
        <r>
          <rPr>
            <sz val="10"/>
            <rFont val="WenQuanYi Zen Hei"/>
            <family val="2"/>
          </rPr>
          <t xml:space="preserve">순확정급여부채 </t>
        </r>
        <r>
          <rPr>
            <sz val="10"/>
            <rFont val="Arial"/>
            <family val="2"/>
          </rPr>
          <t xml:space="preserve">647,816,576 = net ASSET KRW 2,066.3m (entered negative)</t>
        </r>
      </text>
    </comment>
    <comment ref="T71" authorId="0">
      <text>
        <r>
          <rPr>
            <sz val="10"/>
            <rFont val="Arial"/>
            <family val="2"/>
          </rPr>
          <t xml:space="preserve">Statutory tax rate 27.50% for SOUTH KOREA, from the "Tax Rates" tab of the external LGC – WACC and Trading Comps_v2.xlsx (external link removed; cached value kept). Used only to tax-effect the pension deficit (row 72).</t>
        </r>
      </text>
    </comment>
    <comment ref="T74" authorId="0">
      <text>
        <r>
          <rPr>
            <sz val="10"/>
            <rFont val="Arial"/>
            <family val="2"/>
          </rPr>
          <t xml:space="preserve">Hand spread: ST Pharm </t>
        </r>
        <r>
          <rPr>
            <sz val="10"/>
            <rFont val="WenQuanYi Zen Hei"/>
            <family val="2"/>
          </rPr>
          <t xml:space="preserve">반기연결검토보고서 </t>
        </r>
        <r>
          <rPr>
            <sz val="10"/>
            <rFont val="Arial"/>
            <family val="2"/>
          </rPr>
          <t xml:space="preserve">(reviewed consolidated interim FS, 30-Jun-26; attachment to DART </t>
        </r>
        <r>
          <rPr>
            <sz val="10"/>
            <rFont val="WenQuanYi Zen Hei"/>
            <family val="2"/>
          </rPr>
          <t xml:space="preserve">반기보고서 </t>
        </r>
        <r>
          <rPr>
            <sz val="10"/>
            <rFont val="Arial"/>
            <family val="2"/>
          </rPr>
          <t xml:space="preserve">2026.06), DART p.6 – </t>
        </r>
        <r>
          <rPr>
            <sz val="10"/>
            <rFont val="WenQuanYi Zen Hei"/>
            <family val="2"/>
          </rPr>
          <t xml:space="preserve">비지배지분 </t>
        </r>
        <r>
          <rPr>
            <sz val="10"/>
            <rFont val="Arial"/>
            <family val="2"/>
          </rPr>
          <t xml:space="preserve">(non-controlling interests): KRW (405,872,950)</t>
        </r>
      </text>
    </comment>
    <comment ref="T77" authorId="0">
      <text>
        <r>
          <rPr>
            <sz val="10"/>
            <rFont val="Arial"/>
            <family val="2"/>
          </rPr>
          <t xml:space="preserve">Hand spread: ST Pharm </t>
        </r>
        <r>
          <rPr>
            <sz val="10"/>
            <rFont val="WenQuanYi Zen Hei"/>
            <family val="2"/>
          </rPr>
          <t xml:space="preserve">반기연결검토보고서 </t>
        </r>
        <r>
          <rPr>
            <sz val="10"/>
            <rFont val="Arial"/>
            <family val="2"/>
          </rPr>
          <t xml:space="preserve">(reviewed consolidated interim FS, 30-Jun-26; attachment to DART </t>
        </r>
        <r>
          <rPr>
            <sz val="10"/>
            <rFont val="WenQuanYi Zen Hei"/>
            <family val="2"/>
          </rPr>
          <t xml:space="preserve">반기보고서 </t>
        </r>
        <r>
          <rPr>
            <sz val="10"/>
            <rFont val="Arial"/>
            <family val="2"/>
          </rPr>
          <t xml:space="preserve">2026.06), DART – no preferred shares.</t>
        </r>
      </text>
    </comment>
    <comment ref="T81" authorId="0">
      <text>
        <r>
          <rPr>
            <sz val="10"/>
            <rFont val="Arial"/>
            <family val="2"/>
          </rPr>
          <t xml:space="preserve">Hand spread: ST Pharm </t>
        </r>
        <r>
          <rPr>
            <sz val="10"/>
            <rFont val="WenQuanYi Zen Hei"/>
            <family val="2"/>
          </rPr>
          <t xml:space="preserve">반기연결검토보고서 </t>
        </r>
        <r>
          <rPr>
            <sz val="10"/>
            <rFont val="Arial"/>
            <family val="2"/>
          </rPr>
          <t xml:space="preserve">(reviewed consolidated interim FS, 30-Jun-26; attachment to DART </t>
        </r>
        <r>
          <rPr>
            <sz val="10"/>
            <rFont val="WenQuanYi Zen Hei"/>
            <family val="2"/>
          </rPr>
          <t xml:space="preserve">반기보고서 </t>
        </r>
        <r>
          <rPr>
            <sz val="10"/>
            <rFont val="Arial"/>
            <family val="2"/>
          </rPr>
          <t xml:space="preserve">2026.06), DART p.5 – </t>
        </r>
        <r>
          <rPr>
            <sz val="10"/>
            <rFont val="WenQuanYi Zen Hei"/>
            <family val="2"/>
          </rPr>
          <t xml:space="preserve">지배기업 소유주지분 </t>
        </r>
        <r>
          <rPr>
            <sz val="10"/>
            <rFont val="Arial"/>
            <family val="2"/>
          </rPr>
          <t xml:space="preserve">(equity attributable to owners): KRW 629,476,693,080</t>
        </r>
      </text>
    </comment>
    <comment ref="T88" authorId="0">
      <text>
        <r>
          <rPr>
            <sz val="10"/>
            <rFont val="Arial"/>
            <family val="2"/>
          </rPr>
          <t xml:space="preserve">Hand spread: ST Pharm </t>
        </r>
        <r>
          <rPr>
            <sz val="10"/>
            <rFont val="WenQuanYi Zen Hei"/>
            <family val="2"/>
          </rPr>
          <t xml:space="preserve">반기연결검토보고서 </t>
        </r>
        <r>
          <rPr>
            <sz val="10"/>
            <rFont val="Arial"/>
            <family val="2"/>
          </rPr>
          <t xml:space="preserve">(reviewed consolidated interim FS, 30-Jun-26; attachment to DART </t>
        </r>
        <r>
          <rPr>
            <sz val="10"/>
            <rFont val="WenQuanYi Zen Hei"/>
            <family val="2"/>
          </rPr>
          <t xml:space="preserve">반기보고서 </t>
        </r>
        <r>
          <rPr>
            <sz val="10"/>
            <rFont val="Arial"/>
            <family val="2"/>
          </rPr>
          <t xml:space="preserve">2026.06), DART p.22-24 [calc] – 2nd private CB (due Aug-2028) PF carrying amount after 10-Aug-26 call: 41,582.1 x 21,551/51,551 = KRW 17,383.4m</t>
        </r>
      </text>
    </comment>
    <comment ref="T89" authorId="0">
      <text>
        <r>
          <rPr>
            <sz val="10"/>
            <rFont val="Arial"/>
            <family val="2"/>
          </rPr>
          <t xml:space="preserve">Hand spread: ST Pharm </t>
        </r>
        <r>
          <rPr>
            <sz val="10"/>
            <rFont val="WenQuanYi Zen Hei"/>
            <family val="2"/>
          </rPr>
          <t xml:space="preserve">반기연결검토보고서 </t>
        </r>
        <r>
          <rPr>
            <sz val="10"/>
            <rFont val="Arial"/>
            <family val="2"/>
          </rPr>
          <t xml:space="preserve">(reviewed consolidated interim FS, 30-Jun-26; attachment to DART </t>
        </r>
        <r>
          <rPr>
            <sz val="10"/>
            <rFont val="WenQuanYi Zen Hei"/>
            <family val="2"/>
          </rPr>
          <t xml:space="preserve">반기보고서 </t>
        </r>
        <r>
          <rPr>
            <sz val="10"/>
            <rFont val="Arial"/>
            <family val="2"/>
          </rPr>
          <t xml:space="preserve">2026.06), DART p.24 (Note 10) [calc] – CB face: issued 100,000m less conversions 37,524 (2024) + 3,150 (2025) + 7,775 (Jan–May 2026) = 51,551m at 30-Jun-26, less 30,000m called 10-Aug-26 = KRW 21,551m</t>
        </r>
      </text>
    </comment>
    <comment ref="T90" authorId="0">
      <text>
        <r>
          <rPr>
            <sz val="10"/>
            <rFont val="Arial"/>
            <family val="2"/>
          </rPr>
          <t xml:space="preserve">Hand spread: ST Pharm </t>
        </r>
        <r>
          <rPr>
            <sz val="10"/>
            <rFont val="WenQuanYi Zen Hei"/>
            <family val="2"/>
          </rPr>
          <t xml:space="preserve">반기연결검토보고서 </t>
        </r>
        <r>
          <rPr>
            <sz val="10"/>
            <rFont val="Arial"/>
            <family val="2"/>
          </rPr>
          <t xml:space="preserve">(reviewed consolidated interim FS, 30-Jun-26; attachment to DART </t>
        </r>
        <r>
          <rPr>
            <sz val="10"/>
            <rFont val="WenQuanYi Zen Hei"/>
            <family val="2"/>
          </rPr>
          <t xml:space="preserve">반기보고서 </t>
        </r>
        <r>
          <rPr>
            <sz val="10"/>
            <rFont val="Arial"/>
            <family val="2"/>
          </rPr>
          <t xml:space="preserve">2026.06), DART p.23 – CB conversion price: KRW 79,648 per share (refixing clause applies)</t>
        </r>
      </text>
    </comment>
    <comment ref="T137" authorId="0">
      <text>
        <r>
          <rPr>
            <sz val="10"/>
            <rFont val="Arial"/>
            <family val="2"/>
          </rPr>
          <t xml:space="preserve">Hand spread: ST Pharm </t>
        </r>
        <r>
          <rPr>
            <sz val="10"/>
            <rFont val="WenQuanYi Zen Hei"/>
            <family val="2"/>
          </rPr>
          <t xml:space="preserve">반기보고서 </t>
        </r>
        <r>
          <rPr>
            <sz val="10"/>
            <rFont val="Arial"/>
            <family val="2"/>
          </rPr>
          <t xml:space="preserve">2026.06 (DART) p.9 (</t>
        </r>
        <r>
          <rPr>
            <sz val="10"/>
            <rFont val="WenQuanYi Zen Hei"/>
            <family val="2"/>
          </rPr>
          <t xml:space="preserve">주식의 총수</t>
        </r>
        <r>
          <rPr>
            <sz val="10"/>
            <rFont val="Arial"/>
            <family val="2"/>
          </rPr>
          <t xml:space="preserve">) – </t>
        </r>
        <r>
          <rPr>
            <sz val="10"/>
            <rFont val="WenQuanYi Zen Hei"/>
            <family val="2"/>
          </rPr>
          <t xml:space="preserve">발행주식의 총수 </t>
        </r>
        <r>
          <rPr>
            <sz val="10"/>
            <rFont val="Arial"/>
            <family val="2"/>
          </rPr>
          <t xml:space="preserve">20,876,638; </t>
        </r>
        <r>
          <rPr>
            <sz val="10"/>
            <rFont val="WenQuanYi Zen Hei"/>
            <family val="2"/>
          </rPr>
          <t xml:space="preserve">자기주식 </t>
        </r>
        <r>
          <rPr>
            <sz val="10"/>
            <rFont val="Arial"/>
            <family val="2"/>
          </rPr>
          <t xml:space="preserve">0; </t>
        </r>
        <r>
          <rPr>
            <sz val="10"/>
            <rFont val="WenQuanYi Zen Hei"/>
            <family val="2"/>
          </rPr>
          <t xml:space="preserve">유통주식수 </t>
        </r>
        <r>
          <rPr>
            <sz val="10"/>
            <rFont val="Arial"/>
            <family val="2"/>
          </rPr>
          <t xml:space="preserve">20,876,638 at 30-Jun-26</t>
        </r>
      </text>
    </comment>
    <comment ref="T152" authorId="0">
      <text>
        <r>
          <rPr>
            <sz val="10"/>
            <rFont val="Arial"/>
            <family val="2"/>
          </rPr>
          <t xml:space="preserve">Hand spread: ST Pharm </t>
        </r>
        <r>
          <rPr>
            <sz val="10"/>
            <rFont val="WenQuanYi Zen Hei"/>
            <family val="2"/>
          </rPr>
          <t xml:space="preserve">반기보고서 </t>
        </r>
        <r>
          <rPr>
            <sz val="10"/>
            <rFont val="Arial"/>
            <family val="2"/>
          </rPr>
          <t xml:space="preserve">2026.06 (DART) p.69 (</t>
        </r>
        <r>
          <rPr>
            <sz val="10"/>
            <rFont val="WenQuanYi Zen Hei"/>
            <family val="2"/>
          </rPr>
          <t xml:space="preserve">주식매수선택권 – 기말 잔여주</t>
        </r>
        <r>
          <rPr>
            <sz val="10"/>
            <rFont val="Arial"/>
            <family val="2"/>
          </rPr>
          <t xml:space="preserve">) – options outstanding at 30-Jun-26 at strike KRW 98,785: 73,710 (tranche 1: 48,510 + tranche 3: 25,200)</t>
        </r>
      </text>
    </comment>
    <comment ref="T153" authorId="0">
      <text>
        <r>
          <rPr>
            <sz val="10"/>
            <rFont val="Arial"/>
            <family val="2"/>
          </rPr>
          <t xml:space="preserve">Hand spread: ST Pharm </t>
        </r>
        <r>
          <rPr>
            <sz val="10"/>
            <rFont val="WenQuanYi Zen Hei"/>
            <family val="2"/>
          </rPr>
          <t xml:space="preserve">반기보고서 </t>
        </r>
        <r>
          <rPr>
            <sz val="10"/>
            <rFont val="Arial"/>
            <family val="2"/>
          </rPr>
          <t xml:space="preserve">2026.06 (DART) p.69 (</t>
        </r>
        <r>
          <rPr>
            <sz val="10"/>
            <rFont val="WenQuanYi Zen Hei"/>
            <family val="2"/>
          </rPr>
          <t xml:space="preserve">주식매수선택권 – 기말 잔여주</t>
        </r>
        <r>
          <rPr>
            <sz val="10"/>
            <rFont val="Arial"/>
            <family val="2"/>
          </rPr>
          <t xml:space="preserve">) – options outstanding at 30-Jun-26 at strike KRW 108,188: 65,500 (tranche 2-1: 53,500 + 2-2: 12,000)</t>
        </r>
      </text>
    </comment>
    <comment ref="T154" authorId="0">
      <text>
        <r>
          <rPr>
            <sz val="10"/>
            <rFont val="Arial"/>
            <family val="2"/>
          </rPr>
          <t xml:space="preserve">Hand spread: ST Pharm </t>
        </r>
        <r>
          <rPr>
            <sz val="10"/>
            <rFont val="WenQuanYi Zen Hei"/>
            <family val="2"/>
          </rPr>
          <t xml:space="preserve">반기보고서 </t>
        </r>
        <r>
          <rPr>
            <sz val="10"/>
            <rFont val="Arial"/>
            <family val="2"/>
          </rPr>
          <t xml:space="preserve">2026.06 (DART) p.69 (</t>
        </r>
        <r>
          <rPr>
            <sz val="10"/>
            <rFont val="WenQuanYi Zen Hei"/>
            <family val="2"/>
          </rPr>
          <t xml:space="preserve">주식매수선택권 – 기말 잔여주</t>
        </r>
        <r>
          <rPr>
            <sz val="10"/>
            <rFont val="Arial"/>
            <family val="2"/>
          </rPr>
          <t xml:space="preserve">) – options outstanding at 30-Jun-26 at strike KRW 100,000: 60,000 (tranches 4-1 21,000 + 4-2 15,000 + 5-1 21,000 + 5-2 3,000)</t>
        </r>
      </text>
    </comment>
    <comment ref="T155" authorId="0">
      <text>
        <r>
          <rPr>
            <sz val="10"/>
            <rFont val="Arial"/>
            <family val="2"/>
          </rPr>
          <t xml:space="preserve">Hand spread: ST Pharm </t>
        </r>
        <r>
          <rPr>
            <sz val="10"/>
            <rFont val="WenQuanYi Zen Hei"/>
            <family val="2"/>
          </rPr>
          <t xml:space="preserve">반기보고서 </t>
        </r>
        <r>
          <rPr>
            <sz val="10"/>
            <rFont val="Arial"/>
            <family val="2"/>
          </rPr>
          <t xml:space="preserve">2026.06 (DART) p.69 (</t>
        </r>
        <r>
          <rPr>
            <sz val="10"/>
            <rFont val="WenQuanYi Zen Hei"/>
            <family val="2"/>
          </rPr>
          <t xml:space="preserve">주식매수선택권 – 기말 잔여주</t>
        </r>
        <r>
          <rPr>
            <sz val="10"/>
            <rFont val="Arial"/>
            <family val="2"/>
          </rPr>
          <t xml:space="preserve">) – options outstanding at 30-Jun-26 at strike KRW 155,000: 6,000 (tranche 6)</t>
        </r>
      </text>
    </comment>
    <comment ref="T164" authorId="0">
      <text>
        <r>
          <rPr>
            <sz val="10"/>
            <rFont val="Arial"/>
            <family val="2"/>
          </rPr>
          <t xml:space="preserve">Hand spread: ST Pharm </t>
        </r>
        <r>
          <rPr>
            <sz val="10"/>
            <rFont val="WenQuanYi Zen Hei"/>
            <family val="2"/>
          </rPr>
          <t xml:space="preserve">반기보고서 </t>
        </r>
        <r>
          <rPr>
            <sz val="10"/>
            <rFont val="Arial"/>
            <family val="2"/>
          </rPr>
          <t xml:space="preserve">2026.06 (DART) p.69 – exercise price KRW 98,785</t>
        </r>
      </text>
    </comment>
    <comment ref="T165" authorId="0">
      <text>
        <r>
          <rPr>
            <sz val="10"/>
            <rFont val="Arial"/>
            <family val="2"/>
          </rPr>
          <t xml:space="preserve">Hand spread: ST Pharm </t>
        </r>
        <r>
          <rPr>
            <sz val="10"/>
            <rFont val="WenQuanYi Zen Hei"/>
            <family val="2"/>
          </rPr>
          <t xml:space="preserve">반기보고서 </t>
        </r>
        <r>
          <rPr>
            <sz val="10"/>
            <rFont val="Arial"/>
            <family val="2"/>
          </rPr>
          <t xml:space="preserve">2026.06 (DART) p.69 – exercise price KRW 108,188</t>
        </r>
      </text>
    </comment>
    <comment ref="T166" authorId="0">
      <text>
        <r>
          <rPr>
            <sz val="10"/>
            <rFont val="Arial"/>
            <family val="2"/>
          </rPr>
          <t xml:space="preserve">Hand spread: ST Pharm </t>
        </r>
        <r>
          <rPr>
            <sz val="10"/>
            <rFont val="WenQuanYi Zen Hei"/>
            <family val="2"/>
          </rPr>
          <t xml:space="preserve">반기보고서 </t>
        </r>
        <r>
          <rPr>
            <sz val="10"/>
            <rFont val="Arial"/>
            <family val="2"/>
          </rPr>
          <t xml:space="preserve">2026.06 (DART) p.69 – exercise price KRW 100,000</t>
        </r>
      </text>
    </comment>
    <comment ref="T167" authorId="0">
      <text>
        <r>
          <rPr>
            <sz val="10"/>
            <rFont val="Arial"/>
            <family val="2"/>
          </rPr>
          <t xml:space="preserve">Hand spread: ST Pharm </t>
        </r>
        <r>
          <rPr>
            <sz val="10"/>
            <rFont val="WenQuanYi Zen Hei"/>
            <family val="2"/>
          </rPr>
          <t xml:space="preserve">반기보고서 </t>
        </r>
        <r>
          <rPr>
            <sz val="10"/>
            <rFont val="Arial"/>
            <family val="2"/>
          </rPr>
          <t xml:space="preserve">2026.06 (DART) p.69 – exercise price KRW 155,000</t>
        </r>
      </text>
    </comment>
    <comment ref="T189" authorId="0">
      <text>
        <r>
          <rPr>
            <sz val="10"/>
            <rFont val="Arial"/>
            <family val="2"/>
          </rPr>
          <t xml:space="preserve">Hand spread: ST Pharm </t>
        </r>
        <r>
          <rPr>
            <sz val="10"/>
            <rFont val="WenQuanYi Zen Hei"/>
            <family val="2"/>
          </rPr>
          <t xml:space="preserve">반기연결검토보고서 </t>
        </r>
        <r>
          <rPr>
            <sz val="10"/>
            <rFont val="Arial"/>
            <family val="2"/>
          </rPr>
          <t xml:space="preserve">(reviewed consolidated interim FS, 30-Jun-26; attachment to DART </t>
        </r>
        <r>
          <rPr>
            <sz val="10"/>
            <rFont val="WenQuanYi Zen Hei"/>
            <family val="2"/>
          </rPr>
          <t xml:space="preserve">반기보고서 </t>
        </r>
        <r>
          <rPr>
            <sz val="10"/>
            <rFont val="Arial"/>
            <family val="2"/>
          </rPr>
          <t xml:space="preserve">2026.06) – fiscal year ends 31 December.</t>
        </r>
      </text>
    </comment>
    <comment ref="T192" authorId="0">
      <text>
        <r>
          <rPr>
            <sz val="10"/>
            <rFont val="Arial"/>
            <family val="2"/>
          </rPr>
          <t xml:space="preserve">Kim, Justin G.:
Most companies will end their fiscal year in December; however companies like Takeda report Fiscal Year end on a different quarter - this requires you to recalendarize the line items so they are apples-to-apples with other companies ending their FY in December 31</t>
        </r>
      </text>
    </comment>
    <comment ref="T205" authorId="0">
      <text>
        <r>
          <rPr>
            <sz val="10"/>
            <rFont val="Arial"/>
            <family val="2"/>
          </rPr>
          <t xml:space="preserve">Hand spread: ST Pharm </t>
        </r>
        <r>
          <rPr>
            <sz val="10"/>
            <rFont val="WenQuanYi Zen Hei"/>
            <family val="2"/>
          </rPr>
          <t xml:space="preserve">연결감사보고서 </t>
        </r>
        <r>
          <rPr>
            <sz val="10"/>
            <rFont val="Arial"/>
            <family val="2"/>
          </rPr>
          <t xml:space="preserve">FY2025 (attachment to DART </t>
        </r>
        <r>
          <rPr>
            <sz val="10"/>
            <rFont val="WenQuanYi Zen Hei"/>
            <family val="2"/>
          </rPr>
          <t xml:space="preserve">사업보고서 </t>
        </r>
        <r>
          <rPr>
            <sz val="10"/>
            <rFont val="Arial"/>
            <family val="2"/>
          </rPr>
          <t xml:space="preserve">2025.12) p.10 – </t>
        </r>
        <r>
          <rPr>
            <sz val="10"/>
            <rFont val="WenQuanYi Zen Hei"/>
            <family val="2"/>
          </rPr>
          <t xml:space="preserve">연결포괄손익계산서 매출액 </t>
        </r>
        <r>
          <rPr>
            <sz val="10"/>
            <rFont val="Arial"/>
            <family val="2"/>
          </rPr>
          <t xml:space="preserve">FY25: KRW 331,681,282,447
[Converted to USD at the 2025 average KRW rate, FX!D9; value above is in KRW m.]</t>
        </r>
      </text>
    </comment>
    <comment ref="T206" authorId="0">
      <text>
        <r>
          <rPr>
            <sz val="10"/>
            <rFont val="Arial"/>
            <family val="2"/>
          </rPr>
          <t xml:space="preserve">Hand spread: ST Pharm </t>
        </r>
        <r>
          <rPr>
            <sz val="10"/>
            <rFont val="WenQuanYi Zen Hei"/>
            <family val="2"/>
          </rPr>
          <t xml:space="preserve">연결감사보고서 </t>
        </r>
        <r>
          <rPr>
            <sz val="10"/>
            <rFont val="Arial"/>
            <family val="2"/>
          </rPr>
          <t xml:space="preserve">FY2025 (attachment to DART </t>
        </r>
        <r>
          <rPr>
            <sz val="10"/>
            <rFont val="WenQuanYi Zen Hei"/>
            <family val="2"/>
          </rPr>
          <t xml:space="preserve">사업보고서 </t>
        </r>
        <r>
          <rPr>
            <sz val="10"/>
            <rFont val="Arial"/>
            <family val="2"/>
          </rPr>
          <t xml:space="preserve">2025.12) p.10 – </t>
        </r>
        <r>
          <rPr>
            <sz val="10"/>
            <rFont val="WenQuanYi Zen Hei"/>
            <family val="2"/>
          </rPr>
          <t xml:space="preserve">매출액 </t>
        </r>
        <r>
          <rPr>
            <sz val="10"/>
            <rFont val="Arial"/>
            <family val="2"/>
          </rPr>
          <t xml:space="preserve">FY24: KRW 273,751,342,840
[Converted to USD at the 2024 average KRW rate, FX!C9; value above is in KRW m.]</t>
        </r>
      </text>
    </comment>
    <comment ref="T207" authorId="0">
      <text>
        <r>
          <rPr>
            <sz val="10"/>
            <rFont val="Arial"/>
            <family val="2"/>
          </rPr>
          <t xml:space="preserve">Hand spread: ST Pharm </t>
        </r>
        <r>
          <rPr>
            <sz val="10"/>
            <rFont val="WenQuanYi Zen Hei"/>
            <family val="2"/>
          </rPr>
          <t xml:space="preserve">연결감사보고서 </t>
        </r>
        <r>
          <rPr>
            <sz val="10"/>
            <rFont val="Arial"/>
            <family val="2"/>
          </rPr>
          <t xml:space="preserve">FY2024 (attachment to DART </t>
        </r>
        <r>
          <rPr>
            <sz val="10"/>
            <rFont val="WenQuanYi Zen Hei"/>
            <family val="2"/>
          </rPr>
          <t xml:space="preserve">사업보고서 </t>
        </r>
        <r>
          <rPr>
            <sz val="10"/>
            <rFont val="Arial"/>
            <family val="2"/>
          </rPr>
          <t xml:space="preserve">2024.12) p.10 – </t>
        </r>
        <r>
          <rPr>
            <sz val="10"/>
            <rFont val="WenQuanYi Zen Hei"/>
            <family val="2"/>
          </rPr>
          <t xml:space="preserve">매출 </t>
        </r>
        <r>
          <rPr>
            <sz val="10"/>
            <rFont val="Arial"/>
            <family val="2"/>
          </rPr>
          <t xml:space="preserve">FY23: KRW 284,991,652,409
[Converted to USD at the 2023 average KRW rate, FX!B9; value above is in KRW m.]</t>
        </r>
      </text>
    </comment>
    <comment ref="T215" authorId="0">
      <text>
        <r>
          <rPr>
            <sz val="10"/>
            <rFont val="Arial"/>
            <family val="2"/>
          </rPr>
          <t xml:space="preserve">Hand spread: ST Pharm </t>
        </r>
        <r>
          <rPr>
            <sz val="10"/>
            <rFont val="WenQuanYi Zen Hei"/>
            <family val="2"/>
          </rPr>
          <t xml:space="preserve">연결감사보고서 </t>
        </r>
        <r>
          <rPr>
            <sz val="10"/>
            <rFont val="Arial"/>
            <family val="2"/>
          </rPr>
          <t xml:space="preserve">FY2025 (attachment to DART </t>
        </r>
        <r>
          <rPr>
            <sz val="10"/>
            <rFont val="WenQuanYi Zen Hei"/>
            <family val="2"/>
          </rPr>
          <t xml:space="preserve">사업보고서 </t>
        </r>
        <r>
          <rPr>
            <sz val="10"/>
            <rFont val="Arial"/>
            <family val="2"/>
          </rPr>
          <t xml:space="preserve">2025.12) p.10 – </t>
        </r>
        <r>
          <rPr>
            <sz val="10"/>
            <rFont val="WenQuanYi Zen Hei"/>
            <family val="2"/>
          </rPr>
          <t xml:space="preserve">매출총이익 </t>
        </r>
        <r>
          <rPr>
            <sz val="10"/>
            <rFont val="Arial"/>
            <family val="2"/>
          </rPr>
          <t xml:space="preserve">FY25: KRW 136,202,620,890
[Converted to USD at the 2025 average KRW rate, FX!D9; value above is in KRW m.]</t>
        </r>
      </text>
    </comment>
    <comment ref="T216" authorId="0">
      <text>
        <r>
          <rPr>
            <sz val="10"/>
            <rFont val="Arial"/>
            <family val="2"/>
          </rPr>
          <t xml:space="preserve">Hand spread: ST Pharm </t>
        </r>
        <r>
          <rPr>
            <sz val="10"/>
            <rFont val="WenQuanYi Zen Hei"/>
            <family val="2"/>
          </rPr>
          <t xml:space="preserve">연결감사보고서 </t>
        </r>
        <r>
          <rPr>
            <sz val="10"/>
            <rFont val="Arial"/>
            <family val="2"/>
          </rPr>
          <t xml:space="preserve">FY2025 (attachment to DART </t>
        </r>
        <r>
          <rPr>
            <sz val="10"/>
            <rFont val="WenQuanYi Zen Hei"/>
            <family val="2"/>
          </rPr>
          <t xml:space="preserve">사업보고서 </t>
        </r>
        <r>
          <rPr>
            <sz val="10"/>
            <rFont val="Arial"/>
            <family val="2"/>
          </rPr>
          <t xml:space="preserve">2025.12) p.10 – </t>
        </r>
        <r>
          <rPr>
            <sz val="10"/>
            <rFont val="WenQuanYi Zen Hei"/>
            <family val="2"/>
          </rPr>
          <t xml:space="preserve">매출총이익 </t>
        </r>
        <r>
          <rPr>
            <sz val="10"/>
            <rFont val="Arial"/>
            <family val="2"/>
          </rPr>
          <t xml:space="preserve">FY24: KRW 96,162,795,005
[Converted to USD at the 2024 average KRW rate, FX!C9; value above is in KRW m.]</t>
        </r>
      </text>
    </comment>
    <comment ref="T217" authorId="0">
      <text>
        <r>
          <rPr>
            <sz val="10"/>
            <rFont val="Arial"/>
            <family val="2"/>
          </rPr>
          <t xml:space="preserve">Hand spread: ST Pharm </t>
        </r>
        <r>
          <rPr>
            <sz val="10"/>
            <rFont val="WenQuanYi Zen Hei"/>
            <family val="2"/>
          </rPr>
          <t xml:space="preserve">연결감사보고서 </t>
        </r>
        <r>
          <rPr>
            <sz val="10"/>
            <rFont val="Arial"/>
            <family val="2"/>
          </rPr>
          <t xml:space="preserve">FY2024 (attachment to DART </t>
        </r>
        <r>
          <rPr>
            <sz val="10"/>
            <rFont val="WenQuanYi Zen Hei"/>
            <family val="2"/>
          </rPr>
          <t xml:space="preserve">사업보고서 </t>
        </r>
        <r>
          <rPr>
            <sz val="10"/>
            <rFont val="Arial"/>
            <family val="2"/>
          </rPr>
          <t xml:space="preserve">2024.12) p.10 – </t>
        </r>
        <r>
          <rPr>
            <sz val="10"/>
            <rFont val="WenQuanYi Zen Hei"/>
            <family val="2"/>
          </rPr>
          <t xml:space="preserve">매출총이익 </t>
        </r>
        <r>
          <rPr>
            <sz val="10"/>
            <rFont val="Arial"/>
            <family val="2"/>
          </rPr>
          <t xml:space="preserve">FY23: KRW 112,115,158,244
[Converted to USD at the 2023 average KRW rate, FX!B9; value above is in KRW m.]</t>
        </r>
      </text>
    </comment>
    <comment ref="T225" authorId="0">
      <text>
        <r>
          <rPr>
            <sz val="10"/>
            <rFont val="Arial"/>
            <family val="2"/>
          </rPr>
          <t xml:space="preserve">Hand spread: ST Pharm </t>
        </r>
        <r>
          <rPr>
            <sz val="10"/>
            <rFont val="WenQuanYi Zen Hei"/>
            <family val="2"/>
          </rPr>
          <t xml:space="preserve">연결감사보고서 </t>
        </r>
        <r>
          <rPr>
            <sz val="10"/>
            <rFont val="Arial"/>
            <family val="2"/>
          </rPr>
          <t xml:space="preserve">FY2025 (attachment to DART </t>
        </r>
        <r>
          <rPr>
            <sz val="10"/>
            <rFont val="WenQuanYi Zen Hei"/>
            <family val="2"/>
          </rPr>
          <t xml:space="preserve">사업보고서 </t>
        </r>
        <r>
          <rPr>
            <sz val="10"/>
            <rFont val="Arial"/>
            <family val="2"/>
          </rPr>
          <t xml:space="preserve">2025.12) p.69 (Note 28) – </t>
        </r>
        <r>
          <rPr>
            <sz val="10"/>
            <rFont val="WenQuanYi Zen Hei"/>
            <family val="2"/>
          </rPr>
          <t xml:space="preserve">연구개발비 </t>
        </r>
        <r>
          <rPr>
            <sz val="10"/>
            <rFont val="Arial"/>
            <family val="2"/>
          </rPr>
          <t xml:space="preserve">(R&amp;D, within SG&amp;A) FY25: KRW 23,710,036k
[Converted to USD at the 2025 average KRW rate, FX!D9; value above is in KRW m.]</t>
        </r>
      </text>
    </comment>
    <comment ref="T226" authorId="0">
      <text>
        <r>
          <rPr>
            <sz val="10"/>
            <rFont val="Arial"/>
            <family val="2"/>
          </rPr>
          <t xml:space="preserve">Hand spread: ST Pharm </t>
        </r>
        <r>
          <rPr>
            <sz val="10"/>
            <rFont val="WenQuanYi Zen Hei"/>
            <family val="2"/>
          </rPr>
          <t xml:space="preserve">연결감사보고서 </t>
        </r>
        <r>
          <rPr>
            <sz val="10"/>
            <rFont val="Arial"/>
            <family val="2"/>
          </rPr>
          <t xml:space="preserve">FY2025 (attachment to DART </t>
        </r>
        <r>
          <rPr>
            <sz val="10"/>
            <rFont val="WenQuanYi Zen Hei"/>
            <family val="2"/>
          </rPr>
          <t xml:space="preserve">사업보고서 </t>
        </r>
        <r>
          <rPr>
            <sz val="10"/>
            <rFont val="Arial"/>
            <family val="2"/>
          </rPr>
          <t xml:space="preserve">2025.12) p.69 – </t>
        </r>
        <r>
          <rPr>
            <sz val="10"/>
            <rFont val="WenQuanYi Zen Hei"/>
            <family val="2"/>
          </rPr>
          <t xml:space="preserve">연구개발비 </t>
        </r>
        <r>
          <rPr>
            <sz val="10"/>
            <rFont val="Arial"/>
            <family val="2"/>
          </rPr>
          <t xml:space="preserve">FY24: KRW 22,108,405k
[Converted to USD at the 2024 average KRW rate, FX!C9; value above is in KRW m.]</t>
        </r>
      </text>
    </comment>
    <comment ref="T227" authorId="0">
      <text>
        <r>
          <rPr>
            <sz val="10"/>
            <rFont val="Arial"/>
            <family val="2"/>
          </rPr>
          <t xml:space="preserve">Hand spread: ST Pharm </t>
        </r>
        <r>
          <rPr>
            <sz val="10"/>
            <rFont val="WenQuanYi Zen Hei"/>
            <family val="2"/>
          </rPr>
          <t xml:space="preserve">연결감사보고서 </t>
        </r>
        <r>
          <rPr>
            <sz val="10"/>
            <rFont val="Arial"/>
            <family val="2"/>
          </rPr>
          <t xml:space="preserve">FY2024 (attachment to DART </t>
        </r>
        <r>
          <rPr>
            <sz val="10"/>
            <rFont val="WenQuanYi Zen Hei"/>
            <family val="2"/>
          </rPr>
          <t xml:space="preserve">사업보고서 </t>
        </r>
        <r>
          <rPr>
            <sz val="10"/>
            <rFont val="Arial"/>
            <family val="2"/>
          </rPr>
          <t xml:space="preserve">2024.12) p.70 (Note 28) – </t>
        </r>
        <r>
          <rPr>
            <sz val="10"/>
            <rFont val="WenQuanYi Zen Hei"/>
            <family val="2"/>
          </rPr>
          <t xml:space="preserve">경상연구개발비 </t>
        </r>
        <r>
          <rPr>
            <sz val="10"/>
            <rFont val="Arial"/>
            <family val="2"/>
          </rPr>
          <t xml:space="preserve">FY23: KRW 30,449,585k
[Converted to USD at the 2023 average KRW rate, FX!B9; value above is in KRW m.]</t>
        </r>
      </text>
    </comment>
    <comment ref="T235" authorId="0">
      <text>
        <r>
          <rPr>
            <sz val="10"/>
            <rFont val="Arial"/>
            <family val="2"/>
          </rPr>
          <t xml:space="preserve">Hand spread: ST Pharm </t>
        </r>
        <r>
          <rPr>
            <sz val="10"/>
            <rFont val="WenQuanYi Zen Hei"/>
            <family val="2"/>
          </rPr>
          <t xml:space="preserve">연결감사보고서 </t>
        </r>
        <r>
          <rPr>
            <sz val="10"/>
            <rFont val="Arial"/>
            <family val="2"/>
          </rPr>
          <t xml:space="preserve">FY2025 (attachment to DART </t>
        </r>
        <r>
          <rPr>
            <sz val="10"/>
            <rFont val="WenQuanYi Zen Hei"/>
            <family val="2"/>
          </rPr>
          <t xml:space="preserve">사업보고서 </t>
        </r>
        <r>
          <rPr>
            <sz val="10"/>
            <rFont val="Arial"/>
            <family val="2"/>
          </rPr>
          <t xml:space="preserve">2025.12) p.10 [calc] – </t>
        </r>
        <r>
          <rPr>
            <sz val="10"/>
            <rFont val="WenQuanYi Zen Hei"/>
            <family val="2"/>
          </rPr>
          <t xml:space="preserve">판매비와관리비 </t>
        </r>
        <r>
          <rPr>
            <sz val="10"/>
            <rFont val="Arial"/>
            <family val="2"/>
          </rPr>
          <t xml:space="preserve">81,270,077,140 less R&amp;D 23,710,036k = KRW 57,560.0m
[Converted to USD at the 2025 average KRW rate, FX!D9; value above is in KRW m.]</t>
        </r>
      </text>
    </comment>
    <comment ref="T236" authorId="0">
      <text>
        <r>
          <rPr>
            <sz val="10"/>
            <rFont val="Arial"/>
            <family val="2"/>
          </rPr>
          <t xml:space="preserve">Hand spread: ST Pharm </t>
        </r>
        <r>
          <rPr>
            <sz val="10"/>
            <rFont val="WenQuanYi Zen Hei"/>
            <family val="2"/>
          </rPr>
          <t xml:space="preserve">연결감사보고서 </t>
        </r>
        <r>
          <rPr>
            <sz val="10"/>
            <rFont val="Arial"/>
            <family val="2"/>
          </rPr>
          <t xml:space="preserve">FY2025 (attachment to DART </t>
        </r>
        <r>
          <rPr>
            <sz val="10"/>
            <rFont val="WenQuanYi Zen Hei"/>
            <family val="2"/>
          </rPr>
          <t xml:space="preserve">사업보고서 </t>
        </r>
        <r>
          <rPr>
            <sz val="10"/>
            <rFont val="Arial"/>
            <family val="2"/>
          </rPr>
          <t xml:space="preserve">2025.12) p.10 [calc] – </t>
        </r>
        <r>
          <rPr>
            <sz val="10"/>
            <rFont val="WenQuanYi Zen Hei"/>
            <family val="2"/>
          </rPr>
          <t xml:space="preserve">판매비와관리비 </t>
        </r>
        <r>
          <rPr>
            <sz val="10"/>
            <rFont val="Arial"/>
            <family val="2"/>
          </rPr>
          <t xml:space="preserve">68,470,261,813 less R&amp;D 22,108,405k = KRW 46,361.9m
[Converted to USD at the 2024 average KRW rate, FX!C9; value above is in KRW m.]</t>
        </r>
      </text>
    </comment>
    <comment ref="T237" authorId="0">
      <text>
        <r>
          <rPr>
            <sz val="10"/>
            <rFont val="Arial"/>
            <family val="2"/>
          </rPr>
          <t xml:space="preserve">Hand spread: ST Pharm </t>
        </r>
        <r>
          <rPr>
            <sz val="10"/>
            <rFont val="WenQuanYi Zen Hei"/>
            <family val="2"/>
          </rPr>
          <t xml:space="preserve">연결감사보고서 </t>
        </r>
        <r>
          <rPr>
            <sz val="10"/>
            <rFont val="Arial"/>
            <family val="2"/>
          </rPr>
          <t xml:space="preserve">FY2024 (attachment to DART </t>
        </r>
        <r>
          <rPr>
            <sz val="10"/>
            <rFont val="WenQuanYi Zen Hei"/>
            <family val="2"/>
          </rPr>
          <t xml:space="preserve">사업보고서 </t>
        </r>
        <r>
          <rPr>
            <sz val="10"/>
            <rFont val="Arial"/>
            <family val="2"/>
          </rPr>
          <t xml:space="preserve">2024.12) p.10 [calc] – </t>
        </r>
        <r>
          <rPr>
            <sz val="10"/>
            <rFont val="WenQuanYi Zen Hei"/>
            <family val="2"/>
          </rPr>
          <t xml:space="preserve">판매비와관리비 </t>
        </r>
        <r>
          <rPr>
            <sz val="10"/>
            <rFont val="Arial"/>
            <family val="2"/>
          </rPr>
          <t xml:space="preserve">78,603,496,655 less R&amp;D 30,449,585k = KRW 48,153.9m
[Converted to USD at the 2023 average KRW rate, FX!B9; value above is in KRW m.]</t>
        </r>
      </text>
    </comment>
    <comment ref="T245" authorId="0">
      <text>
        <r>
          <rPr>
            <sz val="10"/>
            <rFont val="Arial"/>
            <family val="2"/>
          </rPr>
          <t xml:space="preserve">Hand spread: ST Pharm </t>
        </r>
        <r>
          <rPr>
            <sz val="10"/>
            <rFont val="WenQuanYi Zen Hei"/>
            <family val="2"/>
          </rPr>
          <t xml:space="preserve">연결감사보고서 </t>
        </r>
        <r>
          <rPr>
            <sz val="10"/>
            <rFont val="Arial"/>
            <family val="2"/>
          </rPr>
          <t xml:space="preserve">FY2025 (attachment to DART </t>
        </r>
        <r>
          <rPr>
            <sz val="10"/>
            <rFont val="WenQuanYi Zen Hei"/>
            <family val="2"/>
          </rPr>
          <t xml:space="preserve">사업보고서 </t>
        </r>
        <r>
          <rPr>
            <sz val="10"/>
            <rFont val="Arial"/>
            <family val="2"/>
          </rPr>
          <t xml:space="preserve">2025.12) p.10 – </t>
        </r>
        <r>
          <rPr>
            <sz val="10"/>
            <rFont val="WenQuanYi Zen Hei"/>
            <family val="2"/>
          </rPr>
          <t xml:space="preserve">영업이익 </t>
        </r>
        <r>
          <rPr>
            <sz val="10"/>
            <rFont val="Arial"/>
            <family val="2"/>
          </rPr>
          <t xml:space="preserve">FY25: KRW 54,932,543,750
[Converted to USD at the 2025 average KRW rate, FX!D9; value above is in KRW m.]</t>
        </r>
      </text>
    </comment>
    <comment ref="T246" authorId="0">
      <text>
        <r>
          <rPr>
            <sz val="10"/>
            <rFont val="Arial"/>
            <family val="2"/>
          </rPr>
          <t xml:space="preserve">Hand spread: ST Pharm </t>
        </r>
        <r>
          <rPr>
            <sz val="10"/>
            <rFont val="WenQuanYi Zen Hei"/>
            <family val="2"/>
          </rPr>
          <t xml:space="preserve">연결감사보고서 </t>
        </r>
        <r>
          <rPr>
            <sz val="10"/>
            <rFont val="Arial"/>
            <family val="2"/>
          </rPr>
          <t xml:space="preserve">FY2025 (attachment to DART </t>
        </r>
        <r>
          <rPr>
            <sz val="10"/>
            <rFont val="WenQuanYi Zen Hei"/>
            <family val="2"/>
          </rPr>
          <t xml:space="preserve">사업보고서 </t>
        </r>
        <r>
          <rPr>
            <sz val="10"/>
            <rFont val="Arial"/>
            <family val="2"/>
          </rPr>
          <t xml:space="preserve">2025.12) p.10 – </t>
        </r>
        <r>
          <rPr>
            <sz val="10"/>
            <rFont val="WenQuanYi Zen Hei"/>
            <family val="2"/>
          </rPr>
          <t xml:space="preserve">영업이익 </t>
        </r>
        <r>
          <rPr>
            <sz val="10"/>
            <rFont val="Arial"/>
            <family val="2"/>
          </rPr>
          <t xml:space="preserve">FY24: KRW 27,692,533,192
[Converted to USD at the 2024 average KRW rate, FX!C9; value above is in KRW m.]</t>
        </r>
      </text>
    </comment>
    <comment ref="T247" authorId="0">
      <text>
        <r>
          <rPr>
            <sz val="10"/>
            <rFont val="Arial"/>
            <family val="2"/>
          </rPr>
          <t xml:space="preserve">Hand spread: ST Pharm </t>
        </r>
        <r>
          <rPr>
            <sz val="10"/>
            <rFont val="WenQuanYi Zen Hei"/>
            <family val="2"/>
          </rPr>
          <t xml:space="preserve">연결감사보고서 </t>
        </r>
        <r>
          <rPr>
            <sz val="10"/>
            <rFont val="Arial"/>
            <family val="2"/>
          </rPr>
          <t xml:space="preserve">FY2024 (attachment to DART </t>
        </r>
        <r>
          <rPr>
            <sz val="10"/>
            <rFont val="WenQuanYi Zen Hei"/>
            <family val="2"/>
          </rPr>
          <t xml:space="preserve">사업보고서 </t>
        </r>
        <r>
          <rPr>
            <sz val="10"/>
            <rFont val="Arial"/>
            <family val="2"/>
          </rPr>
          <t xml:space="preserve">2024.12) p.10 – </t>
        </r>
        <r>
          <rPr>
            <sz val="10"/>
            <rFont val="WenQuanYi Zen Hei"/>
            <family val="2"/>
          </rPr>
          <t xml:space="preserve">영업이익 </t>
        </r>
        <r>
          <rPr>
            <sz val="10"/>
            <rFont val="Arial"/>
            <family val="2"/>
          </rPr>
          <t xml:space="preserve">FY23: KRW 33,511,661,589
[Converted to USD at the 2023 average KRW rate, FX!B9; value above is in KRW m.]</t>
        </r>
      </text>
    </comment>
    <comment ref="T265" authorId="0">
      <text>
        <r>
          <rPr>
            <sz val="10"/>
            <rFont val="Arial"/>
            <family val="2"/>
          </rPr>
          <t xml:space="preserve">Hand spread: ST Pharm </t>
        </r>
        <r>
          <rPr>
            <sz val="10"/>
            <rFont val="WenQuanYi Zen Hei"/>
            <family val="2"/>
          </rPr>
          <t xml:space="preserve">연결감사보고서 </t>
        </r>
        <r>
          <rPr>
            <sz val="10"/>
            <rFont val="Arial"/>
            <family val="2"/>
          </rPr>
          <t xml:space="preserve">FY2025 (attachment to DART </t>
        </r>
        <r>
          <rPr>
            <sz val="10"/>
            <rFont val="WenQuanYi Zen Hei"/>
            <family val="2"/>
          </rPr>
          <t xml:space="preserve">사업보고서 </t>
        </r>
        <r>
          <rPr>
            <sz val="10"/>
            <rFont val="Arial"/>
            <family val="2"/>
          </rPr>
          <t xml:space="preserve">2025.12) [calc] – EBITDA FY25 = </t>
        </r>
        <r>
          <rPr>
            <sz val="10"/>
            <rFont val="WenQuanYi Zen Hei"/>
            <family val="2"/>
          </rPr>
          <t xml:space="preserve">영업이익 </t>
        </r>
        <r>
          <rPr>
            <sz val="10"/>
            <rFont val="Arial"/>
            <family val="2"/>
          </rPr>
          <t xml:space="preserve">54,932.5 (p.10) + </t>
        </r>
        <r>
          <rPr>
            <sz val="10"/>
            <rFont val="WenQuanYi Zen Hei"/>
            <family val="2"/>
          </rPr>
          <t xml:space="preserve">감가상각비 </t>
        </r>
        <r>
          <rPr>
            <sz val="10"/>
            <rFont val="Arial"/>
            <family val="2"/>
          </rPr>
          <t xml:space="preserve">26,776.7 (Note 14, p.49) + </t>
        </r>
        <r>
          <rPr>
            <sz val="10"/>
            <rFont val="WenQuanYi Zen Hei"/>
            <family val="2"/>
          </rPr>
          <t xml:space="preserve">무형자산상각비 </t>
        </r>
        <r>
          <rPr>
            <sz val="10"/>
            <rFont val="Arial"/>
            <family val="2"/>
          </rPr>
          <t xml:space="preserve">1,398.7 (Note 15, p.52) + </t>
        </r>
        <r>
          <rPr>
            <sz val="10"/>
            <rFont val="WenQuanYi Zen Hei"/>
            <family val="2"/>
          </rPr>
          <t xml:space="preserve">사용권자산상각비 </t>
        </r>
        <r>
          <rPr>
            <sz val="10"/>
            <rFont val="Arial"/>
            <family val="2"/>
          </rPr>
          <t xml:space="preserve">1,705.6 (Note 16, p.53) = KRW 84,813.6m
[Converted to USD at the 2025 average KRW rate, FX!D9; value above is in KRW m.]</t>
        </r>
      </text>
    </comment>
    <comment ref="T266" authorId="0">
      <text>
        <r>
          <rPr>
            <sz val="10"/>
            <rFont val="Arial"/>
            <family val="2"/>
          </rPr>
          <t xml:space="preserve">Hand spread: ST Pharm </t>
        </r>
        <r>
          <rPr>
            <sz val="10"/>
            <rFont val="WenQuanYi Zen Hei"/>
            <family val="2"/>
          </rPr>
          <t xml:space="preserve">연결감사보고서 </t>
        </r>
        <r>
          <rPr>
            <sz val="10"/>
            <rFont val="Arial"/>
            <family val="2"/>
          </rPr>
          <t xml:space="preserve">FY2025 (attachment to DART </t>
        </r>
        <r>
          <rPr>
            <sz val="10"/>
            <rFont val="WenQuanYi Zen Hei"/>
            <family val="2"/>
          </rPr>
          <t xml:space="preserve">사업보고서 </t>
        </r>
        <r>
          <rPr>
            <sz val="10"/>
            <rFont val="Arial"/>
            <family val="2"/>
          </rPr>
          <t xml:space="preserve">2025.12) [calc] – EBITDA FY24 = </t>
        </r>
        <r>
          <rPr>
            <sz val="10"/>
            <rFont val="WenQuanYi Zen Hei"/>
            <family val="2"/>
          </rPr>
          <t xml:space="preserve">영업이익 </t>
        </r>
        <r>
          <rPr>
            <sz val="10"/>
            <rFont val="Arial"/>
            <family val="2"/>
          </rPr>
          <t xml:space="preserve">27,692.5 + </t>
        </r>
        <r>
          <rPr>
            <sz val="10"/>
            <rFont val="WenQuanYi Zen Hei"/>
            <family val="2"/>
          </rPr>
          <t xml:space="preserve">감가상각비 </t>
        </r>
        <r>
          <rPr>
            <sz val="10"/>
            <rFont val="Arial"/>
            <family val="2"/>
          </rPr>
          <t xml:space="preserve">23,147.2 (p.49) + </t>
        </r>
        <r>
          <rPr>
            <sz val="10"/>
            <rFont val="WenQuanYi Zen Hei"/>
            <family val="2"/>
          </rPr>
          <t xml:space="preserve">무형자산상각비 </t>
        </r>
        <r>
          <rPr>
            <sz val="10"/>
            <rFont val="Arial"/>
            <family val="2"/>
          </rPr>
          <t xml:space="preserve">946.5 (p.52) + </t>
        </r>
        <r>
          <rPr>
            <sz val="10"/>
            <rFont val="WenQuanYi Zen Hei"/>
            <family val="2"/>
          </rPr>
          <t xml:space="preserve">사용권자산상각비 </t>
        </r>
        <r>
          <rPr>
            <sz val="10"/>
            <rFont val="Arial"/>
            <family val="2"/>
          </rPr>
          <t xml:space="preserve">1,488.8 (p.53) = KRW 53,275.0m
[Converted to USD at the 2024 average KRW rate, FX!C9; value above is in KRW m.]</t>
        </r>
      </text>
    </comment>
    <comment ref="T267" authorId="0">
      <text>
        <r>
          <rPr>
            <sz val="10"/>
            <rFont val="Arial"/>
            <family val="2"/>
          </rPr>
          <t xml:space="preserve">Hand spread: ST Pharm </t>
        </r>
        <r>
          <rPr>
            <sz val="10"/>
            <rFont val="WenQuanYi Zen Hei"/>
            <family val="2"/>
          </rPr>
          <t xml:space="preserve">연결감사보고서 </t>
        </r>
        <r>
          <rPr>
            <sz val="10"/>
            <rFont val="Arial"/>
            <family val="2"/>
          </rPr>
          <t xml:space="preserve">FY2024 (attachment to DART </t>
        </r>
        <r>
          <rPr>
            <sz val="10"/>
            <rFont val="WenQuanYi Zen Hei"/>
            <family val="2"/>
          </rPr>
          <t xml:space="preserve">사업보고서 </t>
        </r>
        <r>
          <rPr>
            <sz val="10"/>
            <rFont val="Arial"/>
            <family val="2"/>
          </rPr>
          <t xml:space="preserve">2024.12) [calc] – EBITDA FY23 = </t>
        </r>
        <r>
          <rPr>
            <sz val="10"/>
            <rFont val="WenQuanYi Zen Hei"/>
            <family val="2"/>
          </rPr>
          <t xml:space="preserve">영업이익 </t>
        </r>
        <r>
          <rPr>
            <sz val="10"/>
            <rFont val="Arial"/>
            <family val="2"/>
          </rPr>
          <t xml:space="preserve">33,511.7 (p.10) + </t>
        </r>
        <r>
          <rPr>
            <sz val="10"/>
            <rFont val="WenQuanYi Zen Hei"/>
            <family val="2"/>
          </rPr>
          <t xml:space="preserve">감가상각비 </t>
        </r>
        <r>
          <rPr>
            <sz val="10"/>
            <rFont val="Arial"/>
            <family val="2"/>
          </rPr>
          <t xml:space="preserve">20,642.9 (p.52) + </t>
        </r>
        <r>
          <rPr>
            <sz val="10"/>
            <rFont val="WenQuanYi Zen Hei"/>
            <family val="2"/>
          </rPr>
          <t xml:space="preserve">무형자산상각비 </t>
        </r>
        <r>
          <rPr>
            <sz val="10"/>
            <rFont val="Arial"/>
            <family val="2"/>
          </rPr>
          <t xml:space="preserve">701.6 (p.55) + </t>
        </r>
        <r>
          <rPr>
            <sz val="10"/>
            <rFont val="WenQuanYi Zen Hei"/>
            <family val="2"/>
          </rPr>
          <t xml:space="preserve">사용권자산상각비 </t>
        </r>
        <r>
          <rPr>
            <sz val="10"/>
            <rFont val="Arial"/>
            <family val="2"/>
          </rPr>
          <t xml:space="preserve">1,682.3 (p.56) = KRW 56,538.4m
[Converted to USD at the 2023 average KRW rate, FX!B9; value above is in KRW m.]</t>
        </r>
      </text>
    </comment>
    <comment ref="T285" authorId="0">
      <text>
        <r>
          <rPr>
            <sz val="10"/>
            <rFont val="Arial"/>
            <family val="2"/>
          </rPr>
          <t xml:space="preserve">Hand spread: ST Pharm </t>
        </r>
        <r>
          <rPr>
            <sz val="10"/>
            <rFont val="WenQuanYi Zen Hei"/>
            <family val="2"/>
          </rPr>
          <t xml:space="preserve">연결감사보고서 </t>
        </r>
        <r>
          <rPr>
            <sz val="10"/>
            <rFont val="Arial"/>
            <family val="2"/>
          </rPr>
          <t xml:space="preserve">FY2025 (attachment to DART </t>
        </r>
        <r>
          <rPr>
            <sz val="10"/>
            <rFont val="WenQuanYi Zen Hei"/>
            <family val="2"/>
          </rPr>
          <t xml:space="preserve">사업보고서 </t>
        </r>
        <r>
          <rPr>
            <sz val="10"/>
            <rFont val="Arial"/>
            <family val="2"/>
          </rPr>
          <t xml:space="preserve">2025.12) p.10 – </t>
        </r>
        <r>
          <rPr>
            <sz val="10"/>
            <rFont val="WenQuanYi Zen Hei"/>
            <family val="2"/>
          </rPr>
          <t xml:space="preserve">지배기업 소유주지분 당기순이익 </t>
        </r>
        <r>
          <rPr>
            <sz val="10"/>
            <rFont val="Arial"/>
            <family val="2"/>
          </rPr>
          <t xml:space="preserve">FY25: KRW 54,991,748,144
[Converted to USD at the 2025 average KRW rate, FX!D9; value above is in KRW m.]</t>
        </r>
      </text>
    </comment>
    <comment ref="T286" authorId="0">
      <text>
        <r>
          <rPr>
            <sz val="10"/>
            <rFont val="Arial"/>
            <family val="2"/>
          </rPr>
          <t xml:space="preserve">Hand spread: ST Pharm </t>
        </r>
        <r>
          <rPr>
            <sz val="10"/>
            <rFont val="WenQuanYi Zen Hei"/>
            <family val="2"/>
          </rPr>
          <t xml:space="preserve">연결감사보고서 </t>
        </r>
        <r>
          <rPr>
            <sz val="10"/>
            <rFont val="Arial"/>
            <family val="2"/>
          </rPr>
          <t xml:space="preserve">FY2025 (attachment to DART </t>
        </r>
        <r>
          <rPr>
            <sz val="10"/>
            <rFont val="WenQuanYi Zen Hei"/>
            <family val="2"/>
          </rPr>
          <t xml:space="preserve">사업보고서 </t>
        </r>
        <r>
          <rPr>
            <sz val="10"/>
            <rFont val="Arial"/>
            <family val="2"/>
          </rPr>
          <t xml:space="preserve">2025.12) p.10 – </t>
        </r>
        <r>
          <rPr>
            <sz val="10"/>
            <rFont val="WenQuanYi Zen Hei"/>
            <family val="2"/>
          </rPr>
          <t xml:space="preserve">지배기업 소유주지분 </t>
        </r>
        <r>
          <rPr>
            <sz val="10"/>
            <rFont val="Arial"/>
            <family val="2"/>
          </rPr>
          <t xml:space="preserve">FY24: KRW 34,711,730,618
[Converted to USD at the 2024 average KRW rate, FX!C9; value above is in KRW m.]</t>
        </r>
      </text>
    </comment>
    <comment ref="T287" authorId="0">
      <text>
        <r>
          <rPr>
            <sz val="10"/>
            <rFont val="Arial"/>
            <family val="2"/>
          </rPr>
          <t xml:space="preserve">Hand spread: ST Pharm </t>
        </r>
        <r>
          <rPr>
            <sz val="10"/>
            <rFont val="WenQuanYi Zen Hei"/>
            <family val="2"/>
          </rPr>
          <t xml:space="preserve">연결감사보고서 </t>
        </r>
        <r>
          <rPr>
            <sz val="10"/>
            <rFont val="Arial"/>
            <family val="2"/>
          </rPr>
          <t xml:space="preserve">FY2024 (attachment to DART </t>
        </r>
        <r>
          <rPr>
            <sz val="10"/>
            <rFont val="WenQuanYi Zen Hei"/>
            <family val="2"/>
          </rPr>
          <t xml:space="preserve">사업보고서 </t>
        </r>
        <r>
          <rPr>
            <sz val="10"/>
            <rFont val="Arial"/>
            <family val="2"/>
          </rPr>
          <t xml:space="preserve">2024.12) p.10 – </t>
        </r>
        <r>
          <rPr>
            <sz val="10"/>
            <rFont val="WenQuanYi Zen Hei"/>
            <family val="2"/>
          </rPr>
          <t xml:space="preserve">지배기업 소유주지분 </t>
        </r>
        <r>
          <rPr>
            <sz val="10"/>
            <rFont val="Arial"/>
            <family val="2"/>
          </rPr>
          <t xml:space="preserve">FY23: KRW 19,581,189,748
[Converted to USD at the 2023 average KRW rate, FX!B9; value above is in KRW m.]</t>
        </r>
      </text>
    </comment>
    <comment ref="T295" authorId="0">
      <text>
        <r>
          <rPr>
            <sz val="10"/>
            <rFont val="Arial"/>
            <family val="2"/>
          </rPr>
          <t xml:space="preserve">Hand spread: ST Pharm </t>
        </r>
        <r>
          <rPr>
            <sz val="10"/>
            <rFont val="WenQuanYi Zen Hei"/>
            <family val="2"/>
          </rPr>
          <t xml:space="preserve">연결감사보고서 </t>
        </r>
        <r>
          <rPr>
            <sz val="10"/>
            <rFont val="Arial"/>
            <family val="2"/>
          </rPr>
          <t xml:space="preserve">FY2025 (attachment to DART </t>
        </r>
        <r>
          <rPr>
            <sz val="10"/>
            <rFont val="WenQuanYi Zen Hei"/>
            <family val="2"/>
          </rPr>
          <t xml:space="preserve">사업보고서 </t>
        </r>
        <r>
          <rPr>
            <sz val="10"/>
            <rFont val="Arial"/>
            <family val="2"/>
          </rPr>
          <t xml:space="preserve">2025.12) p.10 – </t>
        </r>
        <r>
          <rPr>
            <sz val="10"/>
            <rFont val="WenQuanYi Zen Hei"/>
            <family val="2"/>
          </rPr>
          <t xml:space="preserve">희석주당이익 </t>
        </r>
        <r>
          <rPr>
            <sz val="10"/>
            <rFont val="Arial"/>
            <family val="2"/>
          </rPr>
          <t xml:space="preserve">FY25: KRW 2,688
[Converted to USD at the 2025 average KRW rate, FX!D9; value above is in KRW m.]</t>
        </r>
      </text>
    </comment>
    <comment ref="T296" authorId="0">
      <text>
        <r>
          <rPr>
            <sz val="10"/>
            <rFont val="Arial"/>
            <family val="2"/>
          </rPr>
          <t xml:space="preserve">Hand spread: ST Pharm </t>
        </r>
        <r>
          <rPr>
            <sz val="10"/>
            <rFont val="WenQuanYi Zen Hei"/>
            <family val="2"/>
          </rPr>
          <t xml:space="preserve">연결감사보고서 </t>
        </r>
        <r>
          <rPr>
            <sz val="10"/>
            <rFont val="Arial"/>
            <family val="2"/>
          </rPr>
          <t xml:space="preserve">FY2025 (attachment to DART </t>
        </r>
        <r>
          <rPr>
            <sz val="10"/>
            <rFont val="WenQuanYi Zen Hei"/>
            <family val="2"/>
          </rPr>
          <t xml:space="preserve">사업보고서 </t>
        </r>
        <r>
          <rPr>
            <sz val="10"/>
            <rFont val="Arial"/>
            <family val="2"/>
          </rPr>
          <t xml:space="preserve">2025.12) p.10 – </t>
        </r>
        <r>
          <rPr>
            <sz val="10"/>
            <rFont val="WenQuanYi Zen Hei"/>
            <family val="2"/>
          </rPr>
          <t xml:space="preserve">희석주당이익 </t>
        </r>
        <r>
          <rPr>
            <sz val="10"/>
            <rFont val="Arial"/>
            <family val="2"/>
          </rPr>
          <t xml:space="preserve">FY24: KRW 1,780
[Converted to USD at the 2024 average KRW rate, FX!C9; value above is in KRW m.]</t>
        </r>
      </text>
    </comment>
    <comment ref="T297" authorId="0">
      <text>
        <r>
          <rPr>
            <sz val="10"/>
            <rFont val="Arial"/>
            <family val="2"/>
          </rPr>
          <t xml:space="preserve">Hand spread: ST Pharm </t>
        </r>
        <r>
          <rPr>
            <sz val="10"/>
            <rFont val="WenQuanYi Zen Hei"/>
            <family val="2"/>
          </rPr>
          <t xml:space="preserve">연결감사보고서 </t>
        </r>
        <r>
          <rPr>
            <sz val="10"/>
            <rFont val="Arial"/>
            <family val="2"/>
          </rPr>
          <t xml:space="preserve">FY2024 (attachment to DART </t>
        </r>
        <r>
          <rPr>
            <sz val="10"/>
            <rFont val="WenQuanYi Zen Hei"/>
            <family val="2"/>
          </rPr>
          <t xml:space="preserve">사업보고서 </t>
        </r>
        <r>
          <rPr>
            <sz val="10"/>
            <rFont val="Arial"/>
            <family val="2"/>
          </rPr>
          <t xml:space="preserve">2024.12) p.10 – </t>
        </r>
        <r>
          <rPr>
            <sz val="10"/>
            <rFont val="WenQuanYi Zen Hei"/>
            <family val="2"/>
          </rPr>
          <t xml:space="preserve">희석주당이익 </t>
        </r>
        <r>
          <rPr>
            <sz val="10"/>
            <rFont val="Arial"/>
            <family val="2"/>
          </rPr>
          <t xml:space="preserve">FY23: KRW 1,041
[Converted to USD at the 2023 average KRW rate, FX!B9; value above is in KRW m.]</t>
        </r>
      </text>
    </comment>
    <comment ref="T309" authorId="0">
      <text>
        <r>
          <rPr>
            <sz val="10"/>
            <rFont val="Arial"/>
            <family val="2"/>
          </rPr>
          <t xml:space="preserve">Hand spread: reporting currency of the financial statements = KRW.</t>
        </r>
      </text>
    </comment>
    <comment ref="T313" authorId="0">
      <text>
        <r>
          <rPr>
            <sz val="10"/>
            <rFont val="Arial"/>
            <family val="2"/>
          </rPr>
          <t xml:space="preserve">Hand spread: ECB spot USD per KRW at this column's pricing date (row 2) – FX tab.</t>
        </r>
      </text>
    </comment>
    <comment ref="T315" authorId="0">
      <text>
        <r>
          <rPr>
            <sz val="10"/>
            <rFont val="Arial"/>
            <family val="2"/>
          </rPr>
          <t xml:space="preserve">Hand spread: balance sheet date of the latest filing (ST Pharm </t>
        </r>
        <r>
          <rPr>
            <sz val="10"/>
            <rFont val="WenQuanYi Zen Hei"/>
            <family val="2"/>
          </rPr>
          <t xml:space="preserve">반기연결검토보고서 </t>
        </r>
        <r>
          <rPr>
            <sz val="10"/>
            <rFont val="Arial"/>
            <family val="2"/>
          </rPr>
          <t xml:space="preserve">(reviewed consolidated interim FS, 30-Jun-26; attachment to DART </t>
        </r>
        <r>
          <rPr>
            <sz val="10"/>
            <rFont val="WenQuanYi Zen Hei"/>
            <family val="2"/>
          </rPr>
          <t xml:space="preserve">반기보고서 </t>
        </r>
        <r>
          <rPr>
            <sz val="10"/>
            <rFont val="Arial"/>
            <family val="2"/>
          </rPr>
          <t xml:space="preserve">2026.06)).</t>
        </r>
      </text>
    </comment>
    <comment ref="T316" authorId="0">
      <text>
        <r>
          <rPr>
            <sz val="10"/>
            <rFont val="Arial"/>
            <family val="2"/>
          </rPr>
          <t xml:space="preserve">Hand spread: ECB spot USD per KRW at the 30-Jun-26 balance sheet date – FX tab.</t>
        </r>
      </text>
    </comment>
    <comment ref="T327" authorId="0">
      <text>
        <r>
          <rPr>
            <sz val="10"/>
            <rFont val="Arial"/>
            <family val="2"/>
          </rPr>
          <t xml:space="preserve">Hand spread: LTM ROU depreciation [calc] = ST Pharm </t>
        </r>
        <r>
          <rPr>
            <sz val="10"/>
            <rFont val="WenQuanYi Zen Hei"/>
            <family val="2"/>
          </rPr>
          <t xml:space="preserve">연결감사보고서 </t>
        </r>
        <r>
          <rPr>
            <sz val="10"/>
            <rFont val="Arial"/>
            <family val="2"/>
          </rPr>
          <t xml:space="preserve">FY2025 (attachment to DART </t>
        </r>
        <r>
          <rPr>
            <sz val="10"/>
            <rFont val="WenQuanYi Zen Hei"/>
            <family val="2"/>
          </rPr>
          <t xml:space="preserve">사업보고서 </t>
        </r>
        <r>
          <rPr>
            <sz val="10"/>
            <rFont val="Arial"/>
            <family val="2"/>
          </rPr>
          <t xml:space="preserve">2025.12) p.53 (Note 16) FY25 1,705,612k + ST Pharm </t>
        </r>
        <r>
          <rPr>
            <sz val="10"/>
            <rFont val="WenQuanYi Zen Hei"/>
            <family val="2"/>
          </rPr>
          <t xml:space="preserve">반기연결검토보고서 </t>
        </r>
        <r>
          <rPr>
            <sz val="10"/>
            <rFont val="Arial"/>
            <family val="2"/>
          </rPr>
          <t xml:space="preserve">(reviewed consolidated interim FS, 30-Jun-26; attachment to DART </t>
        </r>
        <r>
          <rPr>
            <sz val="10"/>
            <rFont val="WenQuanYi Zen Hei"/>
            <family val="2"/>
          </rPr>
          <t xml:space="preserve">반기보고서 </t>
        </r>
        <r>
          <rPr>
            <sz val="10"/>
            <rFont val="Arial"/>
            <family val="2"/>
          </rPr>
          <t xml:space="preserve">2026.06), DART p.28 (Note 13) H1-26 810,927k – H1-25 799,376k = KRW 1,717.2m</t>
        </r>
      </text>
    </comment>
    <comment ref="T328" authorId="0">
      <text>
        <r>
          <rPr>
            <sz val="10"/>
            <rFont val="Arial"/>
            <family val="2"/>
          </rPr>
          <t xml:space="preserve">Hand spread: ST Pharm </t>
        </r>
        <r>
          <rPr>
            <sz val="10"/>
            <rFont val="WenQuanYi Zen Hei"/>
            <family val="2"/>
          </rPr>
          <t xml:space="preserve">연결감사보고서 </t>
        </r>
        <r>
          <rPr>
            <sz val="10"/>
            <rFont val="Arial"/>
            <family val="2"/>
          </rPr>
          <t xml:space="preserve">FY2025 (attachment to DART </t>
        </r>
        <r>
          <rPr>
            <sz val="10"/>
            <rFont val="WenQuanYi Zen Hei"/>
            <family val="2"/>
          </rPr>
          <t xml:space="preserve">사업보고서 </t>
        </r>
        <r>
          <rPr>
            <sz val="10"/>
            <rFont val="Arial"/>
            <family val="2"/>
          </rPr>
          <t xml:space="preserve">2025.12) p.54 (Note 17) – interest on lease liabilities FY25: KRW 123,852k (H1 split not disclosed – FY25 used as LTM proxy)</t>
        </r>
      </text>
    </comment>
    <comment ref="T339" authorId="0">
      <text>
        <r>
          <rPr>
            <sz val="10"/>
            <rFont val="Arial"/>
            <family val="2"/>
          </rPr>
          <t xml:space="preserve">Hand spread: ST Pharm </t>
        </r>
        <r>
          <rPr>
            <sz val="10"/>
            <rFont val="WenQuanYi Zen Hei"/>
            <family val="2"/>
          </rPr>
          <t xml:space="preserve">연결감사보고서 </t>
        </r>
        <r>
          <rPr>
            <sz val="10"/>
            <rFont val="Arial"/>
            <family val="2"/>
          </rPr>
          <t xml:space="preserve">FY2025 (attachment to DART </t>
        </r>
        <r>
          <rPr>
            <sz val="10"/>
            <rFont val="WenQuanYi Zen Hei"/>
            <family val="2"/>
          </rPr>
          <t xml:space="preserve">사업보고서 </t>
        </r>
        <r>
          <rPr>
            <sz val="10"/>
            <rFont val="Arial"/>
            <family val="2"/>
          </rPr>
          <t xml:space="preserve">2025.12) p.12 [calc] – </t>
        </r>
        <r>
          <rPr>
            <sz val="10"/>
            <rFont val="WenQuanYi Zen Hei"/>
            <family val="2"/>
          </rPr>
          <t xml:space="preserve">유형자산의 취득 </t>
        </r>
        <r>
          <rPr>
            <sz val="10"/>
            <rFont val="Arial"/>
            <family val="2"/>
          </rPr>
          <t xml:space="preserve">47,071,524,296 + </t>
        </r>
        <r>
          <rPr>
            <sz val="10"/>
            <rFont val="WenQuanYi Zen Hei"/>
            <family val="2"/>
          </rPr>
          <t xml:space="preserve">무형자산의 취득 </t>
        </r>
        <r>
          <rPr>
            <sz val="10"/>
            <rFont val="Arial"/>
            <family val="2"/>
          </rPr>
          <t xml:space="preserve">213,635,784 = KRW 47,285.2m
[Converted to USD at the 2025 average KRW rate, FX!D9; value above is in KRW m.]</t>
        </r>
      </text>
    </comment>
    <comment ref="T340" authorId="0">
      <text>
        <r>
          <rPr>
            <sz val="10"/>
            <rFont val="Arial"/>
            <family val="2"/>
          </rPr>
          <t xml:space="preserve">Hand spread: ST Pharm </t>
        </r>
        <r>
          <rPr>
            <sz val="10"/>
            <rFont val="WenQuanYi Zen Hei"/>
            <family val="2"/>
          </rPr>
          <t xml:space="preserve">연결감사보고서 </t>
        </r>
        <r>
          <rPr>
            <sz val="10"/>
            <rFont val="Arial"/>
            <family val="2"/>
          </rPr>
          <t xml:space="preserve">FY2025 (attachment to DART </t>
        </r>
        <r>
          <rPr>
            <sz val="10"/>
            <rFont val="WenQuanYi Zen Hei"/>
            <family val="2"/>
          </rPr>
          <t xml:space="preserve">사업보고서 </t>
        </r>
        <r>
          <rPr>
            <sz val="10"/>
            <rFont val="Arial"/>
            <family val="2"/>
          </rPr>
          <t xml:space="preserve">2025.12) p.12 [calc] – </t>
        </r>
        <r>
          <rPr>
            <sz val="10"/>
            <rFont val="WenQuanYi Zen Hei"/>
            <family val="2"/>
          </rPr>
          <t xml:space="preserve">유형자산의 취득 </t>
        </r>
        <r>
          <rPr>
            <sz val="10"/>
            <rFont val="Arial"/>
            <family val="2"/>
          </rPr>
          <t xml:space="preserve">82,805,749,366 + </t>
        </r>
        <r>
          <rPr>
            <sz val="10"/>
            <rFont val="WenQuanYi Zen Hei"/>
            <family val="2"/>
          </rPr>
          <t xml:space="preserve">무형자산의 취득 </t>
        </r>
        <r>
          <rPr>
            <sz val="10"/>
            <rFont val="Arial"/>
            <family val="2"/>
          </rPr>
          <t xml:space="preserve">418,633,503 = KRW 83,224.4m
[Converted to USD at the 2024 average KRW rate, FX!C9; value above is in KRW m.]</t>
        </r>
      </text>
    </comment>
    <comment ref="T341" authorId="0">
      <text>
        <r>
          <rPr>
            <sz val="10"/>
            <rFont val="Arial"/>
            <family val="2"/>
          </rPr>
          <t xml:space="preserve">Hand spread: ST Pharm </t>
        </r>
        <r>
          <rPr>
            <sz val="10"/>
            <rFont val="WenQuanYi Zen Hei"/>
            <family val="2"/>
          </rPr>
          <t xml:space="preserve">연결감사보고서 </t>
        </r>
        <r>
          <rPr>
            <sz val="10"/>
            <rFont val="Arial"/>
            <family val="2"/>
          </rPr>
          <t xml:space="preserve">FY2024 (attachment to DART </t>
        </r>
        <r>
          <rPr>
            <sz val="10"/>
            <rFont val="WenQuanYi Zen Hei"/>
            <family val="2"/>
          </rPr>
          <t xml:space="preserve">사업보고서 </t>
        </r>
        <r>
          <rPr>
            <sz val="10"/>
            <rFont val="Arial"/>
            <family val="2"/>
          </rPr>
          <t xml:space="preserve">2024.12) p.12 [calc] – </t>
        </r>
        <r>
          <rPr>
            <sz val="10"/>
            <rFont val="WenQuanYi Zen Hei"/>
            <family val="2"/>
          </rPr>
          <t xml:space="preserve">유형자산의 취득 </t>
        </r>
        <r>
          <rPr>
            <sz val="10"/>
            <rFont val="Arial"/>
            <family val="2"/>
          </rPr>
          <t xml:space="preserve">43,244,230,235 + </t>
        </r>
        <r>
          <rPr>
            <sz val="10"/>
            <rFont val="WenQuanYi Zen Hei"/>
            <family val="2"/>
          </rPr>
          <t xml:space="preserve">무형자산의 취득 </t>
        </r>
        <r>
          <rPr>
            <sz val="10"/>
            <rFont val="Arial"/>
            <family val="2"/>
          </rPr>
          <t xml:space="preserve">198,702,962 = KRW 43,442.9m
[Converted to USD at the 2023 average KRW rate, FX!B9; value above is in KRW m.]</t>
        </r>
      </text>
    </comment>
    <comment ref="U13" authorId="0">
      <text>
        <r>
          <rPr>
            <sz val="10"/>
            <rFont val="Arial"/>
            <family val="2"/>
          </rPr>
          <t xml:space="preserve">Latest filing used for the balance sheet / share data. See cell notes for every figure and the "Spread Notes" tab.</t>
        </r>
      </text>
    </comment>
    <comment ref="U43" authorId="0">
      <text>
        <r>
          <rPr>
            <sz val="10"/>
            <rFont val="Arial"/>
            <family val="2"/>
          </rPr>
          <t xml:space="preserve">Hand spread: ROVI Informe Financiero Semestral H1-2026 (CNMV filing; condensed consolidated interim FS at 30-Jun-26, IFRS, Spanish), p.1 (PDF p.5) – Balance – Efectivo y equivalentes al efectivo: EUR 126,969k</t>
        </r>
      </text>
    </comment>
    <comment ref="U44" authorId="0">
      <text>
        <r>
          <rPr>
            <sz val="10"/>
            <rFont val="Arial"/>
            <family val="2"/>
          </rPr>
          <t xml:space="preserve">Hand spread: ROVI Informe Financiero Semestral H1-2026 (CNMV filing; condensed consolidated interim FS at 30-Jun-26, IFRS, Spanish), p.1 – Activos financieros a coste amortizado (current): EUR 1,103k</t>
        </r>
      </text>
    </comment>
    <comment ref="U46" authorId="0">
      <text>
        <r>
          <rPr>
            <sz val="10"/>
            <rFont val="Arial"/>
            <family val="2"/>
          </rPr>
          <t xml:space="preserve">Hand spread: ROVI Informe Financiero Semestral H1-2026 (CNMV filing; condensed consolidated interim FS at 30-Jun-26, IFRS, Spanish), p.1 – Inversión en negocio conjunto y asociadas: EUR 19,252k</t>
        </r>
      </text>
    </comment>
    <comment ref="U55" authorId="0">
      <text>
        <r>
          <rPr>
            <sz val="10"/>
            <rFont val="Arial"/>
            <family val="2"/>
          </rPr>
          <t xml:space="preserve">Hand spread: ROVI Informe Financiero Semestral H1-2026 (CNMV filing; condensed consolidated interim FS at 30-Jun-26, IFRS, Spanish), p.2 – Deuda financiera corriente: EUR 27,146k (INCLUDES IFRS 16 lease liabilities – Note 17, p.28: total lease liabilities 12,738k)</t>
        </r>
      </text>
    </comment>
    <comment ref="U56" authorId="0">
      <text>
        <r>
          <rPr>
            <sz val="10"/>
            <rFont val="Arial"/>
            <family val="2"/>
          </rPr>
          <t xml:space="preserve">Hand spread: ROVI Informe Financiero Semestral H1-2026 (CNMV filing; condensed consolidated interim FS at 30-Jun-26, IFRS, Spanish), p.2 – Deuda financiera no corriente: EUR 80,544k (incl. leases). Note 17 p.28: bank loans 84,893 + official bodies 10,059 + leases 12,738 = 107,690 total</t>
        </r>
      </text>
    </comment>
    <comment ref="U58" authorId="0">
      <text>
        <r>
          <rPr>
            <sz val="10"/>
            <rFont val="Arial"/>
            <family val="2"/>
          </rPr>
          <t xml:space="preserve">Hand spread: ROVI Informe Financiero Semestral H1-2026 (CNMV filing; condensed consolidated interim FS at 30-Jun-26, IFRS, Spanish), p.28 – lease liabilities (12,738k) already within financial debt rows 55/56 (current/non-current split of leases not disclosed); removed via rows 62/63.</t>
        </r>
      </text>
    </comment>
    <comment ref="U62" authorId="0">
      <text>
        <r>
          <rPr>
            <sz val="10"/>
            <rFont val="Arial"/>
            <family val="2"/>
          </rPr>
          <t xml:space="preserve">Hand spread: ROVI Informe Financiero Semestral H1-2026 (CNMV filing; condensed consolidated interim FS at 30-Jun-26, IFRS, Spanish), p.28 (Note 17) – Pasivos financieros por arrendamiento at 30-Jun-26: EUR 12,738k – removed in row 63 for pre-IFRS 16 basis.</t>
        </r>
      </text>
    </comment>
    <comment ref="U70" authorId="0">
      <text>
        <r>
          <rPr>
            <sz val="10"/>
            <rFont val="Arial"/>
            <family val="2"/>
          </rPr>
          <t xml:space="preserve">Hand spread: ROVI Consolidated Annual Accounts FY2025 (IFRS, English translation, incl. Consolidated Management Report) – no material defined benefit obligations reported.</t>
        </r>
      </text>
    </comment>
    <comment ref="U71" authorId="0">
      <text>
        <r>
          <rPr>
            <sz val="10"/>
            <rFont val="Arial"/>
            <family val="2"/>
          </rPr>
          <t xml:space="preserve">Statutory tax rate 25.00% for SPAIN, from the "Tax Rates" tab of the external LGC – WACC and Trading Comps_v2.xlsx (external link removed; cached value kept). Used only to tax-effect the pension deficit (row 72).</t>
        </r>
      </text>
    </comment>
    <comment ref="U74" authorId="0">
      <text>
        <r>
          <rPr>
            <sz val="10"/>
            <rFont val="Arial"/>
            <family val="2"/>
          </rPr>
          <t xml:space="preserve">Hand spread: ROVI Informe Financiero Semestral H1-2026 (CNMV filing; condensed consolidated interim FS at 30-Jun-26, IFRS, Spanish), p.2 – Participaciones no dominantes: EUR 16,434k</t>
        </r>
      </text>
    </comment>
    <comment ref="U77" authorId="0">
      <text>
        <r>
          <rPr>
            <sz val="10"/>
            <rFont val="Arial"/>
            <family val="2"/>
          </rPr>
          <t xml:space="preserve">Hand spread: ROVI Informe Financiero Semestral H1-2026 (CNMV filing; condensed consolidated interim FS at 30-Jun-26, IFRS, Spanish) – no preferred shares.</t>
        </r>
      </text>
    </comment>
    <comment ref="U81" authorId="0">
      <text>
        <r>
          <rPr>
            <sz val="10"/>
            <rFont val="Arial"/>
            <family val="2"/>
          </rPr>
          <t xml:space="preserve">Hand spread: ROVI Informe Financiero Semestral H1-2026 (CNMV filing; condensed consolidated interim FS at 30-Jun-26, IFRS, Spanish), p.2 – Patrimonio neto atribuido a la Sociedad dominante: EUR 700,619k</t>
        </r>
      </text>
    </comment>
    <comment ref="U137" authorId="0">
      <text>
        <r>
          <rPr>
            <sz val="10"/>
            <rFont val="Arial"/>
            <family val="2"/>
          </rPr>
          <t xml:space="preserve">Hand spread: ROVI Informe Financiero Semestral H1-2026 (CNMV filing; condensed consolidated interim FS at 30-Jun-26, IFRS, Spanish), p.26 (Note 15) [calc] – 51,235,762 shares issued less 92,764 treasury shares at 30-Jun-26 = 51,142,998</t>
        </r>
      </text>
    </comment>
    <comment ref="U152" authorId="0">
      <text>
        <r>
          <rPr>
            <sz val="10"/>
            <rFont val="Arial"/>
            <family val="2"/>
          </rPr>
          <t xml:space="preserve">Hand spread: ROVI Consolidated Annual Accounts FY2025 (IFRS, English translation, incl. Consolidated Management Report) – no share option plans disclosed.</t>
        </r>
      </text>
    </comment>
    <comment ref="U189" authorId="0">
      <text>
        <r>
          <rPr>
            <sz val="10"/>
            <rFont val="Arial"/>
            <family val="2"/>
          </rPr>
          <t xml:space="preserve">Hand spread: ROVI Informe Financiero Semestral H1-2026 (CNMV filing; condensed consolidated interim FS at 30-Jun-26, IFRS, Spanish) – fiscal year ends 31 December.</t>
        </r>
      </text>
    </comment>
    <comment ref="U192" authorId="0">
      <text>
        <r>
          <rPr>
            <sz val="10"/>
            <rFont val="Arial"/>
            <family val="2"/>
          </rPr>
          <t xml:space="preserve">Kim, Justin G.:
Most companies will end their fiscal year in December; however companies like Takeda report Fiscal Year end on a different quarter - this requires you to recalendarize the line items so they are apples-to-apples with other companies ending their FY in December 31</t>
        </r>
      </text>
    </comment>
    <comment ref="U205" authorId="0">
      <text>
        <r>
          <rPr>
            <sz val="10"/>
            <rFont val="Arial"/>
            <family val="2"/>
          </rPr>
          <t xml:space="preserve">Hand spread: ROVI Consolidated Annual Accounts FY2025 (IFRS, English translation, incl. Consolidated Management Report), p.3 – Consolidated income statement – Revenue FY25: EUR 743,483k
[Converted to USD at the 2025 average EUR rate, FX!D7; value above is in EUR m.]</t>
        </r>
      </text>
    </comment>
    <comment ref="U206" authorId="0">
      <text>
        <r>
          <rPr>
            <sz val="10"/>
            <rFont val="Arial"/>
            <family val="2"/>
          </rPr>
          <t xml:space="preserve">Hand spread: ROVI Consolidated Annual Accounts FY2025 (IFRS, English translation, incl. Consolidated Management Report), p.3 – Revenue FY24: EUR 763,749k
[Converted to USD at the 2024 average EUR rate, FX!C7; value above is in EUR m.]</t>
        </r>
      </text>
    </comment>
    <comment ref="U207" authorId="0">
      <text>
        <r>
          <rPr>
            <sz val="10"/>
            <rFont val="Arial"/>
            <family val="2"/>
          </rPr>
          <t xml:space="preserve">Hand spread: ROVI Consolidated Annual Accounts FY2024 (IFRS, English translation), p.3 – Revenue FY23: EUR 829,509k
[Converted to USD at the 2023 average EUR rate, FX!B7; value above is in EUR m.]</t>
        </r>
      </text>
    </comment>
    <comment ref="U215" authorId="0">
      <text>
        <r>
          <rPr>
            <sz val="10"/>
            <rFont val="Arial"/>
            <family val="2"/>
          </rPr>
          <t xml:space="preserve">Hand spread: ROVI Consolidated Annual Accounts FY2025 (IFRS, English translation, incl. Consolidated Management Report), p.3 [calc] – Gross profit FY25 (ROVI definition, Mgmt Report p.2) = revenue 743,483 + grants/other 12,641 – change in inventories 36,162 – raw materials 225,295 = EUR 494,667k
[Converted to USD at the 2025 average EUR rate, FX!D7; value above is in EUR m.]</t>
        </r>
      </text>
    </comment>
    <comment ref="U216" authorId="0">
      <text>
        <r>
          <rPr>
            <sz val="10"/>
            <rFont val="Arial"/>
            <family val="2"/>
          </rPr>
          <t xml:space="preserve">Hand spread: ROVI Consolidated Annual Accounts FY2025 (IFRS, English translation, incl. Consolidated Management Report), p.3 [calc] – Gross profit FY24 = 763,749 + 840 + 57,851 – 343,902 = EUR 478,538k
[Converted to USD at the 2024 average EUR rate, FX!C7; value above is in EUR m.]</t>
        </r>
      </text>
    </comment>
    <comment ref="U217" authorId="0">
      <text>
        <r>
          <rPr>
            <sz val="10"/>
            <rFont val="Arial"/>
            <family val="2"/>
          </rPr>
          <t xml:space="preserve">Hand spread: ROVI Consolidated Annual Accounts FY2024 (IFRS, English translation), p.3 [calc] – Gross profit FY23 = 829,509 + 781 + 18,552 – 359,641 = EUR 489,201k
[Converted to USD at the 2023 average EUR rate, FX!B7; value above is in EUR m.]</t>
        </r>
      </text>
    </comment>
    <comment ref="U225" authorId="0">
      <text>
        <r>
          <rPr>
            <sz val="10"/>
            <rFont val="Arial"/>
            <family val="2"/>
          </rPr>
          <t xml:space="preserve">Hand spread: ROVI Consolidated Annual Accounts FY2025 (IFRS, English translation, incl. Consolidated Management Report), Consolidated Management Report p.2 (2.1 Business performance) – R&amp;D expenses FY25: EUR 37.8m (by-nature P&amp;L; only disclosed in EUR m)
[Converted to USD at the 2025 average EUR rate, FX!D7; value above is in EUR m.]</t>
        </r>
      </text>
    </comment>
    <comment ref="U226" authorId="0">
      <text>
        <r>
          <rPr>
            <sz val="10"/>
            <rFont val="Arial"/>
            <family val="2"/>
          </rPr>
          <t xml:space="preserve">Hand spread: ROVI Consolidated Annual Accounts FY2025 (IFRS, English translation, incl. Consolidated Management Report), Management Report p.2 – R&amp;D expenses FY24: EUR 25.8m
[Converted to USD at the 2024 average EUR rate, FX!C7; value above is in EUR m.]</t>
        </r>
      </text>
    </comment>
    <comment ref="U227" authorId="0">
      <text>
        <r>
          <rPr>
            <sz val="10"/>
            <rFont val="Arial"/>
            <family val="2"/>
          </rPr>
          <t xml:space="preserve">Hand spread: ROVI Consolidated Annual Accounts FY2024 (IFRS, English translation), Management Report p.2 – R&amp;D expenses FY23: EUR 24.9m
[Converted to USD at the 2023 average EUR rate, FX!B7; value above is in EUR m.]</t>
        </r>
      </text>
    </comment>
    <comment ref="U235" authorId="0">
      <text>
        <r>
          <rPr>
            <sz val="10"/>
            <rFont val="Arial"/>
            <family val="2"/>
          </rPr>
          <t xml:space="preserve">Hand spread: ROVI Consolidated Annual Accounts FY2025 (IFRS, English translation, incl. Consolidated Management Report), Management Report p.2 – SG&amp;A FY25: EUR 240.7m
[Converted to USD at the 2025 average EUR rate, FX!D7; value above is in EUR m.]</t>
        </r>
      </text>
    </comment>
    <comment ref="U236" authorId="0">
      <text>
        <r>
          <rPr>
            <sz val="10"/>
            <rFont val="Arial"/>
            <family val="2"/>
          </rPr>
          <t xml:space="preserve">Hand spread: ROVI Consolidated Annual Accounts FY2025 (IFRS, English translation, incl. Consolidated Management Report), Management Report p.2 – SG&amp;A FY24: EUR 245.2m
[Converted to USD at the 2024 average EUR rate, FX!C7; value above is in EUR m.]</t>
        </r>
      </text>
    </comment>
    <comment ref="U237" authorId="0">
      <text>
        <r>
          <rPr>
            <sz val="10"/>
            <rFont val="Arial"/>
            <family val="2"/>
          </rPr>
          <t xml:space="preserve">Hand spread: ROVI Consolidated Annual Accounts FY2024 (IFRS, English translation), Management Report p.2 – SG&amp;A FY23: EUR 219.7m
[Converted to USD at the 2023 average EUR rate, FX!B7; value above is in EUR m.]</t>
        </r>
      </text>
    </comment>
    <comment ref="U245" authorId="0">
      <text>
        <r>
          <rPr>
            <sz val="10"/>
            <rFont val="Arial"/>
            <family val="2"/>
          </rPr>
          <t xml:space="preserve">Hand spread: ROVI Consolidated Annual Accounts FY2025 (IFRS, English translation, incl. Consolidated Management Report), p.3 – Operating profit FY25: EUR 185,784k
[Converted to USD at the 2025 average EUR rate, FX!D7; value above is in EUR m.]</t>
        </r>
      </text>
    </comment>
    <comment ref="U246" authorId="0">
      <text>
        <r>
          <rPr>
            <sz val="10"/>
            <rFont val="Arial"/>
            <family val="2"/>
          </rPr>
          <t xml:space="preserve">Hand spread: ROVI Consolidated Annual Accounts FY2025 (IFRS, English translation, incl. Consolidated Management Report), p.3 – Operating profit FY24: EUR 179,545k
[Converted to USD at the 2024 average EUR rate, FX!C7; value above is in EUR m.]</t>
        </r>
      </text>
    </comment>
    <comment ref="U247" authorId="0">
      <text>
        <r>
          <rPr>
            <sz val="10"/>
            <rFont val="Arial"/>
            <family val="2"/>
          </rPr>
          <t xml:space="preserve">Hand spread: ROVI Consolidated Annual Accounts FY2024 (IFRS, English translation), p.3 – Operating profit FY23: EUR 220,254k
[Converted to USD at the 2023 average EUR rate, FX!B7; value above is in EUR m.]</t>
        </r>
      </text>
    </comment>
    <comment ref="U265" authorId="0">
      <text>
        <r>
          <rPr>
            <sz val="10"/>
            <rFont val="Arial"/>
            <family val="2"/>
          </rPr>
          <t xml:space="preserve">Hand spread: ROVI Consolidated Annual Accounts FY2025 (IFRS, English translation, incl. Consolidated Management Report), p.27 (Note 5 segment information) – EBITDA FY25 (consolidated, as reported): EUR 216,218k (= EBIT 185,844 + D&amp;A 30,374)
[Converted to USD at the 2025 average EUR rate, FX!D7; value above is in EUR m.]</t>
        </r>
      </text>
    </comment>
    <comment ref="U266" authorId="0">
      <text>
        <r>
          <rPr>
            <sz val="10"/>
            <rFont val="Arial"/>
            <family val="2"/>
          </rPr>
          <t xml:space="preserve">Hand spread: ROVI Consolidated Annual Accounts FY2025 (IFRS, English translation, incl. Consolidated Management Report), p.27 – EBITDA FY24: EUR 207,419k
[Converted to USD at the 2024 average EUR rate, FX!C7; value above is in EUR m.]</t>
        </r>
      </text>
    </comment>
    <comment ref="U267" authorId="0">
      <text>
        <r>
          <rPr>
            <sz val="10"/>
            <rFont val="Arial"/>
            <family val="2"/>
          </rPr>
          <t xml:space="preserve">Hand spread: ROVI Consolidated Annual Accounts FY2024 (IFRS, English translation), p.27 – EBITDA FY23: EUR 244,460k
[Converted to USD at the 2023 average EUR rate, FX!B7; value above is in EUR m.]</t>
        </r>
      </text>
    </comment>
    <comment ref="U285" authorId="0">
      <text>
        <r>
          <rPr>
            <sz val="10"/>
            <rFont val="Arial"/>
            <family val="2"/>
          </rPr>
          <t xml:space="preserve">Hand spread: ROVI Consolidated Annual Accounts FY2025 (IFRS, English translation, incl. Consolidated Management Report), p.3 – Profit attributable to parent company FY25: EUR 140,442k
[Converted to USD at the 2025 average EUR rate, FX!D7; value above is in EUR m.]</t>
        </r>
      </text>
    </comment>
    <comment ref="U286" authorId="0">
      <text>
        <r>
          <rPr>
            <sz val="10"/>
            <rFont val="Arial"/>
            <family val="2"/>
          </rPr>
          <t xml:space="preserve">Hand spread: ROVI Consolidated Annual Accounts FY2025 (IFRS, English translation, incl. Consolidated Management Report), p.3 – Profit attributable to parent FY24: EUR 136,881k
[Converted to USD at the 2024 average EUR rate, FX!C7; value above is in EUR m.]</t>
        </r>
      </text>
    </comment>
    <comment ref="U287" authorId="0">
      <text>
        <r>
          <rPr>
            <sz val="10"/>
            <rFont val="Arial"/>
            <family val="2"/>
          </rPr>
          <t xml:space="preserve">Hand spread: ROVI Consolidated Annual Accounts FY2024 (IFRS, English translation), p.3 – Profit attributable to parent FY23: EUR 170,335k
[Converted to USD at the 2023 average EUR rate, FX!B7; value above is in EUR m.]</t>
        </r>
      </text>
    </comment>
    <comment ref="U295" authorId="0">
      <text>
        <r>
          <rPr>
            <sz val="10"/>
            <rFont val="Arial"/>
            <family val="2"/>
          </rPr>
          <t xml:space="preserve">Hand spread: ROVI Consolidated Annual Accounts FY2025 (IFRS, English translation, incl. Consolidated Management Report), p.3 – Basic and diluted EPS FY25: EUR 2.75
[Converted to USD at the 2025 average EUR rate, FX!D7; value above is in EUR m.]</t>
        </r>
      </text>
    </comment>
    <comment ref="U296" authorId="0">
      <text>
        <r>
          <rPr>
            <sz val="10"/>
            <rFont val="Arial"/>
            <family val="2"/>
          </rPr>
          <t xml:space="preserve">Hand spread: ROVI Consolidated Annual Accounts FY2024 (IFRS, English translation), p.3 – Basic and diluted EPS FY24: EUR 2.67
[Converted to USD at the 2024 average EUR rate, FX!C7; value above is in EUR m.]</t>
        </r>
      </text>
    </comment>
    <comment ref="U297" authorId="0">
      <text>
        <r>
          <rPr>
            <sz val="10"/>
            <rFont val="Arial"/>
            <family val="2"/>
          </rPr>
          <t xml:space="preserve">Hand spread: ROVI Consolidated Annual Accounts FY2024 (IFRS, English translation), p.3 – Basic and diluted EPS FY23: EUR 3.20
[Converted to USD at the 2023 average EUR rate, FX!B7; value above is in EUR m.]</t>
        </r>
      </text>
    </comment>
    <comment ref="U309" authorId="0">
      <text>
        <r>
          <rPr>
            <sz val="10"/>
            <rFont val="Arial"/>
            <family val="2"/>
          </rPr>
          <t xml:space="preserve">Hand spread: reporting currency of the financial statements = EUR.</t>
        </r>
      </text>
    </comment>
    <comment ref="U313" authorId="0">
      <text>
        <r>
          <rPr>
            <sz val="10"/>
            <rFont val="Arial"/>
            <family val="2"/>
          </rPr>
          <t xml:space="preserve">Hand spread: ECB spot USD per EUR at this column's pricing date (row 2) – FX tab.</t>
        </r>
      </text>
    </comment>
    <comment ref="U315" authorId="0">
      <text>
        <r>
          <rPr>
            <sz val="10"/>
            <rFont val="Arial"/>
            <family val="2"/>
          </rPr>
          <t xml:space="preserve">Hand spread: balance sheet date of the latest filing (ROVI Informe Financiero Semestral H1-2026 (CNMV filing; condensed consolidated interim FS at 30-Jun-26, IFRS, Spanish)).</t>
        </r>
      </text>
    </comment>
    <comment ref="U316" authorId="0">
      <text>
        <r>
          <rPr>
            <sz val="10"/>
            <rFont val="Arial"/>
            <family val="2"/>
          </rPr>
          <t xml:space="preserve">Hand spread: ECB spot USD per EUR at the 30-Jun-26 balance sheet date – FX tab.</t>
        </r>
      </text>
    </comment>
    <comment ref="U327" authorId="0">
      <text>
        <r>
          <rPr>
            <sz val="10"/>
            <rFont val="Arial"/>
            <family val="2"/>
          </rPr>
          <t xml:space="preserve">Hand spread: LTM ROU depreciation [calc] = ROVI Consolidated Annual Accounts FY2025 (IFRS, English translation, incl. Consolidated Management Report) p.29 (Note 6, 'Rights of use' column) FY25 6,362k + ROVI Informe Financiero Semestral H1-2026 (CNMV filing; condensed consolidated interim FS at 30-Jun-26, IFRS, Spanish) p.17 (Note 7, 'Derechos de uso') H1-26 3,191k – H1-25 3,008k = EUR 6,545k</t>
        </r>
      </text>
    </comment>
    <comment ref="U328" authorId="0">
      <text>
        <r>
          <rPr>
            <sz val="10"/>
            <rFont val="Arial"/>
            <family val="2"/>
          </rPr>
          <t xml:space="preserve">Hand spread: Lease interest not separately disclosed in ROVI Consolidated Annual Accounts FY2025 (IFRS, English translation, incl. Consolidated Management Report) (Note 27 p.54) or ROVI Informe Financiero Semestral H1-2026 (CNMV filing; condensed consolidated interim FS at 30-Jun-26, IFRS, Spanish); lease liabilities only EUR 12.7m so interest immaterial (&lt;EUR 0.5m) – left at nil.</t>
        </r>
      </text>
    </comment>
    <comment ref="U339" authorId="0">
      <text>
        <r>
          <rPr>
            <sz val="10"/>
            <rFont val="Arial"/>
            <family val="2"/>
          </rPr>
          <t xml:space="preserve">Hand spread: ROVI Consolidated Annual Accounts FY2025 (IFRS, English translation, incl. Consolidated Management Report), p.6 [calc] – Cash flow: purchases of PP&amp;E 65,210 + intangibles 2,603 = EUR 67,813k
[Converted to USD at the 2025 average EUR rate, FX!D7; value above is in EUR m.]</t>
        </r>
      </text>
    </comment>
    <comment ref="U340" authorId="0">
      <text>
        <r>
          <rPr>
            <sz val="10"/>
            <rFont val="Arial"/>
            <family val="2"/>
          </rPr>
          <t xml:space="preserve">Hand spread: ROVI Consolidated Annual Accounts FY2025 (IFRS, English translation, incl. Consolidated Management Report), p.6 [calc] – purchases of PP&amp;E 59,119 + intangibles 3,100 = EUR 62,219k
[Converted to USD at the 2024 average EUR rate, FX!C7; value above is in EUR m.]</t>
        </r>
      </text>
    </comment>
    <comment ref="U341" authorId="0">
      <text>
        <r>
          <rPr>
            <sz val="10"/>
            <rFont val="Arial"/>
            <family val="2"/>
          </rPr>
          <t xml:space="preserve">Hand spread: ROVI Consolidated Annual Accounts FY2024 (IFRS, English translation), p.6 [calc] – purchases of PP&amp;E 53,794 + intangibles 1,393 = EUR 55,187k
[Converted to USD at the 2023 average EUR rate, FX!B7; value above is in EUR m.]</t>
        </r>
      </text>
    </comment>
    <comment ref="V13" authorId="0">
      <text>
        <r>
          <rPr>
            <sz val="10"/>
            <rFont val="Arial"/>
            <family val="2"/>
          </rPr>
          <t xml:space="preserve">Latest filing used for the balance sheet / share data. See cell notes for every figure and the "Spread Notes" tab.</t>
        </r>
      </text>
    </comment>
    <comment ref="V43" authorId="0">
      <text>
        <r>
          <rPr>
            <sz val="10"/>
            <rFont val="Arial"/>
            <family val="2"/>
          </rPr>
          <t xml:space="preserve">Hand spread: Eurofins Half Year Report 2026 (interim condensed consolidated FS at 30-Jun-26, IFRS), p.29 – Interim condensed consolidated balance sheet – Cash and cash equivalents: EUR 617.8m (excl. EUR 22.0m in held for sale, p.42)</t>
        </r>
      </text>
    </comment>
    <comment ref="V44" authorId="0">
      <text>
        <r>
          <rPr>
            <sz val="10"/>
            <rFont val="Arial"/>
            <family val="2"/>
          </rPr>
          <t xml:space="preserve">Hand spread: Eurofins Half Year Report 2026 (interim condensed consolidated FS at 30-Jun-26, IFRS), p.42 – short-term deposits (89.6) are within cash and cash equivalents; no separate investments.</t>
        </r>
      </text>
    </comment>
    <comment ref="V46" authorId="0">
      <text>
        <r>
          <rPr>
            <sz val="10"/>
            <rFont val="Arial"/>
            <family val="2"/>
          </rPr>
          <t xml:space="preserve">Hand spread: Eurofins Half Year Report 2026 (interim condensed consolidated FS at 30-Jun-26, IFRS), p.29 – Investments in associates: EUR 5.6m</t>
        </r>
      </text>
    </comment>
    <comment ref="V55" authorId="0">
      <text>
        <r>
          <rPr>
            <sz val="10"/>
            <rFont val="Arial"/>
            <family val="2"/>
          </rPr>
          <t xml:space="preserve">Hand spread: Eurofins Half Year Report 2026 (interim condensed consolidated FS at 30-Jun-26, IFRS), p.29 – Current borrowings: EUR 771.6m (INCLUDES IFRS 16 lease liabilities – p.42 debt reconciliation: leases 408.8 of total borrowings 4,471.6)</t>
        </r>
      </text>
    </comment>
    <comment ref="V56" authorId="0">
      <text>
        <r>
          <rPr>
            <sz val="10"/>
            <rFont val="Arial"/>
            <family val="2"/>
          </rPr>
          <t xml:space="preserve">Hand spread: Eurofins Half Year Report 2026 (interim condensed consolidated FS at 30-Jun-26, IFRS), p.29 – Non-current borrowings: EUR 3,700.0m (bonds 2,752.2, Schuldschein 803.0, CP 319.0, bank 201.1, leases 408.8, issuance costs (18.6), p.42)</t>
        </r>
      </text>
    </comment>
    <comment ref="V58" authorId="0">
      <text>
        <r>
          <rPr>
            <sz val="10"/>
            <rFont val="Arial"/>
            <family val="2"/>
          </rPr>
          <t xml:space="preserve">Hand spread: Eurofins Half Year Report 2026 (interim condensed consolidated FS at 30-Jun-26, IFRS), p.42 – lease liabilities (408.8) are already within borrowings (rows 55/56); removed via rows 62/63.</t>
        </r>
      </text>
    </comment>
    <comment ref="V62" authorId="0">
      <text>
        <r>
          <rPr>
            <sz val="10"/>
            <rFont val="Arial"/>
            <family val="2"/>
          </rPr>
          <t xml:space="preserve">Hand spread: Eurofins Half Year Report 2026 (interim condensed consolidated FS at 30-Jun-26, IFRS), p.42 (Note 2.8 debt reconciliation) – Lease liabilities at 30-Jun-26: EUR 408.8m – removed in row 63 (pre-IFRS 16).</t>
        </r>
      </text>
    </comment>
    <comment ref="V70" authorId="0">
      <text>
        <r>
          <rPr>
            <sz val="10"/>
            <rFont val="Arial"/>
            <family val="2"/>
          </rPr>
          <t xml:space="preserve">Hand spread: Eurofins Half Year Report 2026 (interim condensed consolidated FS at 30-Jun-26, IFRS), p.29 – Employee benefit obligations (non-current): EUR 64.4m (net defined benefit liability)</t>
        </r>
      </text>
    </comment>
    <comment ref="V71" authorId="0">
      <text>
        <r>
          <rPr>
            <sz val="10"/>
            <rFont val="Arial"/>
            <family val="2"/>
          </rPr>
          <t xml:space="preserve">Statutory tax rate 23.87% for LUXEMBOURG, from the "Tax Rates" tab of the external LGC – WACC and Trading Comps_v2.xlsx (external link removed; cached value kept). Used only to tax-effect the pension deficit (row 72).</t>
        </r>
      </text>
    </comment>
    <comment ref="V74" authorId="0">
      <text>
        <r>
          <rPr>
            <sz val="10"/>
            <rFont val="Arial"/>
            <family val="2"/>
          </rPr>
          <t xml:space="preserve">Hand spread: Eurofins Half Year Report 2026 (interim condensed consolidated FS at 30-Jun-26, IFRS), p.29 – Non-controlling interests: EUR 31.8m</t>
        </r>
      </text>
    </comment>
    <comment ref="V77" authorId="0">
      <text>
        <r>
          <rPr>
            <sz val="10"/>
            <rFont val="Arial"/>
            <family val="2"/>
          </rPr>
          <t xml:space="preserve">Hand spread: Eurofins Half Year Report 2026 (interim condensed consolidated FS at 30-Jun-26, IFRS), p.29 – Hybrid capital: EUR 1,000.0m. Classified in IFRS equity but treated as debt-like/preferred for EV (perpetual subordinated with coupon). JUDGEMENT – FactSet included 0.</t>
        </r>
      </text>
    </comment>
    <comment ref="V81" authorId="0">
      <text>
        <r>
          <rPr>
            <sz val="10"/>
            <rFont val="Arial"/>
            <family val="2"/>
          </rPr>
          <t xml:space="preserve">Hand spread: Eurofins Half Year Report 2026 (interim condensed consolidated FS at 30-Jun-26, IFRS), p.29 [calc] – Total attributable to owners of the Company 4,620.2 less hybrid capital 1,000.0 (shown in row 77) = EUR 3,620.2m</t>
        </r>
      </text>
    </comment>
    <comment ref="V137" authorId="0">
      <text>
        <r>
          <rPr>
            <sz val="10"/>
            <rFont val="Arial"/>
            <family val="2"/>
          </rPr>
          <t xml:space="preserve">Hand spread: Eurofins Half Year Report 2026 (interim condensed consolidated FS at 30-Jun-26, IFRS), p.23 – 176,000,000 shares less 2,400,532 treasury shares = 173,599,468 shares with voting rights at 30-Jun-26 (6,163,000 shares cancelled 26-Mar-26, p.22)</t>
        </r>
      </text>
    </comment>
    <comment ref="V152" authorId="0">
      <text>
        <r>
          <rPr>
            <sz val="10"/>
            <rFont val="Arial"/>
            <family val="2"/>
          </rPr>
          <t xml:space="preserve">Hand spread: Eurofins Half Year Report 2026 (interim condensed consolidated FS at 30-Jun-26, IFRS), p.44 (Note 2.9) – stock options outstanding at 30-Jun-26: 6,976,671</t>
        </r>
      </text>
    </comment>
    <comment ref="V159" authorId="0">
      <text>
        <r>
          <rPr>
            <sz val="10"/>
            <rFont val="Arial"/>
            <family val="2"/>
          </rPr>
          <t xml:space="preserve">Hand spread: Eurofins Half Year Report 2026 (interim condensed consolidated FS at 30-Jun-26, IFRS), p.44 – restricted stock units outstanding at 30-Jun-26: 272,375</t>
        </r>
      </text>
    </comment>
    <comment ref="V161" authorId="0">
      <text>
        <r>
          <rPr>
            <sz val="10"/>
            <rFont val="Arial"/>
            <family val="2"/>
          </rPr>
          <t xml:space="preserve">Hand spread: Eurofins Half Year Report 2026 (interim condensed consolidated FS at 30-Jun-26, IFRS), p.45 – 2018 BSA Leaders warrants outstanding 90,357 x 10 shares each (post 2020 ten-for-one split, p.44) = 903,570 shares [calc]</t>
        </r>
      </text>
    </comment>
    <comment ref="V164" authorId="0">
      <text>
        <r>
          <rPr>
            <sz val="10"/>
            <rFont val="Arial"/>
            <family val="2"/>
          </rPr>
          <t xml:space="preserve">Hand spread: Eurofins Half Year Report 2026 (interim condensed consolidated FS at 30-Jun-26, IFRS), p.44 – weighted average exercise price of options outstanding: EUR 55</t>
        </r>
      </text>
    </comment>
    <comment ref="V173" authorId="0">
      <text>
        <r>
          <rPr>
            <sz val="10"/>
            <rFont val="Arial"/>
            <family val="2"/>
          </rPr>
          <t xml:space="preserve">Hand spread: Eurofins Half Year Report 2026 (interim condensed consolidated FS at 30-Jun-26, IFRS), p.44 – BSA warrant exercise price EUR 529.65 per warrant for 10 shares = EUR 52.965 per share [calc]</t>
        </r>
      </text>
    </comment>
    <comment ref="V189" authorId="0">
      <text>
        <r>
          <rPr>
            <sz val="10"/>
            <rFont val="Arial"/>
            <family val="2"/>
          </rPr>
          <t xml:space="preserve">Hand spread: Eurofins Half Year Report 2026 (interim condensed consolidated FS at 30-Jun-26, IFRS) – fiscal year ends 31 December.</t>
        </r>
      </text>
    </comment>
    <comment ref="V192" authorId="0">
      <text>
        <r>
          <rPr>
            <sz val="10"/>
            <rFont val="Arial"/>
            <family val="2"/>
          </rPr>
          <t xml:space="preserve">Kim, Justin G.:
Most companies will end their fiscal year in December; however companies like Takeda report Fiscal Year end on a different quarter - this requires you to recalendarize the line items so they are apples-to-apples with other companies ending their FY in December 31</t>
        </r>
      </text>
    </comment>
    <comment ref="V205" authorId="0">
      <text>
        <r>
          <rPr>
            <sz val="10"/>
            <rFont val="Arial"/>
            <family val="2"/>
          </rPr>
          <t xml:space="preserve">Hand spread: Eurofins Annual Report 2025 (IFRS), p.133 – Consolidated income statement – Revenues (reported) FY25: EUR 7,296.1m
[Converted to USD at the 2025 average EUR rate, FX!D7; value above is in EUR m.]</t>
        </r>
      </text>
    </comment>
    <comment ref="V206" authorId="0">
      <text>
        <r>
          <rPr>
            <sz val="10"/>
            <rFont val="Arial"/>
            <family val="2"/>
          </rPr>
          <t xml:space="preserve">Hand spread: Eurofins Annual Report 2025 (IFRS), p.133 – Revenues (reported) FY24: EUR 6,951.0m
[Converted to USD at the 2024 average EUR rate, FX!C7; value above is in EUR m.]</t>
        </r>
      </text>
    </comment>
    <comment ref="V207" authorId="0">
      <text>
        <r>
          <rPr>
            <sz val="10"/>
            <rFont val="Arial"/>
            <family val="2"/>
          </rPr>
          <t xml:space="preserve">Hand spread: Eurofins Annual Report 2024 (IFRS), p.247 – Revenues (reported) FY23: EUR 6,514.6m
[Converted to USD at the 2023 average EUR rate, FX!B7; value above is in EUR m.]</t>
        </r>
      </text>
    </comment>
    <comment ref="V215" authorId="0">
      <text>
        <r>
          <rPr>
            <sz val="10"/>
            <rFont val="Arial"/>
            <family val="2"/>
          </rPr>
          <t xml:space="preserve">Hand spread: Eurofins Annual Report 2025 (IFRS) p.133 / Eurofins Annual Report 2024 (IFRS) p.247 – Eurofins presents operating costs by nature – no gross profit, R&amp;D or SG&amp;A line is reported; left blank (n.a.).</t>
        </r>
      </text>
    </comment>
    <comment ref="V216" authorId="0">
      <text>
        <r>
          <rPr>
            <sz val="10"/>
            <rFont val="Arial"/>
            <family val="2"/>
          </rPr>
          <t xml:space="preserve">Hand spread: Eurofins Annual Report 2025 (IFRS) p.133 / Eurofins Annual Report 2024 (IFRS) p.247 – Eurofins presents operating costs by nature – no gross profit, R&amp;D or SG&amp;A line is reported; left blank (n.a.).</t>
        </r>
      </text>
    </comment>
    <comment ref="V217" authorId="0">
      <text>
        <r>
          <rPr>
            <sz val="10"/>
            <rFont val="Arial"/>
            <family val="2"/>
          </rPr>
          <t xml:space="preserve">Hand spread: Eurofins Annual Report 2025 (IFRS) p.133 / Eurofins Annual Report 2024 (IFRS) p.247 – Eurofins presents operating costs by nature – no gross profit, R&amp;D or SG&amp;A line is reported; left blank (n.a.).</t>
        </r>
      </text>
    </comment>
    <comment ref="V225" authorId="0">
      <text>
        <r>
          <rPr>
            <sz val="10"/>
            <rFont val="Arial"/>
            <family val="2"/>
          </rPr>
          <t xml:space="preserve">Hand spread: Eurofins Annual Report 2025 (IFRS) p.133 / Eurofins Annual Report 2024 (IFRS) p.247 – Eurofins presents operating costs by nature – no gross profit, R&amp;D or SG&amp;A line is reported; left blank (n.a.).</t>
        </r>
      </text>
    </comment>
    <comment ref="V226" authorId="0">
      <text>
        <r>
          <rPr>
            <sz val="10"/>
            <rFont val="Arial"/>
            <family val="2"/>
          </rPr>
          <t xml:space="preserve">Hand spread: Eurofins Annual Report 2025 (IFRS) p.133 / Eurofins Annual Report 2024 (IFRS) p.247 – Eurofins presents operating costs by nature – no gross profit, R&amp;D or SG&amp;A line is reported; left blank (n.a.).</t>
        </r>
      </text>
    </comment>
    <comment ref="V227" authorId="0">
      <text>
        <r>
          <rPr>
            <sz val="10"/>
            <rFont val="Arial"/>
            <family val="2"/>
          </rPr>
          <t xml:space="preserve">Hand spread: Eurofins Annual Report 2025 (IFRS) p.133 / Eurofins Annual Report 2024 (IFRS) p.247 – Eurofins presents operating costs by nature – no gross profit, R&amp;D or SG&amp;A line is reported; left blank (n.a.).</t>
        </r>
      </text>
    </comment>
    <comment ref="V235" authorId="0">
      <text>
        <r>
          <rPr>
            <sz val="10"/>
            <rFont val="Arial"/>
            <family val="2"/>
          </rPr>
          <t xml:space="preserve">Hand spread: Eurofins Annual Report 2025 (IFRS) p.133 / Eurofins Annual Report 2024 (IFRS) p.247 – Eurofins presents operating costs by nature – no gross profit, R&amp;D or SG&amp;A line is reported; left blank (n.a.).</t>
        </r>
      </text>
    </comment>
    <comment ref="V236" authorId="0">
      <text>
        <r>
          <rPr>
            <sz val="10"/>
            <rFont val="Arial"/>
            <family val="2"/>
          </rPr>
          <t xml:space="preserve">Hand spread: Eurofins Annual Report 2025 (IFRS) p.133 / Eurofins Annual Report 2024 (IFRS) p.247 – Eurofins presents operating costs by nature – no gross profit, R&amp;D or SG&amp;A line is reported; left blank (n.a.).</t>
        </r>
      </text>
    </comment>
    <comment ref="V237" authorId="0">
      <text>
        <r>
          <rPr>
            <sz val="10"/>
            <rFont val="Arial"/>
            <family val="2"/>
          </rPr>
          <t xml:space="preserve">Hand spread: Eurofins Annual Report 2025 (IFRS) p.133 / Eurofins Annual Report 2024 (IFRS) p.247 – Eurofins presents operating costs by nature – no gross profit, R&amp;D or SG&amp;A line is reported; left blank (n.a.).</t>
        </r>
      </text>
    </comment>
    <comment ref="V245" authorId="0">
      <text>
        <r>
          <rPr>
            <sz val="10"/>
            <rFont val="Arial"/>
            <family val="2"/>
          </rPr>
          <t xml:space="preserve">Hand spread: Eurofins Annual Report 2025 (IFRS), p.133 – EBIT (reported) FY25: EUR 784.5m (after share-based payment/acquisition-related expenses and disposal losses)
[Converted to USD at the 2025 average EUR rate, FX!D7; value above is in EUR m.]</t>
        </r>
      </text>
    </comment>
    <comment ref="V246" authorId="0">
      <text>
        <r>
          <rPr>
            <sz val="10"/>
            <rFont val="Arial"/>
            <family val="2"/>
          </rPr>
          <t xml:space="preserve">Hand spread: Eurofins Annual Report 2025 (IFRS), p.133 – EBIT (reported) FY24: EUR 680.5m
[Converted to USD at the 2024 average EUR rate, FX!C7; value above is in EUR m.]</t>
        </r>
      </text>
    </comment>
    <comment ref="V247" authorId="0">
      <text>
        <r>
          <rPr>
            <sz val="10"/>
            <rFont val="Arial"/>
            <family val="2"/>
          </rPr>
          <t xml:space="preserve">Hand spread: Eurofins Annual Report 2024 (IFRS), p.247 – EBIT (reported) FY23: EUR 529.9m
[Converted to USD at the 2023 average EUR rate, FX!B7; value above is in EUR m.]</t>
        </r>
      </text>
    </comment>
    <comment ref="V265" authorId="0">
      <text>
        <r>
          <rPr>
            <sz val="10"/>
            <rFont val="Arial"/>
            <family val="2"/>
          </rPr>
          <t xml:space="preserve">Hand spread: Eurofins Annual Report 2025 (IFRS), p.133 – EBITDA (reported, incl. separately disclosed items; Eurofins definition before SBC/acquisition-related costs) FY25: EUR 1,561.0m
[Converted to USD at the 2025 average EUR rate, FX!D7; value above is in EUR m.]</t>
        </r>
      </text>
    </comment>
    <comment ref="V266" authorId="0">
      <text>
        <r>
          <rPr>
            <sz val="10"/>
            <rFont val="Arial"/>
            <family val="2"/>
          </rPr>
          <t xml:space="preserve">Hand spread: Eurofins Annual Report 2025 (IFRS), p.133 – EBITDA (reported) FY24: EUR 1,439.4m
[Converted to USD at the 2024 average EUR rate, FX!C7; value above is in EUR m.]</t>
        </r>
      </text>
    </comment>
    <comment ref="V267" authorId="0">
      <text>
        <r>
          <rPr>
            <sz val="10"/>
            <rFont val="Arial"/>
            <family val="2"/>
          </rPr>
          <t xml:space="preserve">Hand spread: Eurofins Annual Report 2024 (IFRS), p.247 – EBITDA (reported) FY23: EUR 1,234.4m
[Converted to USD at the 2023 average EUR rate, FX!B7; value above is in EUR m.]</t>
        </r>
      </text>
    </comment>
    <comment ref="V285" authorId="0">
      <text>
        <r>
          <rPr>
            <sz val="10"/>
            <rFont val="Arial"/>
            <family val="2"/>
          </rPr>
          <t xml:space="preserve">Hand spread: Eurofins Annual Report 2025 (IFRS), p.182 (Note 2.35) – Net profit attributable to owners of the Company (after EUR 58.7m attributable to hybrid capital investors) FY25: EUR 416.1m
[Converted to USD at the 2025 average EUR rate, FX!D7; value above is in EUR m.]</t>
        </r>
      </text>
    </comment>
    <comment ref="V286" authorId="0">
      <text>
        <r>
          <rPr>
            <sz val="10"/>
            <rFont val="Arial"/>
            <family val="2"/>
          </rPr>
          <t xml:space="preserve">Hand spread: Eurofins Annual Report 2025 (IFRS), p.182 – Net profit attributable to owners FY24: EUR 356.3m
[Converted to USD at the 2024 average EUR rate, FX!C7; value above is in EUR m.]</t>
        </r>
      </text>
    </comment>
    <comment ref="V287" authorId="0">
      <text>
        <r>
          <rPr>
            <sz val="10"/>
            <rFont val="Arial"/>
            <family val="2"/>
          </rPr>
          <t xml:space="preserve">Hand spread: Eurofins Annual Report 2024 (IFRS), p.298 (Note 2.35) – Net profit attributable to owners FY23: EUR 256.5m
[Converted to USD at the 2023 average EUR rate, FX!B7; value above is in EUR m.]</t>
        </r>
      </text>
    </comment>
    <comment ref="V295" authorId="0">
      <text>
        <r>
          <rPr>
            <sz val="10"/>
            <rFont val="Arial"/>
            <family val="2"/>
          </rPr>
          <t xml:space="preserve">Hand spread: Eurofins Annual Report 2025 (IFRS), p.133 – Diluted EPS attributable to owners of the Company FY25: EUR 2.23
[Converted to USD at the 2025 average EUR rate, FX!D7; value above is in EUR m.]</t>
        </r>
      </text>
    </comment>
    <comment ref="V296" authorId="0">
      <text>
        <r>
          <rPr>
            <sz val="10"/>
            <rFont val="Arial"/>
            <family val="2"/>
          </rPr>
          <t xml:space="preserve">Hand spread: Eurofins Annual Report 2025 (IFRS), p.133 – Diluted EPS attributable to owners FY24: EUR 1.83
[Converted to USD at the 2024 average EUR rate, FX!C7; value above is in EUR m.]</t>
        </r>
      </text>
    </comment>
    <comment ref="V297" authorId="0">
      <text>
        <r>
          <rPr>
            <sz val="10"/>
            <rFont val="Arial"/>
            <family val="2"/>
          </rPr>
          <t xml:space="preserve">Hand spread: Eurofins Annual Report 2024 (IFRS), p.298 – Diluted EPS attributable to owners FY23: EUR 1.30
[Converted to USD at the 2023 average EUR rate, FX!B7; value above is in EUR m.]</t>
        </r>
      </text>
    </comment>
    <comment ref="V309" authorId="0">
      <text>
        <r>
          <rPr>
            <sz val="10"/>
            <rFont val="Arial"/>
            <family val="2"/>
          </rPr>
          <t xml:space="preserve">Hand spread: reporting currency of the financial statements = EUR.</t>
        </r>
      </text>
    </comment>
    <comment ref="V313" authorId="0">
      <text>
        <r>
          <rPr>
            <sz val="10"/>
            <rFont val="Arial"/>
            <family val="2"/>
          </rPr>
          <t xml:space="preserve">Hand spread: ECB spot USD per EUR at this column's pricing date (row 2) – FX tab.</t>
        </r>
      </text>
    </comment>
    <comment ref="V315" authorId="0">
      <text>
        <r>
          <rPr>
            <sz val="10"/>
            <rFont val="Arial"/>
            <family val="2"/>
          </rPr>
          <t xml:space="preserve">Hand spread: balance sheet date of the latest filing (Eurofins Half Year Report 2026 (interim condensed consolidated FS at 30-Jun-26, IFRS)).</t>
        </r>
      </text>
    </comment>
    <comment ref="V316" authorId="0">
      <text>
        <r>
          <rPr>
            <sz val="10"/>
            <rFont val="Arial"/>
            <family val="2"/>
          </rPr>
          <t xml:space="preserve">Hand spread: ECB spot USD per EUR at the 30-Jun-26 balance sheet date – FX tab.</t>
        </r>
      </text>
    </comment>
    <comment ref="V327" authorId="0">
      <text>
        <r>
          <rPr>
            <sz val="10"/>
            <rFont val="Arial"/>
            <family val="2"/>
          </rPr>
          <t xml:space="preserve">Hand spread: Eurofins Annual Report 2025 (IFRS), p.157 (Note 2.9 PP&amp;E) – Depreciation of right-of-use assets FY25: EUR 163.3m (land/buildings 139.0 + machinery 4.9 + office/IT/vehicles 19.3). Used as LTM proxy – H1-26 report does not disclose ROU depreciation.</t>
        </r>
      </text>
    </comment>
    <comment ref="V328" authorId="0">
      <text>
        <r>
          <rPr>
            <sz val="10"/>
            <rFont val="Arial"/>
            <family val="2"/>
          </rPr>
          <t xml:space="preserve">Hand spread: LTM lease interest [calc] = Eurofins Annual Report 2025 (IFRS) p.154 (Note 2.7) interest expense on lease liabilities FY25 24.6 + Eurofins Half Year Report 2026 (interim condensed consolidated FS at 30-Jun-26, IFRS) p.38 H1-26 9.3 – H1-25 13.4 = EUR 20.5m</t>
        </r>
      </text>
    </comment>
    <comment ref="V339" authorId="0">
      <text>
        <r>
          <rPr>
            <sz val="10"/>
            <rFont val="Arial"/>
            <family val="2"/>
          </rPr>
          <t xml:space="preserve">Hand spread: Eurofins Annual Report 2025 (IFRS), p.136 (cash flow) [calc] – Purchase of PP&amp;E 461.7 + purchase/capitalisation of intangibles 74.9 = EUR 536.6m (excludes EUR 298.2m one-off purchase of PP&amp;E from related parties – sites previously leased)
[Converted to USD at the 2025 average EUR rate, FX!D7; value above is in EUR m.]</t>
        </r>
      </text>
    </comment>
    <comment ref="V340" authorId="0">
      <text>
        <r>
          <rPr>
            <sz val="10"/>
            <rFont val="Arial"/>
            <family val="2"/>
          </rPr>
          <t xml:space="preserve">Hand spread: Eurofins Annual Report 2025 (IFRS), p.136 [calc] – PP&amp;E 453.6 + intangibles 74.8 = EUR 528.4m
[Converted to USD at the 2024 average EUR rate, FX!C7; value above is in EUR m.]</t>
        </r>
      </text>
    </comment>
    <comment ref="V341" authorId="0">
      <text>
        <r>
          <rPr>
            <sz val="10"/>
            <rFont val="Arial"/>
            <family val="2"/>
          </rPr>
          <t xml:space="preserve">Hand spread: Eurofins Annual Report 2024 (IFRS), p.250 [calc] – PP&amp;E 478.1 + intangibles 72.0 = EUR 550.1m
[Converted to USD at the 2023 average EUR rate, FX!B7; value above is in EUR m.]</t>
        </r>
      </text>
    </comment>
    <comment ref="W13" authorId="0">
      <text>
        <r>
          <rPr>
            <sz val="10"/>
            <rFont val="Arial"/>
            <family val="2"/>
          </rPr>
          <t xml:space="preserve">Latest filing used for the balance sheet / share data. See cell notes for every figure and the "Spread Notes" tab.</t>
        </r>
      </text>
    </comment>
    <comment ref="W43" authorId="0">
      <text>
        <r>
          <rPr>
            <sz val="10"/>
            <rFont val="Arial"/>
            <family val="2"/>
          </rPr>
          <t xml:space="preserve">Hand spread: SGS 2026 Half Year Results Interim Report (condensed consolidated FS at 30-Jun-26, IFRS), p.16 – Condensed consolidated statement of financial position – Cash and cash equivalents: CHF 1,300m</t>
        </r>
      </text>
    </comment>
    <comment ref="W44" authorId="0">
      <text>
        <r>
          <rPr>
            <sz val="10"/>
            <rFont val="Arial"/>
            <family val="2"/>
          </rPr>
          <t xml:space="preserve">Hand spread: SGS 2026 Half Year Results Interim Report (condensed consolidated FS at 30-Jun-26, IFRS), p.16 – Marketable securities: CHF 0m (Dec-25: 1)</t>
        </r>
      </text>
    </comment>
    <comment ref="W46" authorId="0">
      <text>
        <r>
          <rPr>
            <sz val="10"/>
            <rFont val="Arial"/>
            <family val="2"/>
          </rPr>
          <t xml:space="preserve">Hand spread: SGS 2026 Half Year Results Interim Report (condensed consolidated FS at 30-Jun-26, IFRS), p.16 – Investments in joint ventures, associates and other companies: CHF 6m</t>
        </r>
      </text>
    </comment>
    <comment ref="W55" authorId="0">
      <text>
        <r>
          <rPr>
            <sz val="10"/>
            <rFont val="Arial"/>
            <family val="2"/>
          </rPr>
          <t xml:space="preserve">Hand spread: SGS 2026 Half Year Results Interim Report (condensed consolidated FS at 30-Jun-26, IFRS), p.16 – Current loans and other financial liabilities: CHF 1,363m (excludes leases)</t>
        </r>
      </text>
    </comment>
    <comment ref="W56" authorId="0">
      <text>
        <r>
          <rPr>
            <sz val="10"/>
            <rFont val="Arial"/>
            <family val="2"/>
          </rPr>
          <t xml:space="preserve">Hand spread: SGS 2026 Half Year Results Interim Report (condensed consolidated FS at 30-Jun-26, IFRS), p.16 – Non-current loans and other financial liabilities: CHF 3,263m (corporate bonds etc.; excludes leases)</t>
        </r>
      </text>
    </comment>
    <comment ref="W58" authorId="0">
      <text>
        <r>
          <rPr>
            <sz val="10"/>
            <rFont val="Arial"/>
            <family val="2"/>
          </rPr>
          <t xml:space="preserve">Hand spread: SGS 2026 Half Year Results Interim Report (condensed consolidated FS at 30-Jun-26, IFRS), p.16 [calc] – IFRS 16 lease liabilities: non-current 428 + current 162 = CHF 590m. Reversed in rows 62/63.</t>
        </r>
      </text>
    </comment>
    <comment ref="W62" authorId="0">
      <text>
        <r>
          <rPr>
            <sz val="10"/>
            <rFont val="Arial"/>
            <family val="2"/>
          </rPr>
          <t xml:space="preserve">Hand spread: IFRS 16 lease liabilities = row 58 (other debt) – see row 58 note for source. Reversed in row 63 when the pre-IFRS 16 toggle (F5) = 1.</t>
        </r>
      </text>
    </comment>
    <comment ref="W70" authorId="0">
      <text>
        <r>
          <rPr>
            <sz val="10"/>
            <rFont val="Arial"/>
            <family val="2"/>
          </rPr>
          <t xml:space="preserve">Hand spread: SGS 2026 Half Year Results Interim Report (condensed consolidated FS at 30-Jun-26, IFRS), p.16 – Defined benefit obligations (net): CHF 66m</t>
        </r>
      </text>
    </comment>
    <comment ref="W71" authorId="0">
      <text>
        <r>
          <rPr>
            <sz val="10"/>
            <rFont val="Arial"/>
            <family val="2"/>
          </rPr>
          <t xml:space="preserve">Statutory tax rate 14.70% for SWITZERLAND, from the "Tax Rates" tab of the external LGC – WACC and Trading Comps_v2.xlsx (external link removed; cached value kept). Used only to tax-effect the pension deficit (row 72).</t>
        </r>
      </text>
    </comment>
    <comment ref="W74" authorId="0">
      <text>
        <r>
          <rPr>
            <sz val="10"/>
            <rFont val="Arial"/>
            <family val="2"/>
          </rPr>
          <t xml:space="preserve">Hand spread: SGS 2026 Half Year Results Interim Report (condensed consolidated FS at 30-Jun-26, IFRS), p.16 – Non-controlling interests: CHF 116m</t>
        </r>
      </text>
    </comment>
    <comment ref="W77" authorId="0">
      <text>
        <r>
          <rPr>
            <sz val="10"/>
            <rFont val="Arial"/>
            <family val="2"/>
          </rPr>
          <t xml:space="preserve">Hand spread: SGS 2026 Half Year Results Interim Report (condensed consolidated FS at 30-Jun-26, IFRS) – no preferred stock.</t>
        </r>
      </text>
    </comment>
    <comment ref="W81" authorId="0">
      <text>
        <r>
          <rPr>
            <sz val="10"/>
            <rFont val="Arial"/>
            <family val="2"/>
          </rPr>
          <t xml:space="preserve">Hand spread: SGS 2026 Half Year Results Interim Report (condensed consolidated FS at 30-Jun-26, IFRS), p.16 – Equity attributable to equity holders of SGS SA: CHF 1,007m</t>
        </r>
      </text>
    </comment>
    <comment ref="W137" authorId="0">
      <text>
        <r>
          <rPr>
            <sz val="10"/>
            <rFont val="Arial"/>
            <family val="2"/>
          </rPr>
          <t xml:space="preserve">Hand spread: SGS 2026 Half Year Results Interim Report (condensed consolidated FS at 30-Jun-26, IFRS), p.21 (Note 7) – Shares in circulation at 30-Jun-26: 197,599,697 (total issued 199,439,172 less 1,839,475 treasury shares; incl. 4,661,890 scrip-dividend shares issued 24-Apr-26)</t>
        </r>
      </text>
    </comment>
    <comment ref="W152" authorId="0">
      <text>
        <r>
          <rPr>
            <sz val="10"/>
            <rFont val="Arial"/>
            <family val="2"/>
          </rPr>
          <t xml:space="preserve">Hand spread: SGS 2025 Integrated Report – Financial statements (IFRS), p.132 – 477,782 PSO-25 performance stock options outstanding at 31-Dec-25 EXCLUDED: exercise price = closing price on day before 2025 grant (p.131) is not disclosed, and the PSOs only vest from 2029 – cannot apply treasury method from filing data.</t>
        </r>
      </text>
    </comment>
    <comment ref="W159" authorId="0">
      <text>
        <r>
          <rPr>
            <sz val="10"/>
            <rFont val="Arial"/>
            <family val="2"/>
          </rPr>
          <t xml:space="preserve">Hand spread: SGS 2025 Integrated Report – Financial statements (IFRS), p.132 [calc] – RSUs outstanding at 31-Dec-25: RSU-23 70,444 + RSU-24 75,179 + RSU-25 81,160 = 226,783</t>
        </r>
      </text>
    </comment>
    <comment ref="W160" authorId="0">
      <text>
        <r>
          <rPr>
            <sz val="10"/>
            <rFont val="Arial"/>
            <family val="2"/>
          </rPr>
          <t xml:space="preserve">Hand spread: SGS 2025 Integrated Report – Financial statements (IFRS), p.132 [calc] – PSUs outstanding at 31-Dec-25: PSU-23 187,929 + PSU-24 232,373 + PSU-25 265,435 = 685,737 (settled from treasury shares)</t>
        </r>
      </text>
    </comment>
    <comment ref="W189" authorId="0">
      <text>
        <r>
          <rPr>
            <sz val="10"/>
            <rFont val="Arial"/>
            <family val="2"/>
          </rPr>
          <t xml:space="preserve">Hand spread: SGS 2026 Half Year Results Interim Report (condensed consolidated FS at 30-Jun-26, IFRS) – fiscal year ends 31 December.</t>
        </r>
      </text>
    </comment>
    <comment ref="W192" authorId="0">
      <text>
        <r>
          <rPr>
            <sz val="10"/>
            <rFont val="Arial"/>
            <family val="2"/>
          </rPr>
          <t xml:space="preserve">Kim, Justin G.:
Most companies will end their fiscal year in December; however companies like Takeda report Fiscal Year end on a different quarter - this requires you to recalendarize the line items so they are apples-to-apples with other companies ending their FY in December 31</t>
        </r>
      </text>
    </comment>
    <comment ref="W205" authorId="0">
      <text>
        <r>
          <rPr>
            <sz val="10"/>
            <rFont val="Arial"/>
            <family val="2"/>
          </rPr>
          <t xml:space="preserve">Hand spread: SGS 2025 Integrated Report – Financial statements (IFRS), p.96 – Consolidated income statement – Sales FY25: CHF 6,945m
[Converted to USD at the 2025 average CHF rate, FX!D6; value above is in CHF m.]</t>
        </r>
      </text>
    </comment>
    <comment ref="W206" authorId="0">
      <text>
        <r>
          <rPr>
            <sz val="10"/>
            <rFont val="Arial"/>
            <family val="2"/>
          </rPr>
          <t xml:space="preserve">Hand spread: SGS 2025 Integrated Report – Financial statements (IFRS), p.96 – Sales FY24: CHF 6,794m
[Converted to USD at the 2024 average CHF rate, FX!C6; value above is in CHF m.]</t>
        </r>
      </text>
    </comment>
    <comment ref="W207" authorId="0">
      <text>
        <r>
          <rPr>
            <sz val="10"/>
            <rFont val="Arial"/>
            <family val="2"/>
          </rPr>
          <t xml:space="preserve">Hand spread: SGS 2024 Integrated Report – Financial statements (IFRS), p.86 – Sales FY23: CHF 6,622m
[Converted to USD at the 2023 average CHF rate, FX!B6; value above is in CHF m.]</t>
        </r>
      </text>
    </comment>
    <comment ref="W215" authorId="0">
      <text>
        <r>
          <rPr>
            <sz val="10"/>
            <rFont val="Arial"/>
            <family val="2"/>
          </rPr>
          <t xml:space="preserve">Hand spread: SGS 2025 Integrated Report – Financial statements (IFRS) p.96 / SGS 2024 Integrated Report – Financial statements (IFRS) p.86 – SGS presents its income statement by nature – no gross profit, R&amp;D or SG&amp;A line is reported; left blank (n.a.).</t>
        </r>
      </text>
    </comment>
    <comment ref="W216" authorId="0">
      <text>
        <r>
          <rPr>
            <sz val="10"/>
            <rFont val="Arial"/>
            <family val="2"/>
          </rPr>
          <t xml:space="preserve">Hand spread: SGS 2025 Integrated Report – Financial statements (IFRS) p.96 / SGS 2024 Integrated Report – Financial statements (IFRS) p.86 – SGS presents its income statement by nature – no gross profit, R&amp;D or SG&amp;A line is reported; left blank (n.a.).</t>
        </r>
      </text>
    </comment>
    <comment ref="W217" authorId="0">
      <text>
        <r>
          <rPr>
            <sz val="10"/>
            <rFont val="Arial"/>
            <family val="2"/>
          </rPr>
          <t xml:space="preserve">Hand spread: SGS 2025 Integrated Report – Financial statements (IFRS) p.96 / SGS 2024 Integrated Report – Financial statements (IFRS) p.86 – SGS presents its income statement by nature – no gross profit, R&amp;D or SG&amp;A line is reported; left blank (n.a.).</t>
        </r>
      </text>
    </comment>
    <comment ref="W225" authorId="0">
      <text>
        <r>
          <rPr>
            <sz val="10"/>
            <rFont val="Arial"/>
            <family val="2"/>
          </rPr>
          <t xml:space="preserve">Hand spread: SGS 2025 Integrated Report – Financial statements (IFRS) p.96 / SGS 2024 Integrated Report – Financial statements (IFRS) p.86 – SGS presents its income statement by nature – no gross profit, R&amp;D or SG&amp;A line is reported; left blank (n.a.).</t>
        </r>
      </text>
    </comment>
    <comment ref="W226" authorId="0">
      <text>
        <r>
          <rPr>
            <sz val="10"/>
            <rFont val="Arial"/>
            <family val="2"/>
          </rPr>
          <t xml:space="preserve">Hand spread: SGS 2025 Integrated Report – Financial statements (IFRS) p.96 / SGS 2024 Integrated Report – Financial statements (IFRS) p.86 – SGS presents its income statement by nature – no gross profit, R&amp;D or SG&amp;A line is reported; left blank (n.a.).</t>
        </r>
      </text>
    </comment>
    <comment ref="W227" authorId="0">
      <text>
        <r>
          <rPr>
            <sz val="10"/>
            <rFont val="Arial"/>
            <family val="2"/>
          </rPr>
          <t xml:space="preserve">Hand spread: SGS 2025 Integrated Report – Financial statements (IFRS) p.96 / SGS 2024 Integrated Report – Financial statements (IFRS) p.86 – SGS presents its income statement by nature – no gross profit, R&amp;D or SG&amp;A line is reported; left blank (n.a.).</t>
        </r>
      </text>
    </comment>
    <comment ref="W235" authorId="0">
      <text>
        <r>
          <rPr>
            <sz val="10"/>
            <rFont val="Arial"/>
            <family val="2"/>
          </rPr>
          <t xml:space="preserve">Hand spread: SGS 2025 Integrated Report – Financial statements (IFRS) p.96 / SGS 2024 Integrated Report – Financial statements (IFRS) p.86 – SGS presents its income statement by nature – no gross profit, R&amp;D or SG&amp;A line is reported; left blank (n.a.).</t>
        </r>
      </text>
    </comment>
    <comment ref="W236" authorId="0">
      <text>
        <r>
          <rPr>
            <sz val="10"/>
            <rFont val="Arial"/>
            <family val="2"/>
          </rPr>
          <t xml:space="preserve">Hand spread: SGS 2025 Integrated Report – Financial statements (IFRS) p.96 / SGS 2024 Integrated Report – Financial statements (IFRS) p.86 – SGS presents its income statement by nature – no gross profit, R&amp;D or SG&amp;A line is reported; left blank (n.a.).</t>
        </r>
      </text>
    </comment>
    <comment ref="W237" authorId="0">
      <text>
        <r>
          <rPr>
            <sz val="10"/>
            <rFont val="Arial"/>
            <family val="2"/>
          </rPr>
          <t xml:space="preserve">Hand spread: SGS 2025 Integrated Report – Financial statements (IFRS) p.96 / SGS 2024 Integrated Report – Financial statements (IFRS) p.86 – SGS presents its income statement by nature – no gross profit, R&amp;D or SG&amp;A line is reported; left blank (n.a.).</t>
        </r>
      </text>
    </comment>
    <comment ref="W245" authorId="0">
      <text>
        <r>
          <rPr>
            <sz val="10"/>
            <rFont val="Arial"/>
            <family val="2"/>
          </rPr>
          <t xml:space="preserve">Hand spread: SGS 2025 Integrated Report – Financial statements (IFRS), p.96 – Operating income FY25: CHF 1,014m (incl. CHF 60m gain on HQ disposal and CHF 22m loss on divestments)
[Converted to USD at the 2025 average CHF rate, FX!D6; value above is in CHF m.]</t>
        </r>
      </text>
    </comment>
    <comment ref="W246" authorId="0">
      <text>
        <r>
          <rPr>
            <sz val="10"/>
            <rFont val="Arial"/>
            <family val="2"/>
          </rPr>
          <t xml:space="preserve">Hand spread: SGS 2025 Integrated Report – Financial statements (IFRS), p.96 – Operating income FY24: CHF 904m
[Converted to USD at the 2024 average CHF rate, FX!C6; value above is in CHF m.]</t>
        </r>
      </text>
    </comment>
    <comment ref="W247" authorId="0">
      <text>
        <r>
          <rPr>
            <sz val="10"/>
            <rFont val="Arial"/>
            <family val="2"/>
          </rPr>
          <t xml:space="preserve">Hand spread: SGS 2024 Integrated Report – Financial statements (IFRS), p.86 – Operating income (EBIT) FY23: CHF 857m
[Converted to USD at the 2023 average CHF rate, FX!B6; value above is in CHF m.]</t>
        </r>
      </text>
    </comment>
    <comment ref="W265" authorId="0">
      <text>
        <r>
          <rPr>
            <sz val="10"/>
            <rFont val="Arial"/>
            <family val="2"/>
          </rPr>
          <t xml:space="preserve">Hand spread: SGS 2025 Integrated Report – Financial statements (IFRS), p.96 [calc] – EBITDA FY25 = Operating income 1,014 + depreciation, amortization and impairment 485 = CHF 1,499m (SGS APM definition)
[Converted to USD at the 2025 average CHF rate, FX!D6; value above is in CHF m.]</t>
        </r>
      </text>
    </comment>
    <comment ref="W266" authorId="0">
      <text>
        <r>
          <rPr>
            <sz val="10"/>
            <rFont val="Arial"/>
            <family val="2"/>
          </rPr>
          <t xml:space="preserve">Hand spread: SGS 2025 Integrated Report – Financial statements (IFRS), p.96 [calc] – EBITDA FY24 = 904 + 476 = CHF 1,380m
[Converted to USD at the 2024 average CHF rate, FX!C6; value above is in CHF m.]</t>
        </r>
      </text>
    </comment>
    <comment ref="W267" authorId="0">
      <text>
        <r>
          <rPr>
            <sz val="10"/>
            <rFont val="Arial"/>
            <family val="2"/>
          </rPr>
          <t xml:space="preserve">Hand spread: SGS 2024 Integrated Report – Financial statements (IFRS), p.86 [calc] – EBITDA FY23 = 857 + 545 = CHF 1,402m
[Converted to USD at the 2023 average CHF rate, FX!B6; value above is in CHF m.]</t>
        </r>
      </text>
    </comment>
    <comment ref="W285" authorId="0">
      <text>
        <r>
          <rPr>
            <sz val="10"/>
            <rFont val="Arial"/>
            <family val="2"/>
          </rPr>
          <t xml:space="preserve">Hand spread: SGS 2025 Integrated Report – Financial statements (IFRS), p.96 – Profit attributable to equity holders of SGS SA FY25: CHF 668m
[Converted to USD at the 2025 average CHF rate, FX!D6; value above is in CHF m.]</t>
        </r>
      </text>
    </comment>
    <comment ref="W286" authorId="0">
      <text>
        <r>
          <rPr>
            <sz val="10"/>
            <rFont val="Arial"/>
            <family val="2"/>
          </rPr>
          <t xml:space="preserve">Hand spread: SGS 2025 Integrated Report – Financial statements (IFRS), p.96 – Profit attributable to equity holders FY24: CHF 581m
[Converted to USD at the 2024 average CHF rate, FX!C6; value above is in CHF m.]</t>
        </r>
      </text>
    </comment>
    <comment ref="W287" authorId="0">
      <text>
        <r>
          <rPr>
            <sz val="10"/>
            <rFont val="Arial"/>
            <family val="2"/>
          </rPr>
          <t xml:space="preserve">Hand spread: SGS 2024 Integrated Report – Financial statements (IFRS), p.86 – Profit attributable to equity holders FY23: CHF 553m
[Converted to USD at the 2023 average CHF rate, FX!B6; value above is in CHF m.]</t>
        </r>
      </text>
    </comment>
    <comment ref="W295" authorId="0">
      <text>
        <r>
          <rPr>
            <sz val="10"/>
            <rFont val="Arial"/>
            <family val="2"/>
          </rPr>
          <t xml:space="preserve">Hand spread: SGS 2025 Integrated Report – Financial statements (IFRS), p.96 – Diluted EPS FY25: CHF 3.46
[Converted to USD at the 2025 average CHF rate, FX!D6; value above is in CHF m.]</t>
        </r>
      </text>
    </comment>
    <comment ref="W296" authorId="0">
      <text>
        <r>
          <rPr>
            <sz val="10"/>
            <rFont val="Arial"/>
            <family val="2"/>
          </rPr>
          <t xml:space="preserve">Hand spread: SGS 2025 Integrated Report – Financial statements (IFRS), p.96 – Diluted EPS FY24: CHF 3.09
[Converted to USD at the 2024 average CHF rate, FX!C6; value above is in CHF m.]</t>
        </r>
      </text>
    </comment>
    <comment ref="W297" authorId="0">
      <text>
        <r>
          <rPr>
            <sz val="10"/>
            <rFont val="Arial"/>
            <family val="2"/>
          </rPr>
          <t xml:space="preserve">Hand spread: SGS 2024 Integrated Report – Financial statements (IFRS), p.86 – Diluted EPS FY23: CHF 2.99
[Converted to USD at the 2023 average CHF rate, FX!B6; value above is in CHF m.]</t>
        </r>
      </text>
    </comment>
    <comment ref="W309" authorId="0">
      <text>
        <r>
          <rPr>
            <sz val="10"/>
            <rFont val="Arial"/>
            <family val="2"/>
          </rPr>
          <t xml:space="preserve">Hand spread: reporting currency of the financial statements = CHF.</t>
        </r>
      </text>
    </comment>
    <comment ref="W313" authorId="0">
      <text>
        <r>
          <rPr>
            <sz val="10"/>
            <rFont val="Arial"/>
            <family val="2"/>
          </rPr>
          <t xml:space="preserve">Hand spread: ECB spot USD per CHF at this column's pricing date (row 2) – FX tab.</t>
        </r>
      </text>
    </comment>
    <comment ref="W315" authorId="0">
      <text>
        <r>
          <rPr>
            <sz val="10"/>
            <rFont val="Arial"/>
            <family val="2"/>
          </rPr>
          <t xml:space="preserve">Hand spread: balance sheet date of the latest filing (SGS 2026 Half Year Results Interim Report (condensed consolidated FS at 30-Jun-26, IFRS)).</t>
        </r>
      </text>
    </comment>
    <comment ref="W316" authorId="0">
      <text>
        <r>
          <rPr>
            <sz val="10"/>
            <rFont val="Arial"/>
            <family val="2"/>
          </rPr>
          <t xml:space="preserve">Hand spread: ECB spot USD per CHF at the 30-Jun-26 balance sheet date – FX tab.</t>
        </r>
      </text>
    </comment>
    <comment ref="W327" authorId="0">
      <text>
        <r>
          <rPr>
            <sz val="10"/>
            <rFont val="Arial"/>
            <family val="2"/>
          </rPr>
          <t xml:space="preserve">Hand spread: SGS 2025 Integrated Report – Financial statements (IFRS), p.114 (Note 12) – Depreciation/impairment of right-of-use assets FY25: CHF 181m. Used as LTM proxy (H1-26 report gives no split).</t>
        </r>
      </text>
    </comment>
    <comment ref="W328" authorId="0">
      <text>
        <r>
          <rPr>
            <sz val="10"/>
            <rFont val="Arial"/>
            <family val="2"/>
          </rPr>
          <t xml:space="preserve">Hand spread: SGS 2025 Integrated Report – Financial statements (IFRS), p.114 (Note 12) – Interest expense on lease liabilities FY25: CHF 20m. Used as LTM proxy.</t>
        </r>
      </text>
    </comment>
    <comment ref="W339" authorId="0">
      <text>
        <r>
          <rPr>
            <sz val="10"/>
            <rFont val="Arial"/>
            <family val="2"/>
          </rPr>
          <t xml:space="preserve">Hand spread: SGS 2025 Integrated Report – Financial statements (IFRS), p.98 (cash flow) – Purchase of PP&amp;E and other intangible assets FY25: CHF 255m
[Converted to USD at the 2025 average CHF rate, FX!D6; value above is in CHF m.]</t>
        </r>
      </text>
    </comment>
    <comment ref="W340" authorId="0">
      <text>
        <r>
          <rPr>
            <sz val="10"/>
            <rFont val="Arial"/>
            <family val="2"/>
          </rPr>
          <t xml:space="preserve">Hand spread: SGS 2025 Integrated Report – Financial statements (IFRS), p.98 – Purchase of PP&amp;E and other intangible assets FY24: CHF 251m
[Converted to USD at the 2024 average CHF rate, FX!C6; value above is in CHF m.]</t>
        </r>
      </text>
    </comment>
    <comment ref="W341" authorId="0">
      <text>
        <r>
          <rPr>
            <sz val="10"/>
            <rFont val="Arial"/>
            <family val="2"/>
          </rPr>
          <t xml:space="preserve">Hand spread: SGS 2024 Integrated Report – Financial statements (IFRS), p.88 (cash flow) – Purchase of PP&amp;E and other intangible assets FY23: CHF 298m
[Converted to USD at the 2023 average CHF rate, FX!B6; value above is in CHF m.]</t>
        </r>
      </text>
    </comment>
    <comment ref="X13" authorId="0">
      <text>
        <r>
          <rPr>
            <sz val="10"/>
            <rFont val="Arial"/>
            <family val="2"/>
          </rPr>
          <t xml:space="preserve">Latest filing used for the balance sheet / share data. See cell notes for every figure and the "Spread Notes" tab.</t>
        </r>
      </text>
    </comment>
    <comment ref="X43" authorId="0">
      <text>
        <r>
          <rPr>
            <sz val="10"/>
            <rFont val="Arial"/>
            <family val="2"/>
          </rPr>
          <t xml:space="preserve">Hand spread: Bureau Veritas 2026 Half-Year Financial Report (condensed consolidated FS at 30-Jun-26, IFRS), p.35 – Consolidated statement of financial position – Cash and cash equivalents: EUR 942.1m (incl. marketable securities 402.0, p.25); excludes EUR 42.1m in assets held for sale</t>
        </r>
      </text>
    </comment>
    <comment ref="X44" authorId="0">
      <text>
        <r>
          <rPr>
            <sz val="10"/>
            <rFont val="Arial"/>
            <family val="2"/>
          </rPr>
          <t xml:space="preserve">Hand spread: Bureau Veritas 2026 Half-Year Financial Report (condensed consolidated FS at 30-Jun-26, IFRS), p.25 – marketable securities (402.0) already within cash and cash equivalents.</t>
        </r>
      </text>
    </comment>
    <comment ref="X46" authorId="0">
      <text>
        <r>
          <rPr>
            <sz val="10"/>
            <rFont val="Arial"/>
            <family val="2"/>
          </rPr>
          <t xml:space="preserve">Hand spread: Bureau Veritas 2026 Half-Year Financial Report (condensed consolidated FS at 30-Jun-26, IFRS) – balance sheet: no investments in associates / joint ventures (equity-accounted) shown.</t>
        </r>
      </text>
    </comment>
    <comment ref="X55" authorId="0">
      <text>
        <r>
          <rPr>
            <sz val="10"/>
            <rFont val="Arial"/>
            <family val="2"/>
          </rPr>
          <t xml:space="preserve">Hand spread: Bureau Veritas 2026 Half-Year Financial Report (condensed consolidated FS at 30-Jun-26, IFRS), p.35 – Current borrowings and financial debt: EUR 740.3m</t>
        </r>
      </text>
    </comment>
    <comment ref="X56" authorId="0">
      <text>
        <r>
          <rPr>
            <sz val="10"/>
            <rFont val="Arial"/>
            <family val="2"/>
          </rPr>
          <t xml:space="preserve">Hand spread: Bureau Veritas 2026 Half-Year Financial Report (condensed consolidated FS at 30-Jun-26, IFRS), p.35 – Non-current borrowings and financial debt: EUR 1,890.7m (gross debt 2,631.0 incl. overdrafts, p.24)</t>
        </r>
      </text>
    </comment>
    <comment ref="X58" authorId="0">
      <text>
        <r>
          <rPr>
            <sz val="10"/>
            <rFont val="Arial"/>
            <family val="2"/>
          </rPr>
          <t xml:space="preserve">Hand spread: Bureau Veritas 2026 Half-Year Financial Report (condensed consolidated FS at 30-Jun-26, IFRS), p.35 [calc] – IFRS 16 lease liabilities: non-current 289.4 + current 121.7 = EUR 411.1m (excludes 62.7 in liabilities held for sale). Reversed in rows 62/63.</t>
        </r>
      </text>
    </comment>
    <comment ref="X62" authorId="0">
      <text>
        <r>
          <rPr>
            <sz val="10"/>
            <rFont val="Arial"/>
            <family val="2"/>
          </rPr>
          <t xml:space="preserve">Hand spread: IFRS 16 lease liabilities = row 58 (other debt) – see row 58 note for source. Reversed in row 63 when the pre-IFRS 16 toggle (F5) = 1.</t>
        </r>
      </text>
    </comment>
    <comment ref="X70" authorId="0">
      <text>
        <r>
          <rPr>
            <sz val="10"/>
            <rFont val="Arial"/>
            <family val="2"/>
          </rPr>
          <t xml:space="preserve">Hand spread: Bureau Veritas 2026 Half-Year Financial Report (condensed consolidated FS at 30-Jun-26, IFRS), p.35 – Pension plans and other long-term employee benefits: EUR 140.0m</t>
        </r>
      </text>
    </comment>
    <comment ref="X71" authorId="0">
      <text>
        <r>
          <rPr>
            <sz val="10"/>
            <rFont val="Arial"/>
            <family val="2"/>
          </rPr>
          <t xml:space="preserve">Statutory tax rate 25.80% for FRANCE, from the "Tax Rates" tab of the external LGC – WACC and Trading Comps_v2.xlsx (external link removed; cached value kept). Used only to tax-effect the pension deficit (row 72).</t>
        </r>
      </text>
    </comment>
    <comment ref="X74" authorId="0">
      <text>
        <r>
          <rPr>
            <sz val="10"/>
            <rFont val="Arial"/>
            <family val="2"/>
          </rPr>
          <t xml:space="preserve">Hand spread: Bureau Veritas 2026 Half-Year Financial Report (condensed consolidated FS at 30-Jun-26, IFRS), p.35 – Non-controlling interests: EUR 46.0m</t>
        </r>
      </text>
    </comment>
    <comment ref="X77" authorId="0">
      <text>
        <r>
          <rPr>
            <sz val="10"/>
            <rFont val="Arial"/>
            <family val="2"/>
          </rPr>
          <t xml:space="preserve">Hand spread: Bureau Veritas 2026 Half-Year Financial Report (condensed consolidated FS at 30-Jun-26, IFRS) – no preferred stock.</t>
        </r>
      </text>
    </comment>
    <comment ref="X81" authorId="0">
      <text>
        <r>
          <rPr>
            <sz val="10"/>
            <rFont val="Arial"/>
            <family val="2"/>
          </rPr>
          <t xml:space="preserve">Hand spread: Bureau Veritas 2026 Half-Year Financial Report (condensed consolidated FS at 30-Jun-26, IFRS), p.35 – Equity attributable to owners of the Company: EUR 1,658.0m</t>
        </r>
      </text>
    </comment>
    <comment ref="X137" authorId="0">
      <text>
        <r>
          <rPr>
            <sz val="10"/>
            <rFont val="Arial"/>
            <family val="2"/>
          </rPr>
          <t xml:space="preserve">Hand spread: Bureau Veritas 2026 Half-Year Financial Report (condensed consolidated FS at 30-Jun-26, IFRS), p.47 (Note 10) [calc] – 453,887,720 shares less 9,795,904 treasury shares = 444,091,816 at 30-Jun-26</t>
        </r>
      </text>
    </comment>
    <comment ref="X152" authorId="0">
      <text>
        <r>
          <rPr>
            <sz val="10"/>
            <rFont val="Arial"/>
            <family val="2"/>
          </rPr>
          <t xml:space="preserve">Hand spread: Bureau Veritas 2025 Universal Registration Document (IFRS), p.444 (stock options) 4,803,970 outstanding at 31-Dec-25 less Bureau Veritas 2026 Half-Year Financial Report (condensed consolidated FS at 30-Jun-26, IFRS) p.47: 419,376 exercised in H1-26 = 4,384,594 [calc] (H1-26 cancellations not disclosed)</t>
        </r>
      </text>
    </comment>
    <comment ref="X160" authorId="0">
      <text>
        <r>
          <rPr>
            <sz val="10"/>
            <rFont val="Arial"/>
            <family val="2"/>
          </rPr>
          <t xml:space="preserve">Hand spread: [calc] Bureau Veritas 2025 Universal Registration Document (IFRS) p.445 – performance shares outstanding at 31-Dec-25: 3,729,759 + Bureau Veritas 2026 Half-Year Financial Report (condensed consolidated FS at 30-Jun-26, IFRS) p.48 (Note 11) June-2026 grants 825,580 + 485,775 = 5,041,114 (at 100% achievement)</t>
        </r>
      </text>
    </comment>
    <comment ref="X164" authorId="0">
      <text>
        <r>
          <rPr>
            <sz val="10"/>
            <rFont val="Arial"/>
            <family val="2"/>
          </rPr>
          <t xml:space="preserve">Hand spread: Bureau Veritas 2025 Universal Registration Document (IFRS), p.444 – weighted average exercise price of outstanding options at 31-Dec-25: EUR 24.26</t>
        </r>
      </text>
    </comment>
    <comment ref="X189" authorId="0">
      <text>
        <r>
          <rPr>
            <sz val="10"/>
            <rFont val="Arial"/>
            <family val="2"/>
          </rPr>
          <t xml:space="preserve">Hand spread: Bureau Veritas 2026 Half-Year Financial Report (condensed consolidated FS at 30-Jun-26, IFRS) – fiscal year ends 31 December.</t>
        </r>
      </text>
    </comment>
    <comment ref="X192" authorId="0">
      <text>
        <r>
          <rPr>
            <sz val="10"/>
            <rFont val="Arial"/>
            <family val="2"/>
          </rPr>
          <t xml:space="preserve">Kim, Justin G.:
Most companies will end their fiscal year in December; however companies like Takeda report Fiscal Year end on a different quarter - this requires you to recalendarize the line items so they are apples-to-apples with other companies ending their FY in December 31</t>
        </r>
      </text>
    </comment>
    <comment ref="X205" authorId="0">
      <text>
        <r>
          <rPr>
            <sz val="10"/>
            <rFont val="Arial"/>
            <family val="2"/>
          </rPr>
          <t xml:space="preserve">Hand spread: Bureau Veritas 2025 Universal Registration Document (IFRS), p.406 – Consolidated income statement – Revenue FY25: EUR 6,466.4m (excl. service costs rebilled to clients)
[Converted to USD at the 2025 average EUR rate, FX!D7; value above is in EUR m.]</t>
        </r>
      </text>
    </comment>
    <comment ref="X206" authorId="0">
      <text>
        <r>
          <rPr>
            <sz val="10"/>
            <rFont val="Arial"/>
            <family val="2"/>
          </rPr>
          <t xml:space="preserve">Hand spread: Bureau Veritas 2025 Universal Registration Document (IFRS), p.406 – Revenue FY24: EUR 6,240.9m
[Converted to USD at the 2024 average EUR rate, FX!C7; value above is in EUR m.]</t>
        </r>
      </text>
    </comment>
    <comment ref="X207" authorId="0">
      <text>
        <r>
          <rPr>
            <sz val="10"/>
            <rFont val="Arial"/>
            <family val="2"/>
          </rPr>
          <t xml:space="preserve">Hand spread: Bureau Veritas 2024 Universal Registration Document (IFRS), p.382 – Revenue FY23: EUR 5,867.8m
[Converted to USD at the 2023 average EUR rate, FX!B7; value above is in EUR m.]</t>
        </r>
      </text>
    </comment>
    <comment ref="X215" authorId="0">
      <text>
        <r>
          <rPr>
            <sz val="10"/>
            <rFont val="Arial"/>
            <family val="2"/>
          </rPr>
          <t xml:space="preserve">Hand spread: Bureau Veritas 2025 Universal Registration Document (IFRS) p.406 / Bureau Veritas 2024 Universal Registration Document (IFRS) p.382 – Bureau Veritas presents its income statement by nature – no gross profit, R&amp;D or SG&amp;A line is reported; left blank (n.a.).</t>
        </r>
      </text>
    </comment>
    <comment ref="X216" authorId="0">
      <text>
        <r>
          <rPr>
            <sz val="10"/>
            <rFont val="Arial"/>
            <family val="2"/>
          </rPr>
          <t xml:space="preserve">Hand spread: Bureau Veritas 2025 Universal Registration Document (IFRS) p.406 / Bureau Veritas 2024 Universal Registration Document (IFRS) p.382 – Bureau Veritas presents its income statement by nature – no gross profit, R&amp;D or SG&amp;A line is reported; left blank (n.a.).</t>
        </r>
      </text>
    </comment>
    <comment ref="X217" authorId="0">
      <text>
        <r>
          <rPr>
            <sz val="10"/>
            <rFont val="Arial"/>
            <family val="2"/>
          </rPr>
          <t xml:space="preserve">Hand spread: Bureau Veritas 2025 Universal Registration Document (IFRS) p.406 / Bureau Veritas 2024 Universal Registration Document (IFRS) p.382 – Bureau Veritas presents its income statement by nature – no gross profit, R&amp;D or SG&amp;A line is reported; left blank (n.a.).</t>
        </r>
      </text>
    </comment>
    <comment ref="X225" authorId="0">
      <text>
        <r>
          <rPr>
            <sz val="10"/>
            <rFont val="Arial"/>
            <family val="2"/>
          </rPr>
          <t xml:space="preserve">Hand spread: Bureau Veritas 2025 Universal Registration Document (IFRS) p.406 / Bureau Veritas 2024 Universal Registration Document (IFRS) p.382 – Bureau Veritas presents its income statement by nature – no gross profit, R&amp;D or SG&amp;A line is reported; left blank (n.a.).</t>
        </r>
      </text>
    </comment>
    <comment ref="X226" authorId="0">
      <text>
        <r>
          <rPr>
            <sz val="10"/>
            <rFont val="Arial"/>
            <family val="2"/>
          </rPr>
          <t xml:space="preserve">Hand spread: Bureau Veritas 2025 Universal Registration Document (IFRS) p.406 / Bureau Veritas 2024 Universal Registration Document (IFRS) p.382 – Bureau Veritas presents its income statement by nature – no gross profit, R&amp;D or SG&amp;A line is reported; left blank (n.a.).</t>
        </r>
      </text>
    </comment>
    <comment ref="X227" authorId="0">
      <text>
        <r>
          <rPr>
            <sz val="10"/>
            <rFont val="Arial"/>
            <family val="2"/>
          </rPr>
          <t xml:space="preserve">Hand spread: Bureau Veritas 2025 Universal Registration Document (IFRS) p.406 / Bureau Veritas 2024 Universal Registration Document (IFRS) p.382 – Bureau Veritas presents its income statement by nature – no gross profit, R&amp;D or SG&amp;A line is reported; left blank (n.a.).</t>
        </r>
      </text>
    </comment>
    <comment ref="X235" authorId="0">
      <text>
        <r>
          <rPr>
            <sz val="10"/>
            <rFont val="Arial"/>
            <family val="2"/>
          </rPr>
          <t xml:space="preserve">Hand spread: Bureau Veritas 2025 Universal Registration Document (IFRS) p.406 / Bureau Veritas 2024 Universal Registration Document (IFRS) p.382 – Bureau Veritas presents its income statement by nature – no gross profit, R&amp;D or SG&amp;A line is reported; left blank (n.a.).</t>
        </r>
      </text>
    </comment>
    <comment ref="X236" authorId="0">
      <text>
        <r>
          <rPr>
            <sz val="10"/>
            <rFont val="Arial"/>
            <family val="2"/>
          </rPr>
          <t xml:space="preserve">Hand spread: Bureau Veritas 2025 Universal Registration Document (IFRS) p.406 / Bureau Veritas 2024 Universal Registration Document (IFRS) p.382 – Bureau Veritas presents its income statement by nature – no gross profit, R&amp;D or SG&amp;A line is reported; left blank (n.a.).</t>
        </r>
      </text>
    </comment>
    <comment ref="X237" authorId="0">
      <text>
        <r>
          <rPr>
            <sz val="10"/>
            <rFont val="Arial"/>
            <family val="2"/>
          </rPr>
          <t xml:space="preserve">Hand spread: Bureau Veritas 2025 Universal Registration Document (IFRS) p.406 / Bureau Veritas 2024 Universal Registration Document (IFRS) p.382 – Bureau Veritas presents its income statement by nature – no gross profit, R&amp;D or SG&amp;A line is reported; left blank (n.a.).</t>
        </r>
      </text>
    </comment>
    <comment ref="X245" authorId="0">
      <text>
        <r>
          <rPr>
            <sz val="10"/>
            <rFont val="Arial"/>
            <family val="2"/>
          </rPr>
          <t xml:space="preserve">Hand spread: Bureau Veritas 2025 Universal Registration Document (IFRS), p.406 – Operating profit FY25: EUR 992.4m
[Converted to USD at the 2025 average EUR rate, FX!D7; value above is in EUR m.]</t>
        </r>
      </text>
    </comment>
    <comment ref="X246" authorId="0">
      <text>
        <r>
          <rPr>
            <sz val="10"/>
            <rFont val="Arial"/>
            <family val="2"/>
          </rPr>
          <t xml:space="preserve">Hand spread: Bureau Veritas 2025 Universal Registration Document (IFRS), p.406 – Operating profit FY24: EUR 933.4m
[Converted to USD at the 2024 average EUR rate, FX!C7; value above is in EUR m.]</t>
        </r>
      </text>
    </comment>
    <comment ref="X247" authorId="0">
      <text>
        <r>
          <rPr>
            <sz val="10"/>
            <rFont val="Arial"/>
            <family val="2"/>
          </rPr>
          <t xml:space="preserve">Hand spread: Bureau Veritas 2024 Universal Registration Document (IFRS), p.382 – Operating profit FY23: EUR 824.4m
[Converted to USD at the 2023 average EUR rate, FX!B7; value above is in EUR m.]</t>
        </r>
      </text>
    </comment>
    <comment ref="X265" authorId="0">
      <text>
        <r>
          <rPr>
            <sz val="10"/>
            <rFont val="Arial"/>
            <family val="2"/>
          </rPr>
          <t xml:space="preserve">Hand spread: Bureau Veritas 2025 Universal Registration Document (IFRS), p.406 [calc] – EBITDA FY25 = Operating profit 992.4 + Depreciation, amortization and impairment 299.5 = EUR 1,291.9m
[Converted to USD at the 2025 average EUR rate, FX!D7; value above is in EUR m.]</t>
        </r>
      </text>
    </comment>
    <comment ref="X266" authorId="0">
      <text>
        <r>
          <rPr>
            <sz val="10"/>
            <rFont val="Arial"/>
            <family val="2"/>
          </rPr>
          <t xml:space="preserve">Hand spread: Bureau Veritas 2025 Universal Registration Document (IFRS), p.406 [calc] – EBITDA FY24 = 933.4 + 283.7 = EUR 1,217.1m
[Converted to USD at the 2024 average EUR rate, FX!C7; value above is in EUR m.]</t>
        </r>
      </text>
    </comment>
    <comment ref="X267" authorId="0">
      <text>
        <r>
          <rPr>
            <sz val="10"/>
            <rFont val="Arial"/>
            <family val="2"/>
          </rPr>
          <t xml:space="preserve">Hand spread: Bureau Veritas 2024 Universal Registration Document (IFRS), p.382 [calc] – EBITDA FY23 = 824.4 + 291.5 = EUR 1,115.9m
[Converted to USD at the 2023 average EUR rate, FX!B7; value above is in EUR m.]</t>
        </r>
      </text>
    </comment>
    <comment ref="X285" authorId="0">
      <text>
        <r>
          <rPr>
            <sz val="10"/>
            <rFont val="Arial"/>
            <family val="2"/>
          </rPr>
          <t xml:space="preserve">Hand spread: Bureau Veritas 2025 Universal Registration Document (IFRS), p.406 – Attributable net profit FY25: EUR 588.0m
[Converted to USD at the 2025 average EUR rate, FX!D7; value above is in EUR m.]</t>
        </r>
      </text>
    </comment>
    <comment ref="X286" authorId="0">
      <text>
        <r>
          <rPr>
            <sz val="10"/>
            <rFont val="Arial"/>
            <family val="2"/>
          </rPr>
          <t xml:space="preserve">Hand spread: Bureau Veritas 2025 Universal Registration Document (IFRS), p.406 – Attributable net profit FY24: EUR 569.4m
[Converted to USD at the 2024 average EUR rate, FX!C7; value above is in EUR m.]</t>
        </r>
      </text>
    </comment>
    <comment ref="X287" authorId="0">
      <text>
        <r>
          <rPr>
            <sz val="10"/>
            <rFont val="Arial"/>
            <family val="2"/>
          </rPr>
          <t xml:space="preserve">Hand spread: Bureau Veritas 2024 Universal Registration Document (IFRS), p.382 – Attributable net profit FY23: EUR 503.7m
[Converted to USD at the 2023 average EUR rate, FX!B7; value above is in EUR m.]</t>
        </r>
      </text>
    </comment>
    <comment ref="X295" authorId="0">
      <text>
        <r>
          <rPr>
            <sz val="10"/>
            <rFont val="Arial"/>
            <family val="2"/>
          </rPr>
          <t xml:space="preserve">Hand spread: Bureau Veritas 2025 Universal Registration Document (IFRS), p.406 – Diluted EPS FY25: EUR 1.31
[Converted to USD at the 2025 average EUR rate, FX!D7; value above is in EUR m.]</t>
        </r>
      </text>
    </comment>
    <comment ref="X296" authorId="0">
      <text>
        <r>
          <rPr>
            <sz val="10"/>
            <rFont val="Arial"/>
            <family val="2"/>
          </rPr>
          <t xml:space="preserve">Hand spread: Bureau Veritas 2025 Universal Registration Document (IFRS), p.406 – Diluted EPS FY24: EUR 1.25
[Converted to USD at the 2024 average EUR rate, FX!C7; value above is in EUR m.]</t>
        </r>
      </text>
    </comment>
    <comment ref="X297" authorId="0">
      <text>
        <r>
          <rPr>
            <sz val="10"/>
            <rFont val="Arial"/>
            <family val="2"/>
          </rPr>
          <t xml:space="preserve">Hand spread: Bureau Veritas 2024 Universal Registration Document (IFRS), p.382 – Diluted EPS FY23: EUR 1.10
[Converted to USD at the 2023 average EUR rate, FX!B7; value above is in EUR m.]</t>
        </r>
      </text>
    </comment>
    <comment ref="X309" authorId="0">
      <text>
        <r>
          <rPr>
            <sz val="10"/>
            <rFont val="Arial"/>
            <family val="2"/>
          </rPr>
          <t xml:space="preserve">Hand spread: reporting currency of the financial statements = EUR.</t>
        </r>
      </text>
    </comment>
    <comment ref="X313" authorId="0">
      <text>
        <r>
          <rPr>
            <sz val="10"/>
            <rFont val="Arial"/>
            <family val="2"/>
          </rPr>
          <t xml:space="preserve">Hand spread: ECB spot USD per EUR at this column's pricing date (row 2) – FX tab.</t>
        </r>
      </text>
    </comment>
    <comment ref="X315" authorId="0">
      <text>
        <r>
          <rPr>
            <sz val="10"/>
            <rFont val="Arial"/>
            <family val="2"/>
          </rPr>
          <t xml:space="preserve">Hand spread: balance sheet date of the latest filing (Bureau Veritas 2026 Half-Year Financial Report (condensed consolidated FS at 30-Jun-26, IFRS)).</t>
        </r>
      </text>
    </comment>
    <comment ref="X316" authorId="0">
      <text>
        <r>
          <rPr>
            <sz val="10"/>
            <rFont val="Arial"/>
            <family val="2"/>
          </rPr>
          <t xml:space="preserve">Hand spread: ECB spot USD per EUR at the 30-Jun-26 balance sheet date – FX tab.</t>
        </r>
      </text>
    </comment>
    <comment ref="X327" authorId="0">
      <text>
        <r>
          <rPr>
            <sz val="10"/>
            <rFont val="Arial"/>
            <family val="2"/>
          </rPr>
          <t xml:space="preserve">Hand spread: Bureau Veritas 2025 Universal Registration Document (IFRS), p.436 (Note 15 Leases) – Depreciation charged against right-of-use assets FY25: EUR 132.3m. Used as LTM proxy (H1 split not disclosed).</t>
        </r>
      </text>
    </comment>
    <comment ref="X328" authorId="0">
      <text>
        <r>
          <rPr>
            <sz val="10"/>
            <rFont val="Arial"/>
            <family val="2"/>
          </rPr>
          <t xml:space="preserve">Hand spread: Bureau Veritas 2025 Universal Registration Document (IFRS), p.458 (Note – financial instruments, interest on lease liabilities) FY25: EUR 22.4m. Used as LTM proxy.</t>
        </r>
      </text>
    </comment>
    <comment ref="X339" authorId="0">
      <text>
        <r>
          <rPr>
            <sz val="10"/>
            <rFont val="Arial"/>
            <family val="2"/>
          </rPr>
          <t xml:space="preserve">Hand spread: Bureau Veritas 2025 Universal Registration Document (IFRS), p.410 – Consolidated cash flow – Purchases of PP&amp;E and intangible assets FY25: EUR 147.0m
[Converted to USD at the 2025 average EUR rate, FX!D7; value above is in EUR m.]</t>
        </r>
      </text>
    </comment>
    <comment ref="X340" authorId="0">
      <text>
        <r>
          <rPr>
            <sz val="10"/>
            <rFont val="Arial"/>
            <family val="2"/>
          </rPr>
          <t xml:space="preserve">Hand spread: Bureau Veritas 2025 Universal Registration Document (IFRS), p.410 – Purchases of PP&amp;E and intangible assets FY24: EUR 145.9m
[Converted to USD at the 2024 average EUR rate, FX!C7; value above is in EUR m.]</t>
        </r>
      </text>
    </comment>
    <comment ref="X341" authorId="0">
      <text>
        <r>
          <rPr>
            <sz val="10"/>
            <rFont val="Arial"/>
            <family val="2"/>
          </rPr>
          <t xml:space="preserve">Hand spread: Bureau Veritas 2024 Universal Registration Document (IFRS), p.386 – Purchases of PP&amp;E and intangible assets FY23: EUR 157.6m
[Converted to USD at the 2023 average EUR rate, FX!B7; value above is in EUR m.]</t>
        </r>
      </text>
    </comment>
    <comment ref="Y2" authorId="0">
      <text>
        <r>
          <rPr>
            <sz val="10"/>
            <rFont val="Arial"/>
            <family val="2"/>
          </rPr>
          <t xml:space="preserve">Hunt, Jeremy:
UNAFFECTED PRICING DATE OVERRIDE (Intertek only): 9-Apr-2026 = last trading day before EQT's initial £51.50 proposal was received (10-Apr-26); offer period began with EQT's Rule 2.4 announcement (Intertek response RNS 16-Apr-26); recommended £60.00 cash offer announced under Rule 2.7 on 18-Jun-26. EQT itself references the 1-month VWAP to 9-Apr-26 as the unaffected reference. All Intertek market data in this column (price, market cap, FX) is therefore as of 9-Apr-26 while other peers are at the Cover date. Sources: https://www.investegate.co.uk/announcement/rns/intertek-group--itrk/response-to-possible-offer-announcement-by-eqt/9524268 ; https://www.intertek.com/siteassets/investors/offer/rule-2.7-announcement-dated-18-june-2026.pdf</t>
        </r>
      </text>
    </comment>
    <comment ref="Y13" authorId="0">
      <text>
        <r>
          <rPr>
            <sz val="10"/>
            <rFont val="Arial"/>
            <family val="2"/>
          </rPr>
          <t xml:space="preserve">Latest filing used for the balance sheet / share data. See cell notes for every figure and the "Spread Notes" tab.</t>
        </r>
      </text>
    </comment>
    <comment ref="Y43" authorId="0">
      <text>
        <r>
          <rPr>
            <sz val="10"/>
            <rFont val="Arial"/>
            <family val="2"/>
          </rPr>
          <t xml:space="preserve">Hand spread: Intertek 2026 Half-year Financial Report RNS (31-Jul-26; condensed consolidated interim FS at 30-Jun-26, IFRS) – rendered PDF, PDF p.19 – Condensed consolidated statement of financial position – Cash and cash equivalents: GBP 438.6m</t>
        </r>
      </text>
    </comment>
    <comment ref="Y44" authorId="0">
      <text>
        <r>
          <rPr>
            <sz val="10"/>
            <rFont val="Arial"/>
            <family val="2"/>
          </rPr>
          <t xml:space="preserve">Hand spread: Intertek 2026 Half-year Financial Report RNS (31-Jul-26; condensed consolidated interim FS at 30-Jun-26, IFRS) – rendered PDF – no short-term investments.</t>
        </r>
      </text>
    </comment>
    <comment ref="Y46" authorId="0">
      <text>
        <r>
          <rPr>
            <sz val="10"/>
            <rFont val="Arial"/>
            <family val="2"/>
          </rPr>
          <t xml:space="preserve">Hand spread: Intertek 2026 Half-year Financial Report RNS (31-Jul-26; condensed consolidated interim FS at 30-Jun-26, IFRS) – rendered PDF – balance sheet: no investments in associates / joint ventures (equity-accounted) shown.</t>
        </r>
      </text>
    </comment>
    <comment ref="Y55" authorId="0">
      <text>
        <r>
          <rPr>
            <sz val="10"/>
            <rFont val="Arial"/>
            <family val="2"/>
          </rPr>
          <t xml:space="preserve">Hand spread: Intertek 2026 Half-year Financial Report RNS (31-Jul-26; condensed consolidated interim FS at 30-Jun-26, IFRS) – rendered PDF, PDF p.19 – Current interest bearing loans and borrowings: GBP 276.7m</t>
        </r>
      </text>
    </comment>
    <comment ref="Y56" authorId="0">
      <text>
        <r>
          <rPr>
            <sz val="10"/>
            <rFont val="Arial"/>
            <family val="2"/>
          </rPr>
          <t xml:space="preserve">Hand spread: Intertek 2026 Half-year Financial Report RNS (31-Jul-26; condensed consolidated interim FS at 30-Jun-26, IFRS) – rendered PDF, PDF p.20 – Non-current interest bearing loans and borrowings: GBP 1,307.4m (total borrowings 1,580.2 incl. fees, note 7 PDF p.28)</t>
        </r>
      </text>
    </comment>
    <comment ref="Y58" authorId="0">
      <text>
        <r>
          <rPr>
            <sz val="10"/>
            <rFont val="Arial"/>
            <family val="2"/>
          </rPr>
          <t xml:space="preserve">Hand spread: Intertek 2026 Half-year Financial Report RNS (31-Jul-26; condensed consolidated interim FS at 30-Jun-26, IFRS) – rendered PDF, PDF p.20 [calc] – IFRS 16 lease liabilities: current 73.6 + non-current 245.7 = GBP 319.3m (agrees to note 7, PDF p.28). Reversed in rows 62/63.</t>
        </r>
      </text>
    </comment>
    <comment ref="Y62" authorId="0">
      <text>
        <r>
          <rPr>
            <sz val="10"/>
            <rFont val="Arial"/>
            <family val="2"/>
          </rPr>
          <t xml:space="preserve">Hand spread: IFRS 16 lease liabilities = row 58 (other debt) – see row 58 note for source. Reversed in row 63 when the pre-IFRS 16 toggle (F5) = 1.</t>
        </r>
      </text>
    </comment>
    <comment ref="Y70" authorId="0">
      <text>
        <r>
          <rPr>
            <sz val="10"/>
            <rFont val="Arial"/>
            <family val="2"/>
          </rPr>
          <t xml:space="preserve">Hand spread: Intertek 2026 Half-year Financial Report RNS (31-Jul-26; condensed consolidated interim FS at 30-Jun-26, IFRS) – rendered PDF, PDF p.19-20 &amp; note 6 (PDF p.28) [calc] – Swiss DB pension liability 2.5 less UK DB pension asset 31.6 = net ASSET GBP 29.1m (entered negative)</t>
        </r>
      </text>
    </comment>
    <comment ref="Y71" authorId="0">
      <text>
        <r>
          <rPr>
            <sz val="10"/>
            <rFont val="Arial"/>
            <family val="2"/>
          </rPr>
          <t xml:space="preserve">Statutory tax rate 25.00% for UNITED KINGDOM, from the "Tax Rates" tab of the external LGC – WACC and Trading Comps_v2.xlsx (external link removed; cached value kept). Used only to tax-effect the pension deficit (row 72).</t>
        </r>
      </text>
    </comment>
    <comment ref="Y74" authorId="0">
      <text>
        <r>
          <rPr>
            <sz val="10"/>
            <rFont val="Arial"/>
            <family val="2"/>
          </rPr>
          <t xml:space="preserve">Hand spread: Intertek 2026 Half-year Financial Report RNS (31-Jul-26; condensed consolidated interim FS at 30-Jun-26, IFRS) – rendered PDF, PDF p.20 – Non-controlling interest: GBP 41.4m</t>
        </r>
      </text>
    </comment>
    <comment ref="Y77" authorId="0">
      <text>
        <r>
          <rPr>
            <sz val="10"/>
            <rFont val="Arial"/>
            <family val="2"/>
          </rPr>
          <t xml:space="preserve">Hand spread: Intertek 2026 Half-year Financial Report RNS (31-Jul-26; condensed consolidated interim FS at 30-Jun-26, IFRS) – rendered PDF – no preferred shares.</t>
        </r>
      </text>
    </comment>
    <comment ref="Y81" authorId="0">
      <text>
        <r>
          <rPr>
            <sz val="10"/>
            <rFont val="Arial"/>
            <family val="2"/>
          </rPr>
          <t xml:space="preserve">Hand spread: Intertek 2026 Half-year Financial Report RNS (31-Jul-26; condensed consolidated interim FS at 30-Jun-26, IFRS) – rendered PDF, PDF p.20 – Total equity attributable to equity holders of the Company: GBP 1,061.0m</t>
        </r>
      </text>
    </comment>
    <comment ref="Y137" authorId="0">
      <text>
        <r>
          <rPr>
            <sz val="10"/>
            <rFont val="Arial"/>
            <family val="2"/>
          </rPr>
          <t xml:space="preserve">Hand spread: EQT/Isotope Bidco Rule 2.7 Announcement (18-Jun-26), Appendix 2 (Sources and bases), para 2-3 (PDF p.36) [calc] – 153,931,794 Intertek Shares in issue at Latest Practicable Date (~17-Jun-26) less 529,238 shares held in the Employee Benefit Trust = 153,402,556 (EBT shares available to satisfy awards)</t>
        </r>
      </text>
    </comment>
    <comment ref="Y159" authorId="0">
      <text>
        <r>
          <rPr>
            <sz val="10"/>
            <rFont val="Arial"/>
            <family val="2"/>
          </rPr>
          <t xml:space="preserve">Hand spread: EQT/Isotope Bidco Rule 2.7 Announcement (18-Jun-26), Appendix 2 (Sources and bases), para 3(b) – 1,752,140 Intertek Shares issuable under awards outstanding under the Intertek Share Schemes (nil-cost). Basic + awards = 155,154,696 fully diluted per the 2.7 announcement.</t>
        </r>
      </text>
    </comment>
    <comment ref="Y189" authorId="0">
      <text>
        <r>
          <rPr>
            <sz val="10"/>
            <rFont val="Arial"/>
            <family val="2"/>
          </rPr>
          <t xml:space="preserve">Hand spread: Intertek 2026 Half-year Financial Report RNS (31-Jul-26; condensed consolidated interim FS at 30-Jun-26, IFRS) – rendered PDF – fiscal year ends 31 December.</t>
        </r>
      </text>
    </comment>
    <comment ref="Y192" authorId="0">
      <text>
        <r>
          <rPr>
            <sz val="10"/>
            <rFont val="Arial"/>
            <family val="2"/>
          </rPr>
          <t xml:space="preserve">Kim, Justin G.:
Most companies will end their fiscal year in December; however companies like Takeda report Fiscal Year end on a different quarter - this requires you to recalendarize the line items so they are apples-to-apples with other companies ending their FY in December 31</t>
        </r>
      </text>
    </comment>
    <comment ref="Y205" authorId="0">
      <text>
        <r>
          <rPr>
            <sz val="10"/>
            <rFont val="Arial"/>
            <family val="2"/>
          </rPr>
          <t xml:space="preserve">Hand spread: Intertek Annual Report &amp; Accounts 2025 (FCA NSM copy; Financial Report pages 3.xx), p.3.01 – Consolidated income statement – Revenue FY25: GBP 3,431.6m
[Converted to USD at the 2025 average GBP rate, FX!D8; value above is in GBP m.]</t>
        </r>
      </text>
    </comment>
    <comment ref="Y206" authorId="0">
      <text>
        <r>
          <rPr>
            <sz val="10"/>
            <rFont val="Arial"/>
            <family val="2"/>
          </rPr>
          <t xml:space="preserve">Hand spread: Intertek Annual Report &amp; Accounts 2025 (FCA NSM copy; Financial Report pages 3.xx), p.3.01 – Revenue FY24: GBP 3,393.2m
[Converted to USD at the 2024 average GBP rate, FX!C8; value above is in GBP m.]</t>
        </r>
      </text>
    </comment>
    <comment ref="Y207" authorId="0">
      <text>
        <r>
          <rPr>
            <sz val="10"/>
            <rFont val="Arial"/>
            <family val="2"/>
          </rPr>
          <t xml:space="preserve">Hand spread: Intertek 2024 Full Year Results RNS (4-Mar-25) – rendered PDF, PDF p.26 – Consolidated income statement – Revenue FY23: GBP 3,328.7m
[Converted to USD at the 2023 average GBP rate, FX!B8; value above is in GBP m.]</t>
        </r>
      </text>
    </comment>
    <comment ref="Y215" authorId="0">
      <text>
        <r>
          <rPr>
            <sz val="10"/>
            <rFont val="Arial"/>
            <family val="2"/>
          </rPr>
          <t xml:space="preserve">Hand spread: Intertek Annual Report &amp; Accounts 2025 (FCA NSM copy; Financial Report pages 3.xx) p.3.01 / Intertek 2024 Full Year Results RNS (4-Mar-25) – rendered PDF – Intertek reports operating costs in aggregate – no gross profit, R&amp;D or SG&amp;A line is reported; left blank (n.a.).</t>
        </r>
      </text>
    </comment>
    <comment ref="Y216" authorId="0">
      <text>
        <r>
          <rPr>
            <sz val="10"/>
            <rFont val="Arial"/>
            <family val="2"/>
          </rPr>
          <t xml:space="preserve">Hand spread: Intertek Annual Report &amp; Accounts 2025 (FCA NSM copy; Financial Report pages 3.xx) p.3.01 / Intertek 2024 Full Year Results RNS (4-Mar-25) – rendered PDF – Intertek reports operating costs in aggregate – no gross profit, R&amp;D or SG&amp;A line is reported; left blank (n.a.).</t>
        </r>
      </text>
    </comment>
    <comment ref="Y217" authorId="0">
      <text>
        <r>
          <rPr>
            <sz val="10"/>
            <rFont val="Arial"/>
            <family val="2"/>
          </rPr>
          <t xml:space="preserve">Hand spread: Intertek Annual Report &amp; Accounts 2025 (FCA NSM copy; Financial Report pages 3.xx) p.3.01 / Intertek 2024 Full Year Results RNS (4-Mar-25) – rendered PDF – Intertek reports operating costs in aggregate – no gross profit, R&amp;D or SG&amp;A line is reported; left blank (n.a.).</t>
        </r>
      </text>
    </comment>
    <comment ref="Y225" authorId="0">
      <text>
        <r>
          <rPr>
            <sz val="10"/>
            <rFont val="Arial"/>
            <family val="2"/>
          </rPr>
          <t xml:space="preserve">Hand spread: Intertek Annual Report &amp; Accounts 2025 (FCA NSM copy; Financial Report pages 3.xx) p.3.01 / Intertek 2024 Full Year Results RNS (4-Mar-25) – rendered PDF – Intertek reports operating costs in aggregate – no gross profit, R&amp;D or SG&amp;A line is reported; left blank (n.a.).</t>
        </r>
      </text>
    </comment>
    <comment ref="Y226" authorId="0">
      <text>
        <r>
          <rPr>
            <sz val="10"/>
            <rFont val="Arial"/>
            <family val="2"/>
          </rPr>
          <t xml:space="preserve">Hand spread: Intertek Annual Report &amp; Accounts 2025 (FCA NSM copy; Financial Report pages 3.xx) p.3.01 / Intertek 2024 Full Year Results RNS (4-Mar-25) – rendered PDF – Intertek reports operating costs in aggregate – no gross profit, R&amp;D or SG&amp;A line is reported; left blank (n.a.).</t>
        </r>
      </text>
    </comment>
    <comment ref="Y227" authorId="0">
      <text>
        <r>
          <rPr>
            <sz val="10"/>
            <rFont val="Arial"/>
            <family val="2"/>
          </rPr>
          <t xml:space="preserve">Hand spread: Intertek Annual Report &amp; Accounts 2025 (FCA NSM copy; Financial Report pages 3.xx) p.3.01 / Intertek 2024 Full Year Results RNS (4-Mar-25) – rendered PDF – Intertek reports operating costs in aggregate – no gross profit, R&amp;D or SG&amp;A line is reported; left blank (n.a.).</t>
        </r>
      </text>
    </comment>
    <comment ref="Y235" authorId="0">
      <text>
        <r>
          <rPr>
            <sz val="10"/>
            <rFont val="Arial"/>
            <family val="2"/>
          </rPr>
          <t xml:space="preserve">Hand spread: Intertek Annual Report &amp; Accounts 2025 (FCA NSM copy; Financial Report pages 3.xx) p.3.01 / Intertek 2024 Full Year Results RNS (4-Mar-25) – rendered PDF – Intertek reports operating costs in aggregate – no gross profit, R&amp;D or SG&amp;A line is reported; left blank (n.a.).</t>
        </r>
      </text>
    </comment>
    <comment ref="Y236" authorId="0">
      <text>
        <r>
          <rPr>
            <sz val="10"/>
            <rFont val="Arial"/>
            <family val="2"/>
          </rPr>
          <t xml:space="preserve">Hand spread: Intertek Annual Report &amp; Accounts 2025 (FCA NSM copy; Financial Report pages 3.xx) p.3.01 / Intertek 2024 Full Year Results RNS (4-Mar-25) – rendered PDF – Intertek reports operating costs in aggregate – no gross profit, R&amp;D or SG&amp;A line is reported; left blank (n.a.).</t>
        </r>
      </text>
    </comment>
    <comment ref="Y237" authorId="0">
      <text>
        <r>
          <rPr>
            <sz val="10"/>
            <rFont val="Arial"/>
            <family val="2"/>
          </rPr>
          <t xml:space="preserve">Hand spread: Intertek Annual Report &amp; Accounts 2025 (FCA NSM copy; Financial Report pages 3.xx) p.3.01 / Intertek 2024 Full Year Results RNS (4-Mar-25) – rendered PDF – Intertek reports operating costs in aggregate – no gross profit, R&amp;D or SG&amp;A line is reported; left blank (n.a.).</t>
        </r>
      </text>
    </comment>
    <comment ref="Y245" authorId="0">
      <text>
        <r>
          <rPr>
            <sz val="10"/>
            <rFont val="Arial"/>
            <family val="2"/>
          </rPr>
          <t xml:space="preserve">Hand spread: Intertek Annual Report &amp; Accounts 2025 (FCA NSM copy; Financial Report pages 3.xx), p.3.01 – Group operating profit (statutory, after separately disclosed items) FY25: GBP 542.3m
[Converted to USD at the 2025 average GBP rate, FX!D8; value above is in GBP m.]</t>
        </r>
      </text>
    </comment>
    <comment ref="Y246" authorId="0">
      <text>
        <r>
          <rPr>
            <sz val="10"/>
            <rFont val="Arial"/>
            <family val="2"/>
          </rPr>
          <t xml:space="preserve">Hand spread: Intertek Annual Report &amp; Accounts 2025 (FCA NSM copy; Financial Report pages 3.xx), p.3.01 – Group operating profit FY24: GBP 535.7m
[Converted to USD at the 2024 average GBP rate, FX!C8; value above is in GBP m.]</t>
        </r>
      </text>
    </comment>
    <comment ref="Y247" authorId="0">
      <text>
        <r>
          <rPr>
            <sz val="10"/>
            <rFont val="Arial"/>
            <family val="2"/>
          </rPr>
          <t xml:space="preserve">Hand spread: Intertek 2024 Full Year Results RNS (4-Mar-25) – rendered PDF, PDF p.26 – Group operating profit FY23: GBP 486.2m
[Converted to USD at the 2023 average GBP rate, FX!B8; value above is in GBP m.]</t>
        </r>
      </text>
    </comment>
    <comment ref="Y265" authorId="0">
      <text>
        <r>
          <rPr>
            <sz val="10"/>
            <rFont val="Arial"/>
            <family val="2"/>
          </rPr>
          <t xml:space="preserve">Hand spread: Intertek Annual Report &amp; Accounts 2025 (FCA NSM copy; Financial Report pages 3.xx) [calc] – EBITDA FY25 = operating profit 542.3 (p.3.01) + depreciation 150.8 + software amortisation 16.2 + acquisition intangibles amortisation 35.9 + impairment 5.3 (cash flow, p.3.06) = GBP 750.5m
[Converted to USD at the 2025 average GBP rate, FX!D8; value above is in GBP m.]</t>
        </r>
      </text>
    </comment>
    <comment ref="Y266" authorId="0">
      <text>
        <r>
          <rPr>
            <sz val="10"/>
            <rFont val="Arial"/>
            <family val="2"/>
          </rPr>
          <t xml:space="preserve">Hand spread: Intertek Annual Report &amp; Accounts 2025 (FCA NSM copy; Financial Report pages 3.xx) [calc] – EBITDA FY24 = 535.7 + 144.4 + 17.3 + 32.3 + 6.9 (p.3.06) = GBP 736.6m
[Converted to USD at the 2024 average GBP rate, FX!C8; value above is in GBP m.]</t>
        </r>
      </text>
    </comment>
    <comment ref="Y267" authorId="0">
      <text>
        <r>
          <rPr>
            <sz val="10"/>
            <rFont val="Arial"/>
            <family val="2"/>
          </rPr>
          <t xml:space="preserve">Hand spread: Intertek 2024 Full Year Results RNS (4-Mar-25) – rendered PDF [calc] – EBITDA FY23 = 486.2 (PDF p.26) + depreciation 156.0 + software 19.3 + acquisition intangibles 34.2 + impairment 2.6 (cash flow, PDF p.29) = GBP 698.3m
[Converted to USD at the 2023 average GBP rate, FX!B8; value above is in GBP m.]</t>
        </r>
      </text>
    </comment>
    <comment ref="Y285" authorId="0">
      <text>
        <r>
          <rPr>
            <sz val="10"/>
            <rFont val="Arial"/>
            <family val="2"/>
          </rPr>
          <t xml:space="preserve">Hand spread: Intertek Annual Report &amp; Accounts 2025 (FCA NSM copy; Financial Report pages 3.xx), p.3.01 – Profit attributable to equity holders FY25: GBP 343.5m
[Converted to USD at the 2025 average GBP rate, FX!D8; value above is in GBP m.]</t>
        </r>
      </text>
    </comment>
    <comment ref="Y286" authorId="0">
      <text>
        <r>
          <rPr>
            <sz val="10"/>
            <rFont val="Arial"/>
            <family val="2"/>
          </rPr>
          <t xml:space="preserve">Hand spread: Intertek Annual Report &amp; Accounts 2025 (FCA NSM copy; Financial Report pages 3.xx), p.3.01 – Profit attributable to equity holders FY24: GBP 345.4m
[Converted to USD at the 2024 average GBP rate, FX!C8; value above is in GBP m.]</t>
        </r>
      </text>
    </comment>
    <comment ref="Y287" authorId="0">
      <text>
        <r>
          <rPr>
            <sz val="10"/>
            <rFont val="Arial"/>
            <family val="2"/>
          </rPr>
          <t xml:space="preserve">Hand spread: Intertek 2024 Full Year Results RNS (4-Mar-25) – rendered PDF, PDF p.26 – Profit attributable to equity holders FY23: GBP 297.4m
[Converted to USD at the 2023 average GBP rate, FX!B8; value above is in GBP m.]</t>
        </r>
      </text>
    </comment>
    <comment ref="Y295" authorId="0">
      <text>
        <r>
          <rPr>
            <sz val="10"/>
            <rFont val="Arial"/>
            <family val="2"/>
          </rPr>
          <t xml:space="preserve">Hand spread: Intertek Annual Report &amp; Accounts 2025 (FCA NSM copy; Financial Report pages 3.xx), p.3.01 – Diluted EPS FY25: 216.0p = GBP 2.160
[Converted to USD at the 2025 average GBP rate, FX!D8; value above is in GBP m.]</t>
        </r>
      </text>
    </comment>
    <comment ref="Y296" authorId="0">
      <text>
        <r>
          <rPr>
            <sz val="10"/>
            <rFont val="Arial"/>
            <family val="2"/>
          </rPr>
          <t xml:space="preserve">Hand spread: Intertek Annual Report &amp; Accounts 2025 (FCA NSM copy; Financial Report pages 3.xx), p.3.01 – Diluted EPS FY24: 212.7p = GBP 2.127
[Converted to USD at the 2024 average GBP rate, FX!C8; value above is in GBP m.]</t>
        </r>
      </text>
    </comment>
    <comment ref="Y297" authorId="0">
      <text>
        <r>
          <rPr>
            <sz val="10"/>
            <rFont val="Arial"/>
            <family val="2"/>
          </rPr>
          <t xml:space="preserve">Hand spread: Intertek 2024 Full Year Results RNS (4-Mar-25) – rendered PDF, PDF p.26 – Diluted EPS FY23: 183.4p = GBP 1.834
[Converted to USD at the 2023 average GBP rate, FX!B8; value above is in GBP m.]</t>
        </r>
      </text>
    </comment>
    <comment ref="Y309" authorId="0">
      <text>
        <r>
          <rPr>
            <sz val="10"/>
            <rFont val="Arial"/>
            <family val="2"/>
          </rPr>
          <t xml:space="preserve">Hand spread: reporting currency of the financial statements = GBP.</t>
        </r>
      </text>
    </comment>
    <comment ref="Y313" authorId="0">
      <text>
        <r>
          <rPr>
            <sz val="10"/>
            <rFont val="Arial"/>
            <family val="2"/>
          </rPr>
          <t xml:space="preserve">Hand spread: ECB spot USD per GBP at this column's pricing date (row 2) – FX tab.</t>
        </r>
      </text>
    </comment>
    <comment ref="Y315" authorId="0">
      <text>
        <r>
          <rPr>
            <sz val="10"/>
            <rFont val="Arial"/>
            <family val="2"/>
          </rPr>
          <t xml:space="preserve">Hand spread: balance sheet date of the latest filing (Intertek 2026 Half-year Financial Report RNS (31-Jul-26; condensed consolidated interim FS at 30-Jun-26, IFRS) – rendered PDF).</t>
        </r>
      </text>
    </comment>
    <comment ref="Y316" authorId="0">
      <text>
        <r>
          <rPr>
            <sz val="10"/>
            <rFont val="Arial"/>
            <family val="2"/>
          </rPr>
          <t xml:space="preserve">Hand spread: ECB spot USD per GBP at the 30-Jun-26 balance sheet date – FX tab.</t>
        </r>
      </text>
    </comment>
    <comment ref="Y327" authorId="0">
      <text>
        <r>
          <rPr>
            <sz val="10"/>
            <rFont val="Arial"/>
            <family val="2"/>
          </rPr>
          <t xml:space="preserve">Hand spread: PROXY [calc] – Intertek does not disclose the ROU depreciation charge (AR25 note 8 shows only net NBV movements). Lease principal repayments used: Intertek Annual Report &amp; Accounts 2025 (FCA NSM copy; Financial Report pages 3.xx) p.3.06 FY25 78.4 + Intertek 2026 Half-year Financial Report RNS (31-Jul-26; condensed consolidated interim FS at 30-Jun-26, IFRS) – rendered PDF PDF p.22 H1-26 39.3 – H1-25 37.6 = GBP 80.1m (matches lease cash cost)</t>
        </r>
      </text>
    </comment>
    <comment ref="Y328" authorId="0">
      <text>
        <r>
          <rPr>
            <sz val="10"/>
            <rFont val="Arial"/>
            <family val="2"/>
          </rPr>
          <t xml:space="preserve">Hand spread: Intertek Annual Report &amp; Accounts 2025 (FCA NSM copy; Financial Report pages 3.xx), p.3.28 (Note 14 finance expense) – Leases – IFRS 16 interest FY25: GBP 11.5m (H1 split not disclosed; FY25 used as LTM proxy)</t>
        </r>
      </text>
    </comment>
    <comment ref="Y339" authorId="0">
      <text>
        <r>
          <rPr>
            <sz val="10"/>
            <rFont val="Arial"/>
            <family val="2"/>
          </rPr>
          <t xml:space="preserve">Hand spread: Intertek Annual Report &amp; Accounts 2025 (FCA NSM copy; Financial Report pages 3.xx), p.3.06 – Acquisition of property, plant, equipment and software FY25: GBP 144.5m
[Converted to USD at the 2025 average GBP rate, FX!D8; value above is in GBP m.]</t>
        </r>
      </text>
    </comment>
    <comment ref="Y340" authorId="0">
      <text>
        <r>
          <rPr>
            <sz val="10"/>
            <rFont val="Arial"/>
            <family val="2"/>
          </rPr>
          <t xml:space="preserve">Hand spread: Intertek Annual Report &amp; Accounts 2025 (FCA NSM copy; Financial Report pages 3.xx), p.3.06 – Acquisition of PP&amp;E and software FY24: GBP 135.0m
[Converted to USD at the 2024 average GBP rate, FX!C8; value above is in GBP m.]</t>
        </r>
      </text>
    </comment>
    <comment ref="Y341" authorId="0">
      <text>
        <r>
          <rPr>
            <sz val="10"/>
            <rFont val="Arial"/>
            <family val="2"/>
          </rPr>
          <t xml:space="preserve">Hand spread: Intertek 2024 Full Year Results RNS (4-Mar-25) – rendered PDF, PDF p.29 – Acquisition of PP&amp;E and software FY23: GBP 116.9m
[Converted to USD at the 2023 average GBP rate, FX!B8; value above is in GBP m.]</t>
        </r>
      </text>
    </comment>
    <comment ref="Z13" authorId="0">
      <text>
        <r>
          <rPr>
            <sz val="10"/>
            <rFont val="Arial"/>
            <family val="2"/>
          </rPr>
          <t xml:space="preserve">Latest filing used for the balance sheet / share data. See cell notes for every figure and the "Spread Notes" tab.</t>
        </r>
      </text>
    </comment>
    <comment ref="Z43" authorId="0">
      <text>
        <r>
          <rPr>
            <sz val="10"/>
            <rFont val="Arial"/>
            <family val="2"/>
          </rPr>
          <t xml:space="preserve">Hand spread: Waters Form 10-Q, quarter ended 4-Jul-26, p.3 – Condensed Consolidated Balance Sheets – Cash and cash equivalents: 539.0</t>
        </r>
      </text>
    </comment>
    <comment ref="Z44" authorId="0">
      <text>
        <r>
          <rPr>
            <sz val="10"/>
            <rFont val="Arial"/>
            <family val="2"/>
          </rPr>
          <t xml:space="preserve">Hand spread: Waters Form 10-Q, quarter ended 4-Jul-26, p.3 – no investments line on balance sheet at 4-Jul-26.</t>
        </r>
      </text>
    </comment>
    <comment ref="Z46" authorId="0">
      <text>
        <r>
          <rPr>
            <sz val="10"/>
            <rFont val="Arial"/>
            <family val="2"/>
          </rPr>
          <t xml:space="preserve">Hand spread: Waters Form 10-Q, quarter ended 4-Jul-26 – balance sheet: no investments in associates / joint ventures (equity-accounted) shown.</t>
        </r>
      </text>
    </comment>
    <comment ref="Z55" authorId="0">
      <text>
        <r>
          <rPr>
            <sz val="10"/>
            <rFont val="Arial"/>
            <family val="2"/>
          </rPr>
          <t xml:space="preserve">Hand spread: Waters Form 10-Q, quarter ended 4-Jul-26, p.3 – Condensed Consolidated Balance Sheets – Notes payable and debt (current): 200.0</t>
        </r>
      </text>
    </comment>
    <comment ref="Z56" authorId="0">
      <text>
        <r>
          <rPr>
            <sz val="10"/>
            <rFont val="Arial"/>
            <family val="2"/>
          </rPr>
          <t xml:space="preserve">Hand spread: Waters Form 10-Q, quarter ended 4-Jul-26, p.3 – Condensed Consolidated Balance Sheets – Long-term debt (incl. $4.0bn SpinCo debt assumed in BDS Business Acquisition; total principal 5,100 per p.25): 4,886.0</t>
        </r>
      </text>
    </comment>
    <comment ref="Z58" authorId="0">
      <text>
        <r>
          <rPr>
            <sz val="10"/>
            <rFont val="Arial"/>
            <family val="2"/>
          </rPr>
          <t xml:space="preserve">Hand spread: Waters Form 10-Q, quarter ended 4-Jul-26 – no finance lease debt separately reported; operating leases (ASC 842) not debt – consistent with pre-IFRS 16 basis.</t>
        </r>
      </text>
    </comment>
    <comment ref="Z62" authorId="0">
      <text>
        <r>
          <rPr>
            <sz val="10"/>
            <rFont val="Arial"/>
            <family val="2"/>
          </rPr>
          <t xml:space="preserve">Hand spread: US GAAP reporter – no IFRS 16 lease liabilities to strip (operating lease liabilities excluded from debt).</t>
        </r>
      </text>
    </comment>
    <comment ref="Z70" authorId="0">
      <text>
        <r>
          <rPr>
            <sz val="10"/>
            <rFont val="Arial"/>
            <family val="2"/>
          </rPr>
          <t xml:space="preserve">Hand spread: Waters Form 10-Q, quarter ended 4-Jul-26, p.3 – Condensed Consolidated Balance Sheets – Long-term portion of retirement benefits (post-BDS combination; funded status not updated in 10-Q – FY25 10-K funded status p.101 was a 5.2 net deficit pre-combination): 59</t>
        </r>
      </text>
    </comment>
    <comment ref="Z71" authorId="0">
      <text>
        <r>
          <rPr>
            <sz val="10"/>
            <rFont val="Arial"/>
            <family val="2"/>
          </rPr>
          <t xml:space="preserve">Statutory tax rate 21.00% for UNITED STATES, from the "Tax Rates" tab of the external LGC – WACC and Trading Comps_v2.xlsx (external link removed; cached value kept). Used only to tax-effect the pension deficit (row 72).</t>
        </r>
      </text>
    </comment>
    <comment ref="Z74" authorId="0">
      <text>
        <r>
          <rPr>
            <sz val="10"/>
            <rFont val="Arial"/>
            <family val="2"/>
          </rPr>
          <t xml:space="preserve">Hand spread: Waters Form 10-Q, quarter ended 4-Jul-26, p.3 – no noncontrolling interest.</t>
        </r>
      </text>
    </comment>
    <comment ref="Z77" authorId="0">
      <text>
        <r>
          <rPr>
            <sz val="10"/>
            <rFont val="Arial"/>
            <family val="2"/>
          </rPr>
          <t xml:space="preserve">Hand spread: Waters Form 10-Q, quarter ended 4-Jul-26, p.3 – Preferred stock: none issued.</t>
        </r>
      </text>
    </comment>
    <comment ref="Z81" authorId="0">
      <text>
        <r>
          <rPr>
            <sz val="10"/>
            <rFont val="Arial"/>
            <family val="2"/>
          </rPr>
          <t xml:space="preserve">Hand spread: Waters Form 10-Q, quarter ended 4-Jul-26, p.3 – Condensed Consolidated Balance Sheets – Total stockholders' equity: 15,195.0</t>
        </r>
      </text>
    </comment>
    <comment ref="Z137" authorId="0">
      <text>
        <r>
          <rPr>
            <sz val="10"/>
            <rFont val="Arial"/>
            <family val="2"/>
          </rPr>
          <t xml:space="preserve">Hand spread: Waters Form 10-Q, quarter ended 4-Jul-26, cover page – common stock outstanding at 7-Aug-26: 98,248,111 (includes 38.5m shares issued to BD holders on 9-Feb-26 for the BDS Business Acquisition, p.21).</t>
        </r>
      </text>
    </comment>
    <comment ref="Z152" authorId="0">
      <text>
        <r>
          <rPr>
            <sz val="10"/>
            <rFont val="Arial"/>
            <family val="2"/>
          </rPr>
          <t xml:space="preserve">Hand spread: Waters Form 10-K FY25 (YE 31-Dec-25), p.97 – stock options outstanding at 31-Dec-25: 606 thousand. NOTE: BD replacement SAR/RSU awards issued 9-Feb-26 (10-Q p.21) are not quantified in the 10-Q and are therefore excluded.</t>
        </r>
      </text>
    </comment>
    <comment ref="Z159" authorId="0">
      <text>
        <r>
          <rPr>
            <sz val="10"/>
            <rFont val="Arial"/>
            <family val="2"/>
          </rPr>
          <t xml:space="preserve">Hand spread: Waters Form 10-K FY25 (YE 31-Dec-25), p.98 – unvested restricted stock units at 31-Dec-25: 270 thousand.</t>
        </r>
      </text>
    </comment>
    <comment ref="Z160" authorId="0">
      <text>
        <r>
          <rPr>
            <sz val="10"/>
            <rFont val="Arial"/>
            <family val="2"/>
          </rPr>
          <t xml:space="preserve">Hand spread: Waters Form 10-K FY25 (YE 31-Dec-25), p.99 – unvested performance stock units at 31-Dec-25: 122 thousand.</t>
        </r>
      </text>
    </comment>
    <comment ref="Z164" authorId="0">
      <text>
        <r>
          <rPr>
            <sz val="10"/>
            <rFont val="Arial"/>
            <family val="2"/>
          </rPr>
          <t xml:space="preserve">Hand spread: Waters Form 10-K FY25 (YE 31-Dec-25), p.97 – weighted-average exercise price of options outstanding: $303.53</t>
        </r>
      </text>
    </comment>
    <comment ref="Z189" authorId="0">
      <text>
        <r>
          <rPr>
            <sz val="10"/>
            <rFont val="Arial"/>
            <family val="2"/>
          </rPr>
          <t xml:space="preserve">Hand spread: Waters Form 10-Q, quarter ended 4-Jul-26 – fiscal year ends 31 December.</t>
        </r>
      </text>
    </comment>
    <comment ref="Z192" authorId="0">
      <text>
        <r>
          <rPr>
            <sz val="10"/>
            <rFont val="Arial"/>
            <family val="2"/>
          </rPr>
          <t xml:space="preserve">Kim, Justin G.:
Most companies will end their fiscal year in December; however companies like Takeda report Fiscal Year end on a different quarter - this requires you to recalendarize the line items so they are apples-to-apples with other companies ending their FY in December 31</t>
        </r>
      </text>
    </comment>
    <comment ref="Z205" authorId="0">
      <text>
        <r>
          <rPr>
            <sz val="10"/>
            <rFont val="Arial"/>
            <family val="2"/>
          </rPr>
          <t xml:space="preserve">Hand spread: Waters Form 10-K FY25 (YE 31-Dec-25) (standalone Waters, pre-BDS combination), FY2025 (2025-01-01 to 2025-12-31) – Revenue: Total net sales 3,165.3 (p.65) =&gt; 3,165.3</t>
        </r>
      </text>
    </comment>
    <comment ref="Z206" authorId="0">
      <text>
        <r>
          <rPr>
            <sz val="10"/>
            <rFont val="Arial"/>
            <family val="2"/>
          </rPr>
          <t xml:space="preserve">Hand spread: Waters Form 10-K FY25 (YE 31-Dec-25) (standalone Waters, pre-BDS combination), FY2024 (2024-01-01 to 2024-12-31) – Revenue: Total net sales 2,958.4 (p.65) =&gt; 2,958.4</t>
        </r>
      </text>
    </comment>
    <comment ref="Z207" authorId="0">
      <text>
        <r>
          <rPr>
            <sz val="10"/>
            <rFont val="Arial"/>
            <family val="2"/>
          </rPr>
          <t xml:space="preserve">Hand spread: Waters Form 10-K FY25 (YE 31-Dec-25) (standalone Waters, pre-BDS combination), FY2023 (2023-01-01 to 2023-12-31) – Revenue: Total net sales 2,956.4 (p.65) =&gt; 2,956.4</t>
        </r>
      </text>
    </comment>
    <comment ref="Z215" authorId="0">
      <text>
        <r>
          <rPr>
            <sz val="10"/>
            <rFont val="Arial"/>
            <family val="2"/>
          </rPr>
          <t xml:space="preserve">Hand spread: Waters Form 10-K FY25 (YE 31-Dec-25) (standalone Waters, pre-BDS combination), FY2025 (2025-01-01 to 2025-12-31) – Gross profit [calc]: Total net sales 3,165.3 (p.65) ; less Cost of product sales 820.3 (p.65) ; less Cost of service sales 468.6 (p.65) =&gt; 1,876.5</t>
        </r>
      </text>
    </comment>
    <comment ref="Z216" authorId="0">
      <text>
        <r>
          <rPr>
            <sz val="10"/>
            <rFont val="Arial"/>
            <family val="2"/>
          </rPr>
          <t xml:space="preserve">Hand spread: Waters Form 10-K FY25 (YE 31-Dec-25) (standalone Waters, pre-BDS combination), FY2024 (2024-01-01 to 2024-12-31) – Gross profit [calc]: Total net sales 2,958.4 (p.65) ; less Cost of product sales 747.9 (p.65) ; less Cost of service sales 452.3 (p.65) =&gt; 1,758.2</t>
        </r>
      </text>
    </comment>
    <comment ref="Z217" authorId="0">
      <text>
        <r>
          <rPr>
            <sz val="10"/>
            <rFont val="Arial"/>
            <family val="2"/>
          </rPr>
          <t xml:space="preserve">Hand spread: Waters Form 10-K FY25 (YE 31-Dec-25) (standalone Waters, pre-BDS combination), FY2023 (2023-01-01 to 2023-12-31) – Gross profit [calc]: Total net sales 2,956.4 (p.65) ; less Cost of product sales 766.4 (p.65) ; less Cost of service sales 428.8 (p.65) =&gt; 1,761.2</t>
        </r>
      </text>
    </comment>
    <comment ref="Z225" authorId="0">
      <text>
        <r>
          <rPr>
            <sz val="10"/>
            <rFont val="Arial"/>
            <family val="2"/>
          </rPr>
          <t xml:space="preserve">Hand spread: Waters Form 10-K FY25 (YE 31-Dec-25) (standalone Waters, pre-BDS combination), FY2025 (2025-01-01 to 2025-12-31) – R&amp;D: Research and development expenses 195.7 (p.65) =&gt; 195.7</t>
        </r>
      </text>
    </comment>
    <comment ref="Z226" authorId="0">
      <text>
        <r>
          <rPr>
            <sz val="10"/>
            <rFont val="Arial"/>
            <family val="2"/>
          </rPr>
          <t xml:space="preserve">Hand spread: Waters Form 10-K FY25 (YE 31-Dec-25) (standalone Waters, pre-BDS combination), FY2024 (2024-01-01 to 2024-12-31) – R&amp;D: Research and development expenses 183.0 (p.65) =&gt; 183.0</t>
        </r>
      </text>
    </comment>
    <comment ref="Z227" authorId="0">
      <text>
        <r>
          <rPr>
            <sz val="10"/>
            <rFont val="Arial"/>
            <family val="2"/>
          </rPr>
          <t xml:space="preserve">Hand spread: Waters Form 10-K FY25 (YE 31-Dec-25) (standalone Waters, pre-BDS combination), FY2023 (2023-01-01 to 2023-12-31) – R&amp;D: Research and development expenses 174.9 (p.65) =&gt; 174.9</t>
        </r>
      </text>
    </comment>
    <comment ref="Z235" authorId="0">
      <text>
        <r>
          <rPr>
            <sz val="10"/>
            <rFont val="Arial"/>
            <family val="2"/>
          </rPr>
          <t xml:space="preserve">Hand spread: Waters Form 10-K FY25 (YE 31-Dec-25) (standalone Waters, pre-BDS combination), FY2025 (2025-01-01 to 2025-12-31) – SG&amp;A: Selling and administrative expenses 830.4 (p.65) =&gt; 830.4</t>
        </r>
      </text>
    </comment>
    <comment ref="Z236" authorId="0">
      <text>
        <r>
          <rPr>
            <sz val="10"/>
            <rFont val="Arial"/>
            <family val="2"/>
          </rPr>
          <t xml:space="preserve">Hand spread: Waters Form 10-K FY25 (YE 31-Dec-25) (standalone Waters, pre-BDS combination), FY2024 (2024-01-01 to 2024-12-31) – SG&amp;A: Selling and administrative expenses 690.1 (p.65) =&gt; 690.1</t>
        </r>
      </text>
    </comment>
    <comment ref="Z237" authorId="0">
      <text>
        <r>
          <rPr>
            <sz val="10"/>
            <rFont val="Arial"/>
            <family val="2"/>
          </rPr>
          <t xml:space="preserve">Hand spread: Waters Form 10-K FY25 (YE 31-Dec-25) (standalone Waters, pre-BDS combination), FY2023 (2023-01-01 to 2023-12-31) – SG&amp;A: Selling and administrative expenses 736.0 (p.65) =&gt; 736.0</t>
        </r>
      </text>
    </comment>
    <comment ref="Z245" authorId="0">
      <text>
        <r>
          <rPr>
            <sz val="10"/>
            <rFont val="Arial"/>
            <family val="2"/>
          </rPr>
          <t xml:space="preserve">Hand spread: Waters Form 10-K FY25 (YE 31-Dec-25) (standalone Waters, pre-BDS combination), FY2025 (2025-01-01 to 2025-12-31) – EBIT (operating income, as reported): Operating income 802.6 (p.65) =&gt; 802.6</t>
        </r>
      </text>
    </comment>
    <comment ref="Z246" authorId="0">
      <text>
        <r>
          <rPr>
            <sz val="10"/>
            <rFont val="Arial"/>
            <family val="2"/>
          </rPr>
          <t xml:space="preserve">Hand spread: Waters Form 10-K FY25 (YE 31-Dec-25) (standalone Waters, pre-BDS combination), FY2024 (2024-01-01 to 2024-12-31) – EBIT (operating income, as reported): Operating income 826.4 (p.65) =&gt; 826.4</t>
        </r>
      </text>
    </comment>
    <comment ref="Z247" authorId="0">
      <text>
        <r>
          <rPr>
            <sz val="10"/>
            <rFont val="Arial"/>
            <family val="2"/>
          </rPr>
          <t xml:space="preserve">Hand spread: Waters Form 10-K FY25 (YE 31-Dec-25) (standalone Waters, pre-BDS combination), FY2023 (2023-01-01 to 2023-12-31) – EBIT (operating income, as reported): Operating income 817.7 (p.65) =&gt; 817.7</t>
        </r>
      </text>
    </comment>
    <comment ref="Z265" authorId="0">
      <text>
        <r>
          <rPr>
            <sz val="10"/>
            <rFont val="Arial"/>
            <family val="2"/>
          </rPr>
          <t xml:space="preserve">Hand spread: Waters Form 10-K FY25 (YE 31-Dec-25) (standalone Waters, pre-BDS combination), FY2025 – EBITDA = EBIT + D&amp;A + non-cash impairments [calc]: EBIT 802.6 + Depreciation (cash flow) 88.144 (p.67) + Amortization of intangibles (cash flow) 118.1 (p.67) =&gt; 1,008.8</t>
        </r>
      </text>
    </comment>
    <comment ref="Z266" authorId="0">
      <text>
        <r>
          <rPr>
            <sz val="10"/>
            <rFont val="Arial"/>
            <family val="2"/>
          </rPr>
          <t xml:space="preserve">Hand spread: Waters Form 10-K FY25 (YE 31-Dec-25) (standalone Waters, pre-BDS combination), FY2024 – EBITDA = EBIT + D&amp;A + non-cash impairments [calc]: EBIT 826.4 + Depreciation (cash flow) 87.018 (p.67) + Amortization of intangibles (cash flow) 104.8 (p.67) =&gt; 1,018.2</t>
        </r>
      </text>
    </comment>
    <comment ref="Z267" authorId="0">
      <text>
        <r>
          <rPr>
            <sz val="10"/>
            <rFont val="Arial"/>
            <family val="2"/>
          </rPr>
          <t xml:space="preserve">Hand spread: Waters Form 10-K FY25 (YE 31-Dec-25) (standalone Waters, pre-BDS combination), FY2023 – EBITDA = EBIT + D&amp;A + non-cash impairments [calc]: EBIT 817.7 + Depreciation (cash flow) 84.625 (p.67) + Amortization of intangibles (cash flow) 81.28 (p.67) =&gt; 983.6</t>
        </r>
      </text>
    </comment>
    <comment ref="Z285" authorId="0">
      <text>
        <r>
          <rPr>
            <sz val="10"/>
            <rFont val="Arial"/>
            <family val="2"/>
          </rPr>
          <t xml:space="preserve">Hand spread: Waters Form 10-K FY25 (YE 31-Dec-25) (standalone Waters, pre-BDS combination), FY2025 (2025-01-01 to 2025-12-31) – Net income attributable to shareholders: Net income 642.6 (p.65) =&gt; 642.6</t>
        </r>
      </text>
    </comment>
    <comment ref="Z286" authorId="0">
      <text>
        <r>
          <rPr>
            <sz val="10"/>
            <rFont val="Arial"/>
            <family val="2"/>
          </rPr>
          <t xml:space="preserve">Hand spread: Waters Form 10-K FY25 (YE 31-Dec-25) (standalone Waters, pre-BDS combination), FY2024 (2024-01-01 to 2024-12-31) – Net income attributable to shareholders: Net income 637.8 (p.65) =&gt; 637.8</t>
        </r>
      </text>
    </comment>
    <comment ref="Z287" authorId="0">
      <text>
        <r>
          <rPr>
            <sz val="10"/>
            <rFont val="Arial"/>
            <family val="2"/>
          </rPr>
          <t xml:space="preserve">Hand spread: Waters Form 10-K FY25 (YE 31-Dec-25) (standalone Waters, pre-BDS combination), FY2023 (2023-01-01 to 2023-12-31) – Net income attributable to shareholders: Net income 642.2 (p.65) =&gt; 642.2</t>
        </r>
      </text>
    </comment>
    <comment ref="Z295" authorId="0">
      <text>
        <r>
          <rPr>
            <sz val="10"/>
            <rFont val="Arial"/>
            <family val="2"/>
          </rPr>
          <t xml:space="preserve">Hand spread: Waters Form 10-K FY25 (YE 31-Dec-25) (standalone Waters, pre-BDS combination), FY2025 (2025-01-01 to 2025-12-31) – Diluted EPS: Net income per diluted share 10.76 (p.65) =&gt; 10.76</t>
        </r>
      </text>
    </comment>
    <comment ref="Z296" authorId="0">
      <text>
        <r>
          <rPr>
            <sz val="10"/>
            <rFont val="Arial"/>
            <family val="2"/>
          </rPr>
          <t xml:space="preserve">Hand spread: Waters Form 10-K FY25 (YE 31-Dec-25) (standalone Waters, pre-BDS combination), FY2024 (2024-01-01 to 2024-12-31) – Diluted EPS: Net income per diluted share 10.71 (p.65) =&gt; 10.71</t>
        </r>
      </text>
    </comment>
    <comment ref="Z297" authorId="0">
      <text>
        <r>
          <rPr>
            <sz val="10"/>
            <rFont val="Arial"/>
            <family val="2"/>
          </rPr>
          <t xml:space="preserve">Hand spread: Waters Form 10-K FY25 (YE 31-Dec-25) (standalone Waters, pre-BDS combination), FY2023 (2023-01-01 to 2023-12-31) – Diluted EPS: Net income per diluted share 10.84 (p.65) =&gt; 10.84</t>
        </r>
      </text>
    </comment>
    <comment ref="Z309" authorId="0">
      <text>
        <r>
          <rPr>
            <sz val="10"/>
            <rFont val="Arial"/>
            <family val="2"/>
          </rPr>
          <t xml:space="preserve">Hand spread: reporting currency of the financial statements = USD.</t>
        </r>
      </text>
    </comment>
    <comment ref="Z313" authorId="0">
      <text>
        <r>
          <rPr>
            <sz val="10"/>
            <rFont val="Arial"/>
            <family val="2"/>
          </rPr>
          <t xml:space="preserve">Hand spread: ECB spot USD per USD at this column's pricing date (row 2) – FX tab.</t>
        </r>
      </text>
    </comment>
    <comment ref="Z315" authorId="0">
      <text>
        <r>
          <rPr>
            <sz val="10"/>
            <rFont val="Arial"/>
            <family val="2"/>
          </rPr>
          <t xml:space="preserve">Hand spread: balance sheet date of the latest filing (Waters Form 10-Q, quarter ended 4-Jul-26).</t>
        </r>
      </text>
    </comment>
    <comment ref="Z316" authorId="0">
      <text>
        <r>
          <rPr>
            <sz val="10"/>
            <rFont val="Arial"/>
            <family val="2"/>
          </rPr>
          <t xml:space="preserve">Hand spread: ECB spot USD per USD at the 30-Jun-26 balance sheet date – FX tab. (USD reporter: 1.0)</t>
        </r>
      </text>
    </comment>
    <comment ref="Z327" authorId="0">
      <text>
        <r>
          <rPr>
            <sz val="10"/>
            <rFont val="Arial"/>
            <family val="2"/>
          </rPr>
          <t xml:space="preserve">Hand spread: US GAAP (ASC 842) reporter – operating lease cost is already within EBITDA and operating lease liabilities are not in reported debt; no IFRS 16 adjustment required.</t>
        </r>
      </text>
    </comment>
    <comment ref="Z328" authorId="0">
      <text>
        <r>
          <rPr>
            <sz val="10"/>
            <rFont val="Arial"/>
            <family val="2"/>
          </rPr>
          <t xml:space="preserve">Hand spread: US GAAP (ASC 842) reporter – operating lease cost is already within EBITDA and operating lease liabilities are not in reported debt; no IFRS 16 adjustment required.</t>
        </r>
      </text>
    </comment>
    <comment ref="Z339" authorId="0">
      <text>
        <r>
          <rPr>
            <sz val="10"/>
            <rFont val="Arial"/>
            <family val="2"/>
          </rPr>
          <t xml:space="preserve">Hand spread: Waters Form 10-K FY25 (YE 31-Dec-25) (standalone Waters, pre-BDS combination), FY2025 (2025-01-01 to 2025-12-31) – CapEx: Additions to property, plant, equipment and software capitalization 112.7 (p.67) =&gt; 112.7</t>
        </r>
      </text>
    </comment>
    <comment ref="Z340" authorId="0">
      <text>
        <r>
          <rPr>
            <sz val="10"/>
            <rFont val="Arial"/>
            <family val="2"/>
          </rPr>
          <t xml:space="preserve">Hand spread: Waters Form 10-K FY25 (YE 31-Dec-25) (standalone Waters, pre-BDS combination), FY2024 (2024-01-01 to 2024-12-31) – CapEx: Additions to property, plant, equipment and software capitalization 142.5 (p.67) =&gt; 142.5</t>
        </r>
      </text>
    </comment>
    <comment ref="Z341" authorId="0">
      <text>
        <r>
          <rPr>
            <sz val="10"/>
            <rFont val="Arial"/>
            <family val="2"/>
          </rPr>
          <t xml:space="preserve">Hand spread: Waters Form 10-K FY25 (YE 31-Dec-25) (standalone Waters, pre-BDS combination), FY2023 (2023-01-01 to 2023-12-31) – CapEx: Additions to property, plant, equipment and software capitalization 160.6 (p.67) =&gt; 160.6</t>
        </r>
      </text>
    </comment>
    <comment ref="AA1" authorId="0">
      <text>
        <r>
          <rPr>
            <sz val="10"/>
            <rFont val="Arial"/>
            <family val="2"/>
          </rPr>
          <t xml:space="preserve">Lazard:
https://www.bamsec.com/filing/138410126000031/1?cik=1384101&amp;hl=2586:2598&amp;hl_id=njefg0vr7x</t>
        </r>
      </text>
    </comment>
    <comment ref="AA13" authorId="0">
      <text>
        <r>
          <rPr>
            <sz val="10"/>
            <rFont val="Arial"/>
            <family val="2"/>
          </rPr>
          <t xml:space="preserve">Latest filing used for the balance sheet / share data. See cell notes for every figure and the "Spread Notes" tab.</t>
        </r>
      </text>
    </comment>
    <comment ref="AA43" authorId="0">
      <text>
        <r>
          <rPr>
            <sz val="10"/>
            <rFont val="Arial"/>
            <family val="2"/>
          </rPr>
          <t xml:space="preserve">Hand spread: Revvity Form 10-Q, quarter ended 5-Jul-26, p.6 – Condensed Consolidated Balance Sheets – Cash and cash equivalents: 1,022.9</t>
        </r>
      </text>
    </comment>
    <comment ref="AA44" authorId="0">
      <text>
        <r>
          <rPr>
            <sz val="10"/>
            <rFont val="Arial"/>
            <family val="2"/>
          </rPr>
          <t xml:space="preserve">Hand spread: Revvity Form 10-Q, quarter ended 5-Jul-26, p.6 – no short-term investments on balance sheet.</t>
        </r>
      </text>
    </comment>
    <comment ref="AA46" authorId="0">
      <text>
        <r>
          <rPr>
            <sz val="10"/>
            <rFont val="Arial"/>
            <family val="2"/>
          </rPr>
          <t xml:space="preserve">Hand spread: Revvity Form 10-Q, quarter ended 5-Jul-26 – balance sheet: no investments in associates / joint ventures (equity-accounted) shown.</t>
        </r>
      </text>
    </comment>
    <comment ref="AA55" authorId="0">
      <text>
        <r>
          <rPr>
            <sz val="10"/>
            <rFont val="Arial"/>
            <family val="2"/>
          </rPr>
          <t xml:space="preserve">Hand spread: Revvity Form 10-Q, quarter ended 5-Jul-26, p.6 – Condensed Consolidated Balance Sheets – Short-term debt (current portion of senior notes): 572.2</t>
        </r>
      </text>
    </comment>
    <comment ref="AA56" authorId="0">
      <text>
        <r>
          <rPr>
            <sz val="10"/>
            <rFont val="Arial"/>
            <family val="2"/>
          </rPr>
          <t xml:space="preserve">Hand spread: Revvity Form 10-Q, quarter ended 5-Jul-26, p.6 – Condensed Consolidated Balance Sheets – Long-term debt: 2,633.1</t>
        </r>
      </text>
    </comment>
    <comment ref="AA58" authorId="0">
      <text>
        <r>
          <rPr>
            <sz val="10"/>
            <rFont val="Arial"/>
            <family val="2"/>
          </rPr>
          <t xml:space="preserve">Hand spread: Revvity Form 10-Q, quarter ended 5-Jul-26 – no finance lease debt separately reported; operating leases (ASC 842) not debt – consistent with pre-IFRS 16 basis.</t>
        </r>
      </text>
    </comment>
    <comment ref="AA62" authorId="0">
      <text>
        <r>
          <rPr>
            <sz val="10"/>
            <rFont val="Arial"/>
            <family val="2"/>
          </rPr>
          <t xml:space="preserve">Hand spread: US GAAP reporter – no IFRS 16 lease liabilities to strip (operating lease liabilities excluded from debt).</t>
        </r>
      </text>
    </comment>
    <comment ref="AA70" authorId="0">
      <text>
        <r>
          <rPr>
            <sz val="10"/>
            <rFont val="Arial"/>
            <family val="2"/>
          </rPr>
          <t xml:space="preserve">Hand spread: Revvity Form 10-K FY25 (YE 28-Dec-25), p.68 (Employee Benefit Plans) – Net (liabilities) assets recognized: non-U.S. plans (132.279) + U.S. plan 1.133 = net deficit 131.146 [calc]. Pensions only (post-retirement medical excluded). Latest disclosure.</t>
        </r>
      </text>
    </comment>
    <comment ref="AA71" authorId="0">
      <text>
        <r>
          <rPr>
            <sz val="10"/>
            <rFont val="Arial"/>
            <family val="2"/>
          </rPr>
          <t xml:space="preserve">Statutory tax rate 21.00% for UNITED STATES, from the "Tax Rates" tab of the external LGC – WACC and Trading Comps_v2.xlsx (external link removed; cached value kept). Used only to tax-effect the pension deficit (row 72).</t>
        </r>
      </text>
    </comment>
    <comment ref="AA74" authorId="0">
      <text>
        <r>
          <rPr>
            <sz val="10"/>
            <rFont val="Arial"/>
            <family val="2"/>
          </rPr>
          <t xml:space="preserve">Hand spread: Revvity Form 10-Q, quarter ended 5-Jul-26, p.6 – no noncontrolling interest.</t>
        </r>
      </text>
    </comment>
    <comment ref="AA77" authorId="0">
      <text>
        <r>
          <rPr>
            <sz val="10"/>
            <rFont val="Arial"/>
            <family val="2"/>
          </rPr>
          <t xml:space="preserve">Hand spread: Revvity Form 10-Q, quarter ended 5-Jul-26, p.6 – Preferred stock: none issued.</t>
        </r>
      </text>
    </comment>
    <comment ref="AA81" authorId="0">
      <text>
        <r>
          <rPr>
            <sz val="10"/>
            <rFont val="Arial"/>
            <family val="2"/>
          </rPr>
          <t xml:space="preserve">Hand spread: Revvity Form 10-Q, quarter ended 5-Jul-26, p.6 – Condensed Consolidated Balance Sheets – Total stockholders' equity: 7,228.8</t>
        </r>
      </text>
    </comment>
    <comment ref="AA137" authorId="0">
      <text>
        <r>
          <rPr>
            <sz val="10"/>
            <rFont val="Arial"/>
            <family val="2"/>
          </rPr>
          <t xml:space="preserve">Hand spread: Revvity Form 10-Q, quarter ended 5-Jul-26, cover page – common stock outstanding at 6-Aug-26: 111,586,401.</t>
        </r>
      </text>
    </comment>
    <comment ref="AA152" authorId="0">
      <text>
        <r>
          <rPr>
            <sz val="10"/>
            <rFont val="Arial"/>
            <family val="2"/>
          </rPr>
          <t xml:space="preserve">Hand spread: Revvity Form 10-K FY25 (YE 28-Dec-25), p.73 (Stock-Based Compensation) – options outstanding at 28-Dec-25: 1.462m (latest disclosure).</t>
        </r>
      </text>
    </comment>
    <comment ref="AA159" authorId="0">
      <text>
        <r>
          <rPr>
            <sz val="10"/>
            <rFont val="Arial"/>
            <family val="2"/>
          </rPr>
          <t xml:space="preserve">Hand spread: Revvity Form 10-K FY25 (YE 28-Dec-25), p.74 – Restricted stock awards: nonvested at end of year 329 thousand.</t>
        </r>
      </text>
    </comment>
    <comment ref="AA164" authorId="0">
      <text>
        <r>
          <rPr>
            <sz val="10"/>
            <rFont val="Arial"/>
            <family val="2"/>
          </rPr>
          <t xml:space="preserve">Hand spread: Revvity Form 10-K FY25 (YE 28-Dec-25), p.73 – weighted-average exercise price of options outstanding: $125.32</t>
        </r>
      </text>
    </comment>
    <comment ref="AA189" authorId="0">
      <text>
        <r>
          <rPr>
            <sz val="10"/>
            <rFont val="Arial"/>
            <family val="2"/>
          </rPr>
          <t xml:space="preserve">Hand spread: Revvity Form 10-Q, quarter ended 5-Jul-26 – fiscal year ends 31 December.</t>
        </r>
      </text>
    </comment>
    <comment ref="AA192" authorId="0">
      <text>
        <r>
          <rPr>
            <sz val="10"/>
            <rFont val="Arial"/>
            <family val="2"/>
          </rPr>
          <t xml:space="preserve">Kim, Justin G.:
Most companies will end their fiscal year in December; however companies like Takeda report Fiscal Year end on a different quarter - this requires you to recalendarize the line items so they are apples-to-apples with other companies ending their FY in December 31</t>
        </r>
      </text>
    </comment>
    <comment ref="AA205" authorId="0">
      <text>
        <r>
          <rPr>
            <sz val="10"/>
            <rFont val="Arial"/>
            <family val="2"/>
          </rPr>
          <t xml:space="preserve">Hand spread: Revvity Form 10-K FY25 (YE 28-Dec-25), FY2025 (2024-12-30 to 2025-12-28) – Revenue: Total revenue 2,856.1 (p.41) =&gt; 2,856.1</t>
        </r>
      </text>
    </comment>
    <comment ref="AA206" authorId="0">
      <text>
        <r>
          <rPr>
            <sz val="10"/>
            <rFont val="Arial"/>
            <family val="2"/>
          </rPr>
          <t xml:space="preserve">Hand spread: Revvity Form 10-K FY25 (YE 28-Dec-25), FY2024 (2024-01-01 to 2024-12-29) – Revenue: Total revenue 2,755.0 (p.41) =&gt; 2,755.0</t>
        </r>
      </text>
    </comment>
    <comment ref="AA207" authorId="0">
      <text>
        <r>
          <rPr>
            <sz val="10"/>
            <rFont val="Arial"/>
            <family val="2"/>
          </rPr>
          <t xml:space="preserve">Hand spread: Revvity Form 10-K FY25 (YE 28-Dec-25), FY2023 (2023-01-02 to 2023-12-31) – Revenue: Total revenue 2,750.6 (p.41) =&gt; 2,750.6</t>
        </r>
      </text>
    </comment>
    <comment ref="AA215" authorId="0">
      <text>
        <r>
          <rPr>
            <sz val="10"/>
            <rFont val="Arial"/>
            <family val="2"/>
          </rPr>
          <t xml:space="preserve">Hand spread: Revvity Form 10-K FY25 (YE 28-Dec-25), FY2025 (2024-12-30 to 2025-12-28) – Gross profit [calc]: Total revenue 2,856.1 (p.41) ; less Cost of product revenue 1,117.1 (p.41) ; less Cost of service revenue 174.6 (p.41) =&gt; 1,564.4</t>
        </r>
      </text>
    </comment>
    <comment ref="AA216" authorId="0">
      <text>
        <r>
          <rPr>
            <sz val="10"/>
            <rFont val="Arial"/>
            <family val="2"/>
          </rPr>
          <t xml:space="preserve">Hand spread: Revvity Form 10-K FY25 (YE 28-Dec-25), FY2024 (2024-01-01 to 2024-12-29) – Gross profit [calc]: Total revenue 2,755.0 (p.41) ; less Cost of product revenue 1,041.7 (p.41) ; less Cost of service revenue 175.6 (p.41) =&gt; 1,537.7</t>
        </r>
      </text>
    </comment>
    <comment ref="AA217" authorId="0">
      <text>
        <r>
          <rPr>
            <sz val="10"/>
            <rFont val="Arial"/>
            <family val="2"/>
          </rPr>
          <t xml:space="preserve">Hand spread: Revvity Form 10-K FY25 (YE 28-Dec-25), FY2023 (2023-01-02 to 2023-12-31) – Gross profit [calc]: Total revenue 2,750.6 (p.41) ; less Cost of product revenue 1,077.7 (p.41) ; less Cost of service revenue 133.1 (p.41) =&gt; 1,539.7</t>
        </r>
      </text>
    </comment>
    <comment ref="AA225" authorId="0">
      <text>
        <r>
          <rPr>
            <sz val="10"/>
            <rFont val="Arial"/>
            <family val="2"/>
          </rPr>
          <t xml:space="preserve">Hand spread: Revvity Form 10-K FY25 (YE 28-Dec-25), FY2025 (2024-12-30 to 2025-12-28) – R&amp;D: Research and development expenses 215.8 (p.41) =&gt; 215.8</t>
        </r>
      </text>
    </comment>
    <comment ref="AA226" authorId="0">
      <text>
        <r>
          <rPr>
            <sz val="10"/>
            <rFont val="Arial"/>
            <family val="2"/>
          </rPr>
          <t xml:space="preserve">Hand spread: Revvity Form 10-K FY25 (YE 28-Dec-25), FY2024 (2024-01-01 to 2024-12-29) – R&amp;D: Research and development expenses 196.8 (p.41) =&gt; 196.8</t>
        </r>
      </text>
    </comment>
    <comment ref="AA227" authorId="0">
      <text>
        <r>
          <rPr>
            <sz val="10"/>
            <rFont val="Arial"/>
            <family val="2"/>
          </rPr>
          <t xml:space="preserve">Hand spread: Revvity Form 10-K FY25 (YE 28-Dec-25), FY2023 (2023-01-02 to 2023-12-31) – R&amp;D: Research and development expenses 216.6 (p.41) =&gt; 216.6</t>
        </r>
      </text>
    </comment>
    <comment ref="AA235" authorId="0">
      <text>
        <r>
          <rPr>
            <sz val="10"/>
            <rFont val="Arial"/>
            <family val="2"/>
          </rPr>
          <t xml:space="preserve">Hand spread: Revvity Form 10-K FY25 (YE 28-Dec-25), FY2025 (2024-12-30 to 2025-12-28) – SG&amp;A: Selling, general and administrative expenses 991.9 (p.41) =&gt; 991.9</t>
        </r>
      </text>
    </comment>
    <comment ref="AA236" authorId="0">
      <text>
        <r>
          <rPr>
            <sz val="10"/>
            <rFont val="Arial"/>
            <family val="2"/>
          </rPr>
          <t xml:space="preserve">Hand spread: Revvity Form 10-K FY25 (YE 28-Dec-25), FY2024 (2024-01-01 to 2024-12-29) – SG&amp;A: Selling, general and administrative expenses 994.1 (p.41) =&gt; 994.1</t>
        </r>
      </text>
    </comment>
    <comment ref="AA237" authorId="0">
      <text>
        <r>
          <rPr>
            <sz val="10"/>
            <rFont val="Arial"/>
            <family val="2"/>
          </rPr>
          <t xml:space="preserve">Hand spread: Revvity Form 10-K FY25 (YE 28-Dec-25), FY2023 (2023-01-02 to 2023-12-31) – SG&amp;A: Selling, general and administrative expenses 1,022.6 (p.41) =&gt; 1,022.6</t>
        </r>
      </text>
    </comment>
    <comment ref="AA245" authorId="0">
      <text>
        <r>
          <rPr>
            <sz val="10"/>
            <rFont val="Arial"/>
            <family val="2"/>
          </rPr>
          <t xml:space="preserve">Hand spread: Revvity Form 10-K FY25 (YE 28-Dec-25), FY2025 (2024-12-30 to 2025-12-28) – EBIT (operating income, as reported): Operating income from continuing operations 356.6 (p.41) =&gt; 356.6</t>
        </r>
      </text>
    </comment>
    <comment ref="AA246" authorId="0">
      <text>
        <r>
          <rPr>
            <sz val="10"/>
            <rFont val="Arial"/>
            <family val="2"/>
          </rPr>
          <t xml:space="preserve">Hand spread: Revvity Form 10-K FY25 (YE 28-Dec-25), FY2024 (2024-01-01 to 2024-12-29) – EBIT (operating income, as reported): Operating income from continuing operations 346.7 (p.41) =&gt; 346.7</t>
        </r>
      </text>
    </comment>
    <comment ref="AA247" authorId="0">
      <text>
        <r>
          <rPr>
            <sz val="10"/>
            <rFont val="Arial"/>
            <family val="2"/>
          </rPr>
          <t xml:space="preserve">Hand spread: Revvity Form 10-K FY25 (YE 28-Dec-25), FY2023 (2023-01-02 to 2023-12-31) – EBIT (operating income, as reported): Operating income from continuing operations 300.6 (p.41) =&gt; 300.6</t>
        </r>
      </text>
    </comment>
    <comment ref="AA265" authorId="0">
      <text>
        <r>
          <rPr>
            <sz val="10"/>
            <rFont val="Arial"/>
            <family val="2"/>
          </rPr>
          <t xml:space="preserve">Hand spread: Revvity Form 10-K FY25 (YE 28-Dec-25), FY2025 – EBITDA = EBIT + D&amp;A + non-cash impairments [calc]: EBIT 356.6 + Depreciation and amortization (cash flow) 405.3 (p.45) + Impairment (cash flow) 4.784 (p.45) =&gt; 766.8</t>
        </r>
      </text>
    </comment>
    <comment ref="AA266" authorId="0">
      <text>
        <r>
          <rPr>
            <sz val="10"/>
            <rFont val="Arial"/>
            <family val="2"/>
          </rPr>
          <t xml:space="preserve">Hand spread: Revvity Form 10-K FY25 (YE 28-Dec-25), FY2024 – EBITDA = EBIT + D&amp;A + non-cash impairments [calc]: EBIT 346.7 + Depreciation and amortization (cash flow) 427.8 (p.45) + Impairment (cash flow) 22.814 (p.45) =&gt; 797.4</t>
        </r>
      </text>
    </comment>
    <comment ref="AA267" authorId="0">
      <text>
        <r>
          <rPr>
            <sz val="10"/>
            <rFont val="Arial"/>
            <family val="2"/>
          </rPr>
          <t xml:space="preserve">Hand spread: Revvity Form 10-K FY25 (YE 28-Dec-25), FY2023 – EBITDA = EBIT + D&amp;A + non-cash impairments [calc]: EBIT 300.6 + Depreciation and amortization (cash flow) 431.8 (p.45) + Impairment (cash flow) 0 (p.45) =&gt; 732.3</t>
        </r>
      </text>
    </comment>
    <comment ref="AA285" authorId="0">
      <text>
        <r>
          <rPr>
            <sz val="10"/>
            <rFont val="Arial"/>
            <family val="2"/>
          </rPr>
          <t xml:space="preserve">Hand spread: Revvity Form 10-K FY25 (YE 28-Dec-25), FY2025 (2024-12-30 to 2025-12-28) – Net income attributable to shareholders: Income from continuing operations (excl. discontinued operations) 239.9 (p.41) =&gt; 239.9</t>
        </r>
      </text>
    </comment>
    <comment ref="AA286" authorId="0">
      <text>
        <r>
          <rPr>
            <sz val="10"/>
            <rFont val="Arial"/>
            <family val="2"/>
          </rPr>
          <t xml:space="preserve">Hand spread: Revvity Form 10-K FY25 (YE 28-Dec-25), FY2024 (2024-01-01 to 2024-12-29) – Net income attributable to shareholders: Income from continuing operations (excl. discontinued operations) 283.1 (p.41) =&gt; 283.1</t>
        </r>
      </text>
    </comment>
    <comment ref="AA287" authorId="0">
      <text>
        <r>
          <rPr>
            <sz val="10"/>
            <rFont val="Arial"/>
            <family val="2"/>
          </rPr>
          <t xml:space="preserve">Hand spread: Revvity Form 10-K FY25 (YE 28-Dec-25), FY2023 (2023-01-02 to 2023-12-31) – Net income attributable to shareholders: Income from continuing operations (excl. discontinued operations) 179.5 (p.41) =&gt; 179.5</t>
        </r>
      </text>
    </comment>
    <comment ref="AA295" authorId="0">
      <text>
        <r>
          <rPr>
            <sz val="10"/>
            <rFont val="Arial"/>
            <family val="2"/>
          </rPr>
          <t xml:space="preserve">Hand spread: Revvity Form 10-K FY25 (YE 28-Dec-25), FY2025 (2024-12-30 to 2025-12-28) – Diluted EPS: Diluted EPS – continuing operations 2.06 (p.41) =&gt; 2.06</t>
        </r>
      </text>
    </comment>
    <comment ref="AA296" authorId="0">
      <text>
        <r>
          <rPr>
            <sz val="10"/>
            <rFont val="Arial"/>
            <family val="2"/>
          </rPr>
          <t xml:space="preserve">Hand spread: Revvity Form 10-K FY25 (YE 28-Dec-25), FY2024 (2024-01-01 to 2024-12-29) – Diluted EPS: Diluted EPS – continuing operations 2.3 (p.41) =&gt; 2.3</t>
        </r>
      </text>
    </comment>
    <comment ref="AA297" authorId="0">
      <text>
        <r>
          <rPr>
            <sz val="10"/>
            <rFont val="Arial"/>
            <family val="2"/>
          </rPr>
          <t xml:space="preserve">Hand spread: Revvity Form 10-K FY25 (YE 28-Dec-25), FY2023 (2023-01-02 to 2023-12-31) – Diluted EPS: Diluted EPS – continuing operations 1.44 (p.41) =&gt; 1.44</t>
        </r>
      </text>
    </comment>
    <comment ref="AA309" authorId="0">
      <text>
        <r>
          <rPr>
            <sz val="10"/>
            <rFont val="Arial"/>
            <family val="2"/>
          </rPr>
          <t xml:space="preserve">Hand spread: reporting currency of the financial statements = USD.</t>
        </r>
      </text>
    </comment>
    <comment ref="AA313" authorId="0">
      <text>
        <r>
          <rPr>
            <sz val="10"/>
            <rFont val="Arial"/>
            <family val="2"/>
          </rPr>
          <t xml:space="preserve">Hand spread: ECB spot USD per USD at this column's pricing date (row 2) – FX tab.</t>
        </r>
      </text>
    </comment>
    <comment ref="AA315" authorId="0">
      <text>
        <r>
          <rPr>
            <sz val="10"/>
            <rFont val="Arial"/>
            <family val="2"/>
          </rPr>
          <t xml:space="preserve">Hand spread: balance sheet date of the latest filing (Revvity Form 10-Q, quarter ended 5-Jul-26).</t>
        </r>
      </text>
    </comment>
    <comment ref="AA316" authorId="0">
      <text>
        <r>
          <rPr>
            <sz val="10"/>
            <rFont val="Arial"/>
            <family val="2"/>
          </rPr>
          <t xml:space="preserve">Hand spread: ECB spot USD per USD at the 30-Jun-26 balance sheet date – FX tab. (USD reporter: 1.0)</t>
        </r>
      </text>
    </comment>
    <comment ref="AA327" authorId="0">
      <text>
        <r>
          <rPr>
            <sz val="10"/>
            <rFont val="Arial"/>
            <family val="2"/>
          </rPr>
          <t xml:space="preserve">Hand spread: US GAAP (ASC 842) reporter – operating lease cost is already within EBITDA and operating lease liabilities are not in reported debt; no IFRS 16 adjustment required.</t>
        </r>
      </text>
    </comment>
    <comment ref="AA328" authorId="0">
      <text>
        <r>
          <rPr>
            <sz val="10"/>
            <rFont val="Arial"/>
            <family val="2"/>
          </rPr>
          <t xml:space="preserve">Hand spread: US GAAP (ASC 842) reporter – operating lease cost is already within EBITDA and operating lease liabilities are not in reported debt; no IFRS 16 adjustment required.</t>
        </r>
      </text>
    </comment>
    <comment ref="AA339" authorId="0">
      <text>
        <r>
          <rPr>
            <sz val="10"/>
            <rFont val="Arial"/>
            <family val="2"/>
          </rPr>
          <t xml:space="preserve">Hand spread: Revvity Form 10-K FY25 (YE 28-Dec-25), FY2025 (2024-12-30 to 2025-12-28) – CapEx: Capital expenditures 73.522 (p.45) =&gt; 73.522</t>
        </r>
      </text>
    </comment>
    <comment ref="AA340" authorId="0">
      <text>
        <r>
          <rPr>
            <sz val="10"/>
            <rFont val="Arial"/>
            <family val="2"/>
          </rPr>
          <t xml:space="preserve">Hand spread: Revvity Form 10-K FY25 (YE 28-Dec-25), FY2024 (2024-01-01 to 2024-12-29) – CapEx: Capital expenditures 86.648 (p.45) =&gt; 86.648</t>
        </r>
      </text>
    </comment>
    <comment ref="AA341" authorId="0">
      <text>
        <r>
          <rPr>
            <sz val="10"/>
            <rFont val="Arial"/>
            <family val="2"/>
          </rPr>
          <t xml:space="preserve">Hand spread: Revvity Form 10-K FY25 (YE 28-Dec-25), FY2023 (2023-01-02 to 2023-12-31) – CapEx: Capital expenditures 81.368 (p.45) =&gt; 81.368</t>
        </r>
      </text>
    </comment>
    <comment ref="AB13" authorId="0">
      <text>
        <r>
          <rPr>
            <sz val="10"/>
            <rFont val="Arial"/>
            <family val="2"/>
          </rPr>
          <t xml:space="preserve">Latest filing used for the balance sheet / share data. See cell notes for every figure and the "Spread Notes" tab.</t>
        </r>
      </text>
    </comment>
    <comment ref="AB43" authorId="0">
      <text>
        <r>
          <rPr>
            <sz val="10"/>
            <rFont val="Arial"/>
            <family val="2"/>
          </rPr>
          <t xml:space="preserve">Hand spread: Thermo Fisher Form 10-Q, quarter ended 27-Jun-26, p.3 – Condensed Consolidated Balance Sheet – Cash and cash equivalents: 4,064.0</t>
        </r>
      </text>
    </comment>
    <comment ref="AB44" authorId="0">
      <text>
        <r>
          <rPr>
            <sz val="10"/>
            <rFont val="Arial"/>
            <family val="2"/>
          </rPr>
          <t xml:space="preserve">Hand spread: Thermo Fisher Form 10-Q, quarter ended 27-Jun-26, p.3 – Condensed Consolidated Balance Sheet – Short-term investments: 0</t>
        </r>
      </text>
    </comment>
    <comment ref="AB46" authorId="0">
      <text>
        <r>
          <rPr>
            <sz val="10"/>
            <rFont val="Arial"/>
            <family val="2"/>
          </rPr>
          <t xml:space="preserve">Hand spread: Thermo Fisher Form 10-K FY25 (YE 31-Dec-25), p.46 (Note – Investments) – equity method investments carrying amount at 31-Dec-25: $178m (not disclosed in the Q2-26 10-Q; latest disclosed figure used)</t>
        </r>
      </text>
    </comment>
    <comment ref="AB55" authorId="0">
      <text>
        <r>
          <rPr>
            <sz val="10"/>
            <rFont val="Arial"/>
            <family val="2"/>
          </rPr>
          <t xml:space="preserve">Hand spread: Thermo Fisher Form 10-Q, quarter ended 27-Jun-26, p.3 – Condensed Consolidated Balance Sheet – Short-term obligations and current maturities of long-term obligations: 3,368.0</t>
        </r>
      </text>
    </comment>
    <comment ref="AB56" authorId="0">
      <text>
        <r>
          <rPr>
            <sz val="10"/>
            <rFont val="Arial"/>
            <family val="2"/>
          </rPr>
          <t xml:space="preserve">Hand spread: Thermo Fisher Form 10-Q, quarter ended 27-Jun-26, p.3 – Condensed Consolidated Balance Sheet – Long-term obligations (includes finance lease liabilities): 39,181.0</t>
        </r>
      </text>
    </comment>
    <comment ref="AB58" authorId="0">
      <text>
        <r>
          <rPr>
            <sz val="10"/>
            <rFont val="Arial"/>
            <family val="2"/>
          </rPr>
          <t xml:space="preserve">Hand spread: Thermo Fisher Form 10-Q, quarter ended 27-Jun-26 – finance lease liabilities already included in long-term obligations (row 56; 213 at 31-Dec-25 per 10-K p.48); operating leases (ASC 842) not debt – consistent with pre-IFRS 16 basis.</t>
        </r>
      </text>
    </comment>
    <comment ref="AB62" authorId="0">
      <text>
        <r>
          <rPr>
            <sz val="10"/>
            <rFont val="Arial"/>
            <family val="2"/>
          </rPr>
          <t xml:space="preserve">Hand spread: US GAAP reporter – no IFRS 16 lease liabilities to strip (operating lease liabilities excluded from debt).</t>
        </r>
      </text>
    </comment>
    <comment ref="AB70" authorId="0">
      <text>
        <r>
          <rPr>
            <sz val="10"/>
            <rFont val="Arial"/>
            <family val="2"/>
          </rPr>
          <t xml:space="preserve">Hand spread: Thermo Fisher Form 10-K FY25 (YE 31-Dec-25), p.70 (Pension and Other Postretirement Benefit Plans) – Funded status: U.S. plans (43) + non-U.S. plans (284) = net deficit 327 [calc]. Latest disclosure.</t>
        </r>
      </text>
    </comment>
    <comment ref="AB71" authorId="0">
      <text>
        <r>
          <rPr>
            <sz val="10"/>
            <rFont val="Arial"/>
            <family val="2"/>
          </rPr>
          <t xml:space="preserve">Statutory tax rate 21.00% for UNITED STATES, from the "Tax Rates" tab of the external LGC – WACC and Trading Comps_v2.xlsx (external link removed; cached value kept). Used only to tax-effect the pension deficit (row 72).</t>
        </r>
      </text>
    </comment>
    <comment ref="AB74" authorId="0">
      <text>
        <r>
          <rPr>
            <sz val="10"/>
            <rFont val="Arial"/>
            <family val="2"/>
          </rPr>
          <t xml:space="preserve">Hand spread: Thermo Fisher Form 10-Q, quarter ended 27-Jun-26, p.3 – Redeemable noncontrolling interest 121 + Noncontrolling interests (equity) 7 = 128 [calc].</t>
        </r>
      </text>
    </comment>
    <comment ref="AB77" authorId="0">
      <text>
        <r>
          <rPr>
            <sz val="10"/>
            <rFont val="Arial"/>
            <family val="2"/>
          </rPr>
          <t xml:space="preserve">Hand spread: Thermo Fisher Form 10-Q, quarter ended 27-Jun-26, p.3 – Preferred stock: none issued.</t>
        </r>
      </text>
    </comment>
    <comment ref="AB81" authorId="0">
      <text>
        <r>
          <rPr>
            <sz val="10"/>
            <rFont val="Arial"/>
            <family val="2"/>
          </rPr>
          <t xml:space="preserve">Hand spread: Thermo Fisher Form 10-Q, quarter ended 27-Jun-26, p.3 – Condensed Consolidated Balance Sheet – Total Thermo Fisher Scientific Inc. shareholders' equity: 52,679.0</t>
        </r>
      </text>
    </comment>
    <comment ref="AB137" authorId="0">
      <text>
        <r>
          <rPr>
            <sz val="10"/>
            <rFont val="Arial"/>
            <family val="2"/>
          </rPr>
          <t xml:space="preserve">Hand spread: Thermo Fisher Form 10-Q, quarter ended 27-Jun-26, cover page – common stock outstanding: 369,747,286 shares.</t>
        </r>
      </text>
    </comment>
    <comment ref="AB152" authorId="0">
      <text>
        <r>
          <rPr>
            <sz val="10"/>
            <rFont val="Arial"/>
            <family val="2"/>
          </rPr>
          <t xml:space="preserve">Hand spread: Thermo Fisher Form 10-K FY25 (YE 31-Dec-25), p.74 – stock options outstanding at 31-Dec-25: 4.3m (latest disclosure).</t>
        </r>
      </text>
    </comment>
    <comment ref="AB159" authorId="0">
      <text>
        <r>
          <rPr>
            <sz val="10"/>
            <rFont val="Arial"/>
            <family val="2"/>
          </rPr>
          <t xml:space="preserve">Hand spread: Thermo Fisher Form 10-K FY25 (YE 31-Dec-25), p.74 – Restricted unit awards: unvested at 31-Dec-25 0.8m units.</t>
        </r>
      </text>
    </comment>
    <comment ref="AB164" authorId="0">
      <text>
        <r>
          <rPr>
            <sz val="10"/>
            <rFont val="Arial"/>
            <family val="2"/>
          </rPr>
          <t xml:space="preserve">Hand spread: Thermo Fisher Form 10-K FY25 (YE 31-Dec-25), p.74 – weighted-average exercise price: $507.59</t>
        </r>
      </text>
    </comment>
    <comment ref="AB189" authorId="0">
      <text>
        <r>
          <rPr>
            <sz val="10"/>
            <rFont val="Arial"/>
            <family val="2"/>
          </rPr>
          <t xml:space="preserve">Hand spread: Thermo Fisher Form 10-Q, quarter ended 27-Jun-26 – fiscal year ends 31 December.</t>
        </r>
      </text>
    </comment>
    <comment ref="AB192" authorId="0">
      <text>
        <r>
          <rPr>
            <sz val="10"/>
            <rFont val="Arial"/>
            <family val="2"/>
          </rPr>
          <t xml:space="preserve">Kim, Justin G.:
Most companies will end their fiscal year in December; however companies like Takeda report Fiscal Year end on a different quarter - this requires you to recalendarize the line items so they are apples-to-apples with other companies ending their FY in December 31</t>
        </r>
      </text>
    </comment>
    <comment ref="AB205" authorId="0">
      <text>
        <r>
          <rPr>
            <sz val="10"/>
            <rFont val="Arial"/>
            <family val="2"/>
          </rPr>
          <t xml:space="preserve">Hand spread: Thermo Fisher Form 10-K FY25 (YE 31-Dec-25), FY2025 (2025-01-01 to 2025-12-31) – Revenue: Revenues 44,556.0 (p.34) =&gt; 44,556.0</t>
        </r>
      </text>
    </comment>
    <comment ref="AB206" authorId="0">
      <text>
        <r>
          <rPr>
            <sz val="10"/>
            <rFont val="Arial"/>
            <family val="2"/>
          </rPr>
          <t xml:space="preserve">Hand spread: Thermo Fisher Form 10-K FY25 (YE 31-Dec-25), FY2024 (2024-01-01 to 2024-12-31) – Revenue: Revenues 42,879.0 (p.34) =&gt; 42,879.0</t>
        </r>
      </text>
    </comment>
    <comment ref="AB207" authorId="0">
      <text>
        <r>
          <rPr>
            <sz val="10"/>
            <rFont val="Arial"/>
            <family val="2"/>
          </rPr>
          <t xml:space="preserve">Hand spread: Thermo Fisher Form 10-K FY25 (YE 31-Dec-25), FY2023 (2023-01-01 to 2023-12-31) – Revenue: Revenues 42,857.0 (p.34) =&gt; 42,857.0</t>
        </r>
      </text>
    </comment>
    <comment ref="AB215" authorId="0">
      <text>
        <r>
          <rPr>
            <sz val="10"/>
            <rFont val="Arial"/>
            <family val="2"/>
          </rPr>
          <t xml:space="preserve">Hand spread: Thermo Fisher Form 10-K FY25 (YE 31-Dec-25), FY2025 (2025-01-01 to 2025-12-31) – Gross profit [calc]: Revenues 44,556.0 (p.34) ; less Cost of product revenues 13,405.0 (p.34) ; less Cost of service revenues 12,913.0 (p.34) =&gt; 18,238.0</t>
        </r>
      </text>
    </comment>
    <comment ref="AB216" authorId="0">
      <text>
        <r>
          <rPr>
            <sz val="10"/>
            <rFont val="Arial"/>
            <family val="2"/>
          </rPr>
          <t xml:space="preserve">Hand spread: Thermo Fisher Form 10-K FY25 (YE 31-Dec-25), FY2024 (2024-01-01 to 2024-12-31) – Gross profit [calc]: Revenues 42,879.0 (p.34) ; less Cost of product revenues 12,523.0 (p.34) ; less Cost of service revenues 12,654.0 (p.34) =&gt; 17,702.0</t>
        </r>
      </text>
    </comment>
    <comment ref="AB217" authorId="0">
      <text>
        <r>
          <rPr>
            <sz val="10"/>
            <rFont val="Arial"/>
            <family val="2"/>
          </rPr>
          <t xml:space="preserve">Hand spread: Thermo Fisher Form 10-K FY25 (YE 31-Dec-25), FY2023 (2023-01-01 to 2023-12-31) – Gross profit [calc]: Revenues 42,857.0 (p.34) ; less Cost of product revenues 13,168.0 (p.34) ; less Cost of service revenues 12,589.0 (p.34) =&gt; 17,100.0</t>
        </r>
      </text>
    </comment>
    <comment ref="AB225" authorId="0">
      <text>
        <r>
          <rPr>
            <sz val="10"/>
            <rFont val="Arial"/>
            <family val="2"/>
          </rPr>
          <t xml:space="preserve">Hand spread: Thermo Fisher Form 10-K FY25 (YE 31-Dec-25), FY2025 (2025-01-01 to 2025-12-31) – R&amp;D: Research and development expenses 1,397.0 (p.34) =&gt; 1,397.0</t>
        </r>
      </text>
    </comment>
    <comment ref="AB226" authorId="0">
      <text>
        <r>
          <rPr>
            <sz val="10"/>
            <rFont val="Arial"/>
            <family val="2"/>
          </rPr>
          <t xml:space="preserve">Hand spread: Thermo Fisher Form 10-K FY25 (YE 31-Dec-25), FY2024 (2024-01-01 to 2024-12-31) – R&amp;D: Research and development expenses 1,390.0 (p.34) =&gt; 1,390.0</t>
        </r>
      </text>
    </comment>
    <comment ref="AB227" authorId="0">
      <text>
        <r>
          <rPr>
            <sz val="10"/>
            <rFont val="Arial"/>
            <family val="2"/>
          </rPr>
          <t xml:space="preserve">Hand spread: Thermo Fisher Form 10-K FY25 (YE 31-Dec-25), FY2023 (2023-01-01 to 2023-12-31) – R&amp;D: Research and development expenses 1,337.0 (p.34) =&gt; 1,337.0</t>
        </r>
      </text>
    </comment>
    <comment ref="AB235" authorId="0">
      <text>
        <r>
          <rPr>
            <sz val="10"/>
            <rFont val="Arial"/>
            <family val="2"/>
          </rPr>
          <t xml:space="preserve">Hand spread: Thermo Fisher Form 10-K FY25 (YE 31-Dec-25), FY2025 (2025-01-01 to 2025-12-31) – SG&amp;A: Selling, general and administrative expenses 8,732.0 (p.34) =&gt; 8,732.0</t>
        </r>
      </text>
    </comment>
    <comment ref="AB236" authorId="0">
      <text>
        <r>
          <rPr>
            <sz val="10"/>
            <rFont val="Arial"/>
            <family val="2"/>
          </rPr>
          <t xml:space="preserve">Hand spread: Thermo Fisher Form 10-K FY25 (YE 31-Dec-25), FY2024 (2024-01-01 to 2024-12-31) – SG&amp;A: Selling, general and administrative expenses 8,595.0 (p.34) =&gt; 8,595.0</t>
        </r>
      </text>
    </comment>
    <comment ref="AB237" authorId="0">
      <text>
        <r>
          <rPr>
            <sz val="10"/>
            <rFont val="Arial"/>
            <family val="2"/>
          </rPr>
          <t xml:space="preserve">Hand spread: Thermo Fisher Form 10-K FY25 (YE 31-Dec-25), FY2023 (2023-01-01 to 2023-12-31) – SG&amp;A: Selling, general and administrative expenses 8,445.0 (p.34) =&gt; 8,445.0</t>
        </r>
      </text>
    </comment>
    <comment ref="AB245" authorId="0">
      <text>
        <r>
          <rPr>
            <sz val="10"/>
            <rFont val="Arial"/>
            <family val="2"/>
          </rPr>
          <t xml:space="preserve">Hand spread: Thermo Fisher Form 10-K FY25 (YE 31-Dec-25), FY2025 (2025-01-01 to 2025-12-31) – EBIT (operating income, as reported): Operating income 7,746.0 (p.34) =&gt; 7,746.0</t>
        </r>
      </text>
    </comment>
    <comment ref="AB246" authorId="0">
      <text>
        <r>
          <rPr>
            <sz val="10"/>
            <rFont val="Arial"/>
            <family val="2"/>
          </rPr>
          <t xml:space="preserve">Hand spread: Thermo Fisher Form 10-K FY25 (YE 31-Dec-25), FY2024 (2024-01-01 to 2024-12-31) – EBIT (operating income, as reported): Operating income 7,337.0 (p.34) =&gt; 7,337.0</t>
        </r>
      </text>
    </comment>
    <comment ref="AB247" authorId="0">
      <text>
        <r>
          <rPr>
            <sz val="10"/>
            <rFont val="Arial"/>
            <family val="2"/>
          </rPr>
          <t xml:space="preserve">Hand spread: Thermo Fisher Form 10-K FY25 (YE 31-Dec-25), FY2023 (2023-01-01 to 2023-12-31) – EBIT (operating income, as reported): Operating income 6,859.0 (p.34) =&gt; 6,859.0</t>
        </r>
      </text>
    </comment>
    <comment ref="AB265" authorId="0">
      <text>
        <r>
          <rPr>
            <sz val="10"/>
            <rFont val="Arial"/>
            <family val="2"/>
          </rPr>
          <t xml:space="preserve">Hand spread: Thermo Fisher Form 10-K FY25 (YE 31-Dec-25), FY2025 – EBITDA = EBIT + D&amp;A + non-cash impairments [calc]: EBIT 7,746.0 + Depreciation (cash flow) 1,050.0 (p.36) + Amortization of acquisition-related intangible assets (cash flow) 1,730.0 (p.36) + Impairment of long-lived assets (restructuring note) 94 (p.55) Impairment of assets held for sale (restructuring note) n/a =&gt; 10,620.0</t>
        </r>
      </text>
    </comment>
    <comment ref="AB266" authorId="0">
      <text>
        <r>
          <rPr>
            <sz val="10"/>
            <rFont val="Arial"/>
            <family val="2"/>
          </rPr>
          <t xml:space="preserve">Hand spread: Thermo Fisher Form 10-K FY25 (YE 31-Dec-25), FY2024 – EBITDA = EBIT + D&amp;A + non-cash impairments [calc]: EBIT 7,337.0 + Depreciation (cash flow) 1,156.0 (p.36) + Amortization of acquisition-related intangible assets (cash flow) 1,952.0 (p.36) + Impairment of long-lived assets (restructuring note) 211.0 (p.54) + Impairment of assets held for sale (restructuring note) 41 (p.55) =&gt; 10,697.0</t>
        </r>
      </text>
    </comment>
    <comment ref="AB267" authorId="0">
      <text>
        <r>
          <rPr>
            <sz val="10"/>
            <rFont val="Arial"/>
            <family val="2"/>
          </rPr>
          <t xml:space="preserve">Hand spread: Thermo Fisher Form 10-K FY25 (YE 31-Dec-25), FY2023 – EBITDA = EBIT + D&amp;A + non-cash impairments [calc]: EBIT 6,859.0 + Depreciation (cash flow) 1,068.0 (p.36) + Amortization of acquisition-related intangible assets (cash flow) 2,338.0 (p.36) + Impairment of long-lived assets (restructuring note) 126.0 (p.54) + Impairment of assets held for sale (restructuring note) 93 (p.54) =&gt; 10,484.0</t>
        </r>
      </text>
    </comment>
    <comment ref="AB285" authorId="0">
      <text>
        <r>
          <rPr>
            <sz val="10"/>
            <rFont val="Arial"/>
            <family val="2"/>
          </rPr>
          <t xml:space="preserve">Hand spread: Thermo Fisher Form 10-K FY25 (YE 31-Dec-25), FY2025 (2025-01-01 to 2025-12-31) – Net income attributable to shareholders: Net income attributable to Thermo Fisher Scientific Inc. 6,704.0 (p.34) =&gt; 6,704.0</t>
        </r>
      </text>
    </comment>
    <comment ref="AB286" authorId="0">
      <text>
        <r>
          <rPr>
            <sz val="10"/>
            <rFont val="Arial"/>
            <family val="2"/>
          </rPr>
          <t xml:space="preserve">Hand spread: Thermo Fisher Form 10-K FY25 (YE 31-Dec-25), FY2024 (2024-01-01 to 2024-12-31) – Net income attributable to shareholders: Net income attributable to Thermo Fisher Scientific Inc. 6,335.0 (p.34) =&gt; 6,335.0</t>
        </r>
      </text>
    </comment>
    <comment ref="AB287" authorId="0">
      <text>
        <r>
          <rPr>
            <sz val="10"/>
            <rFont val="Arial"/>
            <family val="2"/>
          </rPr>
          <t xml:space="preserve">Hand spread: Thermo Fisher Form 10-K FY25 (YE 31-Dec-25), FY2023 (2023-01-01 to 2023-12-31) – Net income attributable to shareholders: Net income attributable to Thermo Fisher Scientific Inc. 5,995.0 (p.34) =&gt; 5,995.0</t>
        </r>
      </text>
    </comment>
    <comment ref="AB295" authorId="0">
      <text>
        <r>
          <rPr>
            <sz val="10"/>
            <rFont val="Arial"/>
            <family val="2"/>
          </rPr>
          <t xml:space="preserve">Hand spread: Thermo Fisher Form 10-K FY25 (YE 31-Dec-25), FY2025 (2025-01-01 to 2025-12-31) – Diluted EPS: Diluted earnings per share 17.74 (p.34) =&gt; 17.74</t>
        </r>
      </text>
    </comment>
    <comment ref="AB296" authorId="0">
      <text>
        <r>
          <rPr>
            <sz val="10"/>
            <rFont val="Arial"/>
            <family val="2"/>
          </rPr>
          <t xml:space="preserve">Hand spread: Thermo Fisher Form 10-K FY25 (YE 31-Dec-25), FY2024 (2024-01-01 to 2024-12-31) – Diluted EPS: Diluted earnings per share 16.53 (p.34) =&gt; 16.53</t>
        </r>
      </text>
    </comment>
    <comment ref="AB297" authorId="0">
      <text>
        <r>
          <rPr>
            <sz val="10"/>
            <rFont val="Arial"/>
            <family val="2"/>
          </rPr>
          <t xml:space="preserve">Hand spread: Thermo Fisher Form 10-K FY25 (YE 31-Dec-25), FY2023 (2023-01-01 to 2023-12-31) – Diluted EPS: Diluted earnings per share 15.45 (p.34) =&gt; 15.45</t>
        </r>
      </text>
    </comment>
    <comment ref="AB309" authorId="0">
      <text>
        <r>
          <rPr>
            <sz val="10"/>
            <rFont val="Arial"/>
            <family val="2"/>
          </rPr>
          <t xml:space="preserve">Hand spread: reporting currency of the financial statements = USD.</t>
        </r>
      </text>
    </comment>
    <comment ref="AB313" authorId="0">
      <text>
        <r>
          <rPr>
            <sz val="10"/>
            <rFont val="Arial"/>
            <family val="2"/>
          </rPr>
          <t xml:space="preserve">Hand spread: ECB spot USD per USD at this column's pricing date (row 2) – FX tab.</t>
        </r>
      </text>
    </comment>
    <comment ref="AB315" authorId="0">
      <text>
        <r>
          <rPr>
            <sz val="10"/>
            <rFont val="Arial"/>
            <family val="2"/>
          </rPr>
          <t xml:space="preserve">Hand spread: balance sheet date of the latest filing (Thermo Fisher Form 10-Q, quarter ended 27-Jun-26).</t>
        </r>
      </text>
    </comment>
    <comment ref="AB316" authorId="0">
      <text>
        <r>
          <rPr>
            <sz val="10"/>
            <rFont val="Arial"/>
            <family val="2"/>
          </rPr>
          <t xml:space="preserve">Hand spread: ECB spot USD per USD at the 30-Jun-26 balance sheet date – FX tab. (USD reporter: 1.0)</t>
        </r>
      </text>
    </comment>
    <comment ref="AB327" authorId="0">
      <text>
        <r>
          <rPr>
            <sz val="10"/>
            <rFont val="Arial"/>
            <family val="2"/>
          </rPr>
          <t xml:space="preserve">Hand spread: US GAAP (ASC 842) reporter – operating lease cost is already within EBITDA and operating lease liabilities are not in reported debt; no IFRS 16 adjustment required.</t>
        </r>
      </text>
    </comment>
    <comment ref="AB328" authorId="0">
      <text>
        <r>
          <rPr>
            <sz val="10"/>
            <rFont val="Arial"/>
            <family val="2"/>
          </rPr>
          <t xml:space="preserve">Hand spread: US GAAP (ASC 842) reporter – operating lease cost is already within EBITDA and operating lease liabilities are not in reported debt; no IFRS 16 adjustment required.</t>
        </r>
      </text>
    </comment>
    <comment ref="AB339" authorId="0">
      <text>
        <r>
          <rPr>
            <sz val="10"/>
            <rFont val="Arial"/>
            <family val="2"/>
          </rPr>
          <t xml:space="preserve">Hand spread: Thermo Fisher Form 10-K FY25 (YE 31-Dec-25), FY2025 (2025-01-01 to 2025-12-31) – CapEx: Purchases of property, plant and equipment 1,525.0 (p.36) =&gt; 1,525.0</t>
        </r>
      </text>
    </comment>
    <comment ref="AB340" authorId="0">
      <text>
        <r>
          <rPr>
            <sz val="10"/>
            <rFont val="Arial"/>
            <family val="2"/>
          </rPr>
          <t xml:space="preserve">Hand spread: Thermo Fisher Form 10-K FY25 (YE 31-Dec-25), FY2024 (2024-01-01 to 2024-12-31) – CapEx: Purchases of property, plant and equipment 1,400.0 (p.36) =&gt; 1,400.0</t>
        </r>
      </text>
    </comment>
    <comment ref="AB341" authorId="0">
      <text>
        <r>
          <rPr>
            <sz val="10"/>
            <rFont val="Arial"/>
            <family val="2"/>
          </rPr>
          <t xml:space="preserve">Hand spread: Thermo Fisher Form 10-K FY25 (YE 31-Dec-25), FY2023 (2023-01-01 to 2023-12-31) – CapEx: Purchases of property, plant and equipment 1,479.0 (p.36) =&gt; 1,479.0</t>
        </r>
      </text>
    </comment>
    <comment ref="AC13" authorId="0">
      <text>
        <r>
          <rPr>
            <sz val="10"/>
            <rFont val="Arial"/>
            <family val="2"/>
          </rPr>
          <t xml:space="preserve">Latest filing used for the balance sheet / share data. See cell notes for every figure and the "Spread Notes" tab.</t>
        </r>
      </text>
    </comment>
    <comment ref="AC43" authorId="0">
      <text>
        <r>
          <rPr>
            <sz val="10"/>
            <rFont val="Arial"/>
            <family val="2"/>
          </rPr>
          <t xml:space="preserve">Hand spread: Danaher Form 10-Q, quarter ended 26-Jun-26, p.1 – Consolidated Condensed Balance Sheets – Cash and equivalents: 4,348.0</t>
        </r>
      </text>
    </comment>
    <comment ref="AC44" authorId="0">
      <text>
        <r>
          <rPr>
            <sz val="10"/>
            <rFont val="Arial"/>
            <family val="2"/>
          </rPr>
          <t xml:space="preserve">Hand spread: Danaher Form 10-Q, quarter ended 26-Jun-26, p.1 – no short-term investments line.</t>
        </r>
      </text>
    </comment>
    <comment ref="AC46" authorId="0">
      <text>
        <r>
          <rPr>
            <sz val="10"/>
            <rFont val="Arial"/>
            <family val="2"/>
          </rPr>
          <t xml:space="preserve">Hand spread: Danaher Form 10-Q, quarter ended 26-Jun-26, p.17 (Note – Fair value) – no equity-method investments disclosed; minority equity securities of 217 (strategic/non-marketable) excluded as immaterial. FactSet showed 1,400 – not supported by the filing.</t>
        </r>
      </text>
    </comment>
    <comment ref="AC55" authorId="0">
      <text>
        <r>
          <rPr>
            <sz val="10"/>
            <rFont val="Arial"/>
            <family val="2"/>
          </rPr>
          <t xml:space="preserve">Hand spread: Danaher Form 10-Q, quarter ended 26-Jun-26, p.1 – Consolidated Condensed Balance Sheets – Notes payable and current portion of long-term debt: 1,411.0</t>
        </r>
      </text>
    </comment>
    <comment ref="AC56" authorId="0">
      <text>
        <r>
          <rPr>
            <sz val="10"/>
            <rFont val="Arial"/>
            <family val="2"/>
          </rPr>
          <t xml:space="preserve">Hand spread: Danaher Form 10-Q, quarter ended 26-Jun-26, p.1 – Consolidated Condensed Balance Sheets – Long-term debt: 25,147.0</t>
        </r>
      </text>
    </comment>
    <comment ref="AC58" authorId="0">
      <text>
        <r>
          <rPr>
            <sz val="10"/>
            <rFont val="Arial"/>
            <family val="2"/>
          </rPr>
          <t xml:space="preserve">Hand spread: Danaher Form 10-Q, quarter ended 26-Jun-26 – no separately reported finance lease debt; operating leases (ASC 842) not debt – consistent with pre-IFRS 16 basis.</t>
        </r>
      </text>
    </comment>
    <comment ref="AC62" authorId="0">
      <text>
        <r>
          <rPr>
            <sz val="10"/>
            <rFont val="Arial"/>
            <family val="2"/>
          </rPr>
          <t xml:space="preserve">Hand spread: US GAAP reporter – no IFRS 16 lease liabilities to strip (operating lease liabilities excluded from debt).</t>
        </r>
      </text>
    </comment>
    <comment ref="AC70" authorId="0">
      <text>
        <r>
          <rPr>
            <sz val="10"/>
            <rFont val="Arial"/>
            <family val="2"/>
          </rPr>
          <t xml:space="preserve">Hand spread: Danaher Form 10-K FY25 (YE 31-Dec-25), p.91 (Pension and Benefit Plans) – Funded status: U.S. pension plans +352 (surplus) and non-U.S. pension plans (579) = net pension deficit 227 [calc]. Post-retirement medical (90) excluded (pensions only, consistent across comps). Latest disclosure.</t>
        </r>
      </text>
    </comment>
    <comment ref="AC71" authorId="0">
      <text>
        <r>
          <rPr>
            <sz val="10"/>
            <rFont val="Arial"/>
            <family val="2"/>
          </rPr>
          <t xml:space="preserve">Statutory tax rate 21.00% for UNITED STATES, from the "Tax Rates" tab of the external LGC – WACC and Trading Comps_v2.xlsx (external link removed; cached value kept). Used only to tax-effect the pension deficit (row 72).</t>
        </r>
      </text>
    </comment>
    <comment ref="AC74" authorId="0">
      <text>
        <r>
          <rPr>
            <sz val="10"/>
            <rFont val="Arial"/>
            <family val="2"/>
          </rPr>
          <t xml:space="preserve">Hand spread: Danaher Form 10-Q, quarter ended 26-Jun-26, p.1 – Consolidated Condensed Balance Sheets – Noncontrolling interests: 11</t>
        </r>
      </text>
    </comment>
    <comment ref="AC77" authorId="0">
      <text>
        <r>
          <rPr>
            <sz val="10"/>
            <rFont val="Arial"/>
            <family val="2"/>
          </rPr>
          <t xml:space="preserve">Hand spread: Danaher Form 10-Q, quarter ended 26-Jun-26, p.1 – no preferred stock outstanding.</t>
        </r>
      </text>
    </comment>
    <comment ref="AC81" authorId="0">
      <text>
        <r>
          <rPr>
            <sz val="10"/>
            <rFont val="Arial"/>
            <family val="2"/>
          </rPr>
          <t xml:space="preserve">Hand spread: Danaher Form 10-Q, quarter ended 26-Jun-26, p.1 – Consolidated Condensed Balance Sheets – Total Danaher stockholders' equity: 52,581.0</t>
        </r>
      </text>
    </comment>
    <comment ref="AC137" authorId="0">
      <text>
        <r>
          <rPr>
            <sz val="10"/>
            <rFont val="Arial"/>
            <family val="2"/>
          </rPr>
          <t xml:space="preserve">Hand spread: Danaher Form 10-Q, quarter ended 26-Jun-26, cover page – common stock outstanding at 16-Jul-26: 702,986,054.</t>
        </r>
      </text>
    </comment>
    <comment ref="AC152" authorId="0">
      <text>
        <r>
          <rPr>
            <sz val="10"/>
            <rFont val="Arial"/>
            <family val="2"/>
          </rPr>
          <t xml:space="preserve">Hand spread: Danaher Form 10-K FY25 (YE 31-Dec-25), p.100 (Stock-Based Compensation) – options outstanding at 31-Dec-25: 13.6m (latest disclosure).</t>
        </r>
      </text>
    </comment>
    <comment ref="AC159" authorId="0">
      <text>
        <r>
          <rPr>
            <sz val="10"/>
            <rFont val="Arial"/>
            <family val="2"/>
          </rPr>
          <t xml:space="preserve">Hand spread: Danaher Form 10-K FY25 (YE 31-Dec-25), p.101 – unvested RSUs and PSUs (combined) at 31-Dec-25: 2.3m.</t>
        </r>
      </text>
    </comment>
    <comment ref="AC164" authorId="0">
      <text>
        <r>
          <rPr>
            <sz val="10"/>
            <rFont val="Arial"/>
            <family val="2"/>
          </rPr>
          <t xml:space="preserve">Hand spread: Danaher Form 10-K FY25 (YE 31-Dec-25), p.100 – weighted-average exercise price: $177.52</t>
        </r>
      </text>
    </comment>
    <comment ref="AC189" authorId="0">
      <text>
        <r>
          <rPr>
            <sz val="10"/>
            <rFont val="Arial"/>
            <family val="2"/>
          </rPr>
          <t xml:space="preserve">Hand spread: Danaher Form 10-Q, quarter ended 26-Jun-26 – fiscal year ends 31 December.</t>
        </r>
      </text>
    </comment>
    <comment ref="AC192" authorId="0">
      <text>
        <r>
          <rPr>
            <sz val="10"/>
            <rFont val="Arial"/>
            <family val="2"/>
          </rPr>
          <t xml:space="preserve">Kim, Justin G.:
Most companies will end their fiscal year in December; however companies like Takeda report Fiscal Year end on a different quarter - this requires you to recalendarize the line items so they are apples-to-apples with other companies ending their FY in December 31</t>
        </r>
      </text>
    </comment>
    <comment ref="AC205" authorId="0">
      <text>
        <r>
          <rPr>
            <sz val="10"/>
            <rFont val="Arial"/>
            <family val="2"/>
          </rPr>
          <t xml:space="preserve">Hand spread: Danaher Form 10-K FY25 (YE 31-Dec-25), FY2025 (2025-01-01 to 2025-12-31) – Revenue: Sales 24,568.0 (p.60) =&gt; 24,568.0</t>
        </r>
      </text>
    </comment>
    <comment ref="AC206" authorId="0">
      <text>
        <r>
          <rPr>
            <sz val="10"/>
            <rFont val="Arial"/>
            <family val="2"/>
          </rPr>
          <t xml:space="preserve">Hand spread: Danaher Form 10-K FY25 (YE 31-Dec-25), FY2024 (2024-01-01 to 2024-12-31) – Revenue: Sales 23,875.0 (p.60) =&gt; 23,875.0</t>
        </r>
      </text>
    </comment>
    <comment ref="AC207" authorId="0">
      <text>
        <r>
          <rPr>
            <sz val="10"/>
            <rFont val="Arial"/>
            <family val="2"/>
          </rPr>
          <t xml:space="preserve">Hand spread: Danaher Form 10-K FY25 (YE 31-Dec-25), FY2023 (2023-01-01 to 2023-12-31) – Revenue: Sales 23,890.0 (p.60) =&gt; 23,890.0</t>
        </r>
      </text>
    </comment>
    <comment ref="AC215" authorId="0">
      <text>
        <r>
          <rPr>
            <sz val="10"/>
            <rFont val="Arial"/>
            <family val="2"/>
          </rPr>
          <t xml:space="preserve">Hand spread: Danaher Form 10-K FY25 (YE 31-Dec-25), FY2025 (2025-01-01 to 2025-12-31) – Gross profit: Gross profit 14,523.0 (p.60) =&gt; 14,523.0</t>
        </r>
      </text>
    </comment>
    <comment ref="AC216" authorId="0">
      <text>
        <r>
          <rPr>
            <sz val="10"/>
            <rFont val="Arial"/>
            <family val="2"/>
          </rPr>
          <t xml:space="preserve">Hand spread: Danaher Form 10-K FY25 (YE 31-Dec-25), FY2024 (2024-01-01 to 2024-12-31) – Gross profit: Gross profit 14,206.0 (p.60) =&gt; 14,206.0</t>
        </r>
      </text>
    </comment>
    <comment ref="AC217" authorId="0">
      <text>
        <r>
          <rPr>
            <sz val="10"/>
            <rFont val="Arial"/>
            <family val="2"/>
          </rPr>
          <t xml:space="preserve">Hand spread: Danaher Form 10-K FY25 (YE 31-Dec-25), FY2023 (2023-01-01 to 2023-12-31) – Gross profit: Gross profit 14,034.0 (p.60) =&gt; 14,034.0</t>
        </r>
      </text>
    </comment>
    <comment ref="AC225" authorId="0">
      <text>
        <r>
          <rPr>
            <sz val="10"/>
            <rFont val="Arial"/>
            <family val="2"/>
          </rPr>
          <t xml:space="preserve">Hand spread: Danaher Form 10-K FY25 (YE 31-Dec-25), FY2025 (2025-01-01 to 2025-12-31) – R&amp;D: Research and development expenses 1,598.0 (p.60) =&gt; 1,598.0</t>
        </r>
      </text>
    </comment>
    <comment ref="AC226" authorId="0">
      <text>
        <r>
          <rPr>
            <sz val="10"/>
            <rFont val="Arial"/>
            <family val="2"/>
          </rPr>
          <t xml:space="preserve">Hand spread: Danaher Form 10-K FY25 (YE 31-Dec-25), FY2024 (2024-01-01 to 2024-12-31) – R&amp;D: Research and development expenses 1,584.0 (p.60) =&gt; 1,584.0</t>
        </r>
      </text>
    </comment>
    <comment ref="AC227" authorId="0">
      <text>
        <r>
          <rPr>
            <sz val="10"/>
            <rFont val="Arial"/>
            <family val="2"/>
          </rPr>
          <t xml:space="preserve">Hand spread: Danaher Form 10-K FY25 (YE 31-Dec-25), FY2023 (2023-01-01 to 2023-12-31) – R&amp;D: Research and development expenses 1,503.0 (p.60) =&gt; 1,503.0</t>
        </r>
      </text>
    </comment>
    <comment ref="AC235" authorId="0">
      <text>
        <r>
          <rPr>
            <sz val="10"/>
            <rFont val="Arial"/>
            <family val="2"/>
          </rPr>
          <t xml:space="preserve">Hand spread: Danaher Form 10-K FY25 (YE 31-Dec-25), FY2025 (2025-01-01 to 2025-12-31) – SG&amp;A: Selling, general and administrative expenses 8,235.0 (p.60) =&gt; 8,235.0</t>
        </r>
      </text>
    </comment>
    <comment ref="AC236" authorId="0">
      <text>
        <r>
          <rPr>
            <sz val="10"/>
            <rFont val="Arial"/>
            <family val="2"/>
          </rPr>
          <t xml:space="preserve">Hand spread: Danaher Form 10-K FY25 (YE 31-Dec-25), FY2024 (2024-01-01 to 2024-12-31) – SG&amp;A: Selling, general and administrative expenses 7,759.0 (p.60) =&gt; 7,759.0</t>
        </r>
      </text>
    </comment>
    <comment ref="AC237" authorId="0">
      <text>
        <r>
          <rPr>
            <sz val="10"/>
            <rFont val="Arial"/>
            <family val="2"/>
          </rPr>
          <t xml:space="preserve">Hand spread: Danaher Form 10-K FY25 (YE 31-Dec-25), FY2023 (2023-01-01 to 2023-12-31) – SG&amp;A: Selling, general and administrative expenses 7,329.0 (p.60) =&gt; 7,329.0</t>
        </r>
      </text>
    </comment>
    <comment ref="AC245" authorId="0">
      <text>
        <r>
          <rPr>
            <sz val="10"/>
            <rFont val="Arial"/>
            <family val="2"/>
          </rPr>
          <t xml:space="preserve">Hand spread: Danaher Form 10-K FY25 (YE 31-Dec-25), FY2025 (2025-01-01 to 2025-12-31) – EBIT (operating income, as reported): Operating profit 4,690.0 (p.60) =&gt; 4,690.0</t>
        </r>
      </text>
    </comment>
    <comment ref="AC246" authorId="0">
      <text>
        <r>
          <rPr>
            <sz val="10"/>
            <rFont val="Arial"/>
            <family val="2"/>
          </rPr>
          <t xml:space="preserve">Hand spread: Danaher Form 10-K FY25 (YE 31-Dec-25), FY2024 (2024-01-01 to 2024-12-31) – EBIT (operating income, as reported): Operating profit 4,863.0 (p.60) =&gt; 4,863.0</t>
        </r>
      </text>
    </comment>
    <comment ref="AC247" authorId="0">
      <text>
        <r>
          <rPr>
            <sz val="10"/>
            <rFont val="Arial"/>
            <family val="2"/>
          </rPr>
          <t xml:space="preserve">Hand spread: Danaher Form 10-K FY25 (YE 31-Dec-25), FY2023 (2023-01-01 to 2023-12-31) – EBIT (operating income, as reported): Operating profit 5,202.0 (p.60) =&gt; 5,202.0</t>
        </r>
      </text>
    </comment>
    <comment ref="AC265" authorId="0">
      <text>
        <r>
          <rPr>
            <sz val="10"/>
            <rFont val="Arial"/>
            <family val="2"/>
          </rPr>
          <t xml:space="preserve">Hand spread: Danaher Form 10-K FY25 (YE 31-Dec-25), FY2025 – EBITDA = EBIT + D&amp;A + non-cash impairments [calc]: EBIT 4,690.0 + Depreciation (cash flow) 750.0 (p.63) + Amortization of intangible assets (cash flow) 1,697.0 (p.63) + Impairment charges (cash flow) 562.0 (p.63) =&gt; 7,699.0</t>
        </r>
      </text>
    </comment>
    <comment ref="AC266" authorId="0">
      <text>
        <r>
          <rPr>
            <sz val="10"/>
            <rFont val="Arial"/>
            <family val="2"/>
          </rPr>
          <t xml:space="preserve">Hand spread: Danaher Form 10-K FY25 (YE 31-Dec-25), FY2024 – EBITDA = EBIT + D&amp;A + non-cash impairments [calc]: EBIT 4,863.0 + Depreciation (cash flow) 721.0 (p.63) + Amortization of intangible assets (cash flow) 1,631.0 (p.63) + Impairment charges (cash flow) 265.0 (p.63) =&gt; 7,480.0</t>
        </r>
      </text>
    </comment>
    <comment ref="AC267" authorId="0">
      <text>
        <r>
          <rPr>
            <sz val="10"/>
            <rFont val="Arial"/>
            <family val="2"/>
          </rPr>
          <t xml:space="preserve">Hand spread: Danaher Form 10-K FY25 (YE 31-Dec-25), FY2023 – EBITDA = EBIT + D&amp;A + non-cash impairments [calc]: EBIT 5,202.0 + Depreciation (cash flow) 675.0 (p.63) + Amortization of intangible assets (cash flow) 1,491.0 (p.63) + Impairment charges (cash flow) 77 (p.63) =&gt; 7,445.0</t>
        </r>
      </text>
    </comment>
    <comment ref="AC285" authorId="0">
      <text>
        <r>
          <rPr>
            <sz val="10"/>
            <rFont val="Arial"/>
            <family val="2"/>
          </rPr>
          <t xml:space="preserve">Hand spread: Danaher Form 10-K FY25 (YE 31-Dec-25), FY2025 (2025-01-01 to 2025-12-31) – Net income attributable to shareholders: Net earnings from continuing operations 3,600.0 (p.60) =&gt; 3,600.0</t>
        </r>
      </text>
    </comment>
    <comment ref="AC286" authorId="0">
      <text>
        <r>
          <rPr>
            <sz val="10"/>
            <rFont val="Arial"/>
            <family val="2"/>
          </rPr>
          <t xml:space="preserve">Hand spread: Danaher Form 10-K FY25 (YE 31-Dec-25), FY2024 (2024-01-01 to 2024-12-31) – Net income attributable to shareholders: Net earnings from continuing operations 3,899.0 (p.60) =&gt; 3,899.0</t>
        </r>
      </text>
    </comment>
    <comment ref="AC287" authorId="0">
      <text>
        <r>
          <rPr>
            <sz val="10"/>
            <rFont val="Arial"/>
            <family val="2"/>
          </rPr>
          <t xml:space="preserve">Hand spread: Danaher Form 10-K FY25 (YE 31-Dec-25), FY2023 (2023-01-01 to 2023-12-31) – Net income attributable to shareholders: Net earnings from continuing operations 4,221.0 (p.60) =&gt; 4,221.0</t>
        </r>
      </text>
    </comment>
    <comment ref="AC295" authorId="0">
      <text>
        <r>
          <rPr>
            <sz val="10"/>
            <rFont val="Arial"/>
            <family val="2"/>
          </rPr>
          <t xml:space="preserve">Hand spread: Danaher Form 10-K FY25 (YE 31-Dec-25), FY2025 (2025-01-01 to 2025-12-31) – Diluted EPS: Diluted EPS from continuing operations 5.03 (p.60) =&gt; 5.03</t>
        </r>
      </text>
    </comment>
    <comment ref="AC296" authorId="0">
      <text>
        <r>
          <rPr>
            <sz val="10"/>
            <rFont val="Arial"/>
            <family val="2"/>
          </rPr>
          <t xml:space="preserve">Hand spread: Danaher Form 10-K FY25 (YE 31-Dec-25), FY2024 (2024-01-01 to 2024-12-31) – Diluted EPS: Diluted EPS from continuing operations 5.29 (p.60) =&gt; 5.29</t>
        </r>
      </text>
    </comment>
    <comment ref="AC297" authorId="0">
      <text>
        <r>
          <rPr>
            <sz val="10"/>
            <rFont val="Arial"/>
            <family val="2"/>
          </rPr>
          <t xml:space="preserve">Hand spread: Danaher Form 10-K FY25 (YE 31-Dec-25), FY2023 (2023-01-01 to 2023-12-31) – Diluted EPS: Diluted EPS from continuing operations 5.65 (p.60) =&gt; 5.65</t>
        </r>
      </text>
    </comment>
    <comment ref="AC309" authorId="0">
      <text>
        <r>
          <rPr>
            <sz val="10"/>
            <rFont val="Arial"/>
            <family val="2"/>
          </rPr>
          <t xml:space="preserve">Hand spread: reporting currency of the financial statements = USD.</t>
        </r>
      </text>
    </comment>
    <comment ref="AC313" authorId="0">
      <text>
        <r>
          <rPr>
            <sz val="10"/>
            <rFont val="Arial"/>
            <family val="2"/>
          </rPr>
          <t xml:space="preserve">Hand spread: ECB spot USD per USD at this column's pricing date (row 2) – FX tab.</t>
        </r>
      </text>
    </comment>
    <comment ref="AC315" authorId="0">
      <text>
        <r>
          <rPr>
            <sz val="10"/>
            <rFont val="Arial"/>
            <family val="2"/>
          </rPr>
          <t xml:space="preserve">Hand spread: balance sheet date of the latest filing (Danaher Form 10-Q, quarter ended 26-Jun-26).</t>
        </r>
      </text>
    </comment>
    <comment ref="AC316" authorId="0">
      <text>
        <r>
          <rPr>
            <sz val="10"/>
            <rFont val="Arial"/>
            <family val="2"/>
          </rPr>
          <t xml:space="preserve">Hand spread: ECB spot USD per USD at the 30-Jun-26 balance sheet date – FX tab. (USD reporter: 1.0)</t>
        </r>
      </text>
    </comment>
    <comment ref="AC327" authorId="0">
      <text>
        <r>
          <rPr>
            <sz val="10"/>
            <rFont val="Arial"/>
            <family val="2"/>
          </rPr>
          <t xml:space="preserve">Hand spread: US GAAP (ASC 842) reporter – operating lease cost is already within EBITDA and operating lease liabilities are not in reported debt; no IFRS 16 adjustment required.</t>
        </r>
      </text>
    </comment>
    <comment ref="AC328" authorId="0">
      <text>
        <r>
          <rPr>
            <sz val="10"/>
            <rFont val="Arial"/>
            <family val="2"/>
          </rPr>
          <t xml:space="preserve">Hand spread: US GAAP (ASC 842) reporter – operating lease cost is already within EBITDA and operating lease liabilities are not in reported debt; no IFRS 16 adjustment required.</t>
        </r>
      </text>
    </comment>
    <comment ref="AC339" authorId="0">
      <text>
        <r>
          <rPr>
            <sz val="10"/>
            <rFont val="Arial"/>
            <family val="2"/>
          </rPr>
          <t xml:space="preserve">Hand spread: Danaher Form 10-K FY25 (YE 31-Dec-25), FY2025 (2025-01-01 to 2025-12-31) – CapEx: Payments for additions to property, plant and equipment 1,156.0 (p.63) =&gt; 1,156.0</t>
        </r>
      </text>
    </comment>
    <comment ref="AC340" authorId="0">
      <text>
        <r>
          <rPr>
            <sz val="10"/>
            <rFont val="Arial"/>
            <family val="2"/>
          </rPr>
          <t xml:space="preserve">Hand spread: Danaher Form 10-K FY25 (YE 31-Dec-25), FY2024 (2024-01-01 to 2024-12-31) – CapEx: Payments for additions to property, plant and equipment 1,392.0 (p.63) =&gt; 1,392.0</t>
        </r>
      </text>
    </comment>
    <comment ref="AC341" authorId="0">
      <text>
        <r>
          <rPr>
            <sz val="10"/>
            <rFont val="Arial"/>
            <family val="2"/>
          </rPr>
          <t xml:space="preserve">Hand spread: Danaher Form 10-K FY25 (YE 31-Dec-25), FY2023 (2023-01-01 to 2023-12-31) – CapEx: Payments for additions to property, plant and equipment 1,383.0 (p.63) =&gt; 1,383.0</t>
        </r>
      </text>
    </comment>
    <comment ref="AD13" authorId="0">
      <text>
        <r>
          <rPr>
            <sz val="10"/>
            <rFont val="Arial"/>
            <family val="2"/>
          </rPr>
          <t xml:space="preserve">Latest filing used for the balance sheet / share data. See cell notes for every figure and the "Spread Notes" tab.</t>
        </r>
      </text>
    </comment>
    <comment ref="AD43" authorId="0">
      <text>
        <r>
          <rPr>
            <sz val="10"/>
            <rFont val="Arial"/>
            <family val="2"/>
          </rPr>
          <t xml:space="preserve">Hand spread: Agilent Form 10-Q, quarter ended 31-Jul-26 (Q3 FY26), p.5 – Condensed Consolidated Balance Sheet – Cash and cash equivalents: 1,758.0</t>
        </r>
      </text>
    </comment>
    <comment ref="AD44" authorId="0">
      <text>
        <r>
          <rPr>
            <sz val="10"/>
            <rFont val="Arial"/>
            <family val="2"/>
          </rPr>
          <t xml:space="preserve">Hand spread: Agilent Form 10-Q, quarter ended 31-Jul-26 (Q3 FY26), p.5 – no short-term investments. Long-term investments of 130 (p.5; mainly non-marketable/strategic equity investments) excluded – not cash-like.</t>
        </r>
      </text>
    </comment>
    <comment ref="AD46" authorId="0">
      <text>
        <r>
          <rPr>
            <sz val="10"/>
            <rFont val="Arial"/>
            <family val="2"/>
          </rPr>
          <t xml:space="preserve">Hand spread: Agilent Form 10-Q, quarter ended 31-Jul-26 (Q3 FY26) – balance sheet: no investments in associates / joint ventures (equity-accounted) shown.</t>
        </r>
      </text>
    </comment>
    <comment ref="AD55" authorId="0">
      <text>
        <r>
          <rPr>
            <sz val="10"/>
            <rFont val="Arial"/>
            <family val="2"/>
          </rPr>
          <t xml:space="preserve">Hand spread: Agilent Form 10-Q, quarter ended 31-Jul-26 (Q3 FY26), p.5 – Condensed Consolidated Balance Sheet – Short-term debt: 304.0</t>
        </r>
      </text>
    </comment>
    <comment ref="AD56" authorId="0">
      <text>
        <r>
          <rPr>
            <sz val="10"/>
            <rFont val="Arial"/>
            <family val="2"/>
          </rPr>
          <t xml:space="preserve">Hand spread: Agilent Form 10-Q, quarter ended 31-Jul-26 (Q3 FY26), p.5 – Condensed Consolidated Balance Sheet – Long-term debt: 3,645.0</t>
        </r>
      </text>
    </comment>
    <comment ref="AD58" authorId="0">
      <text>
        <r>
          <rPr>
            <sz val="10"/>
            <rFont val="Arial"/>
            <family val="2"/>
          </rPr>
          <t xml:space="preserve">Hand spread: Agilent Form 10-Q, quarter ended 31-Jul-26 (Q3 FY26) – no separately reported finance lease debt; operating leases (ASC 842) not debt – consistent with pre-IFRS 16 basis.</t>
        </r>
      </text>
    </comment>
    <comment ref="AD62" authorId="0">
      <text>
        <r>
          <rPr>
            <sz val="10"/>
            <rFont val="Arial"/>
            <family val="2"/>
          </rPr>
          <t xml:space="preserve">Hand spread: US GAAP reporter – no IFRS 16 lease liabilities to strip (operating lease liabilities excluded from debt).</t>
        </r>
      </text>
    </comment>
    <comment ref="AD70" authorId="0">
      <text>
        <r>
          <rPr>
            <sz val="10"/>
            <rFont val="Arial"/>
            <family val="2"/>
          </rPr>
          <t xml:space="preserve">Hand spread: Agilent Form 10-K FY25 (YE 31-Oct-25), p.102 (Retirement Plans) – Funded status: U.S. pension plans +68 and non-U.S. pension plans +196 = net SURPLUS 264 (entered as negative liability) [calc]. Post-retirement health (+26) excluded – pensions only. Latest disclosure.</t>
        </r>
      </text>
    </comment>
    <comment ref="AD71" authorId="0">
      <text>
        <r>
          <rPr>
            <sz val="10"/>
            <rFont val="Arial"/>
            <family val="2"/>
          </rPr>
          <t xml:space="preserve">Statutory tax rate 21.00% for UNITED STATES, from the "Tax Rates" tab of the external LGC – WACC and Trading Comps_v2.xlsx (external link removed; cached value kept). Used only to tax-effect the pension deficit (row 72).</t>
        </r>
      </text>
    </comment>
    <comment ref="AD74" authorId="0">
      <text>
        <r>
          <rPr>
            <sz val="10"/>
            <rFont val="Arial"/>
            <family val="2"/>
          </rPr>
          <t xml:space="preserve">Hand spread: Agilent Form 10-Q, quarter ended 31-Jul-26 (Q3 FY26), p.5 – no noncontrolling interest on balance sheet.</t>
        </r>
      </text>
    </comment>
    <comment ref="AD77" authorId="0">
      <text>
        <r>
          <rPr>
            <sz val="10"/>
            <rFont val="Arial"/>
            <family val="2"/>
          </rPr>
          <t xml:space="preserve">Hand spread: Agilent Form 10-Q, quarter ended 31-Jul-26 (Q3 FY26), p.5 – Preferred stock: none issued.</t>
        </r>
      </text>
    </comment>
    <comment ref="AD81" authorId="0">
      <text>
        <r>
          <rPr>
            <sz val="10"/>
            <rFont val="Arial"/>
            <family val="2"/>
          </rPr>
          <t xml:space="preserve">Hand spread: Agilent Form 10-Q, quarter ended 31-Jul-26 (Q3 FY26), p.5 – Condensed Consolidated Balance Sheet – Total stockholders' equity: 7,363.0</t>
        </r>
      </text>
    </comment>
    <comment ref="AD137" authorId="0">
      <text>
        <r>
          <rPr>
            <sz val="10"/>
            <rFont val="Arial"/>
            <family val="2"/>
          </rPr>
          <t xml:space="preserve">Hand spread: Agilent Form 10-Q, quarter ended 31-Jul-26 (Q3 FY26), cover page – common stock outstanding at 26-Aug-26: 281,928,854.</t>
        </r>
      </text>
    </comment>
    <comment ref="AD152" authorId="0">
      <text>
        <r>
          <rPr>
            <sz val="10"/>
            <rFont val="Arial"/>
            <family val="2"/>
          </rPr>
          <t xml:space="preserve">Hand spread: Agilent Form 10-K FY25 (YE 31-Oct-25), p.83 (Share-based compensation) – options outstanding at 31-Oct-25: 914 thousand (latest disclosure).</t>
        </r>
      </text>
    </comment>
    <comment ref="AD159" authorId="0">
      <text>
        <r>
          <rPr>
            <sz val="10"/>
            <rFont val="Arial"/>
            <family val="2"/>
          </rPr>
          <t xml:space="preserve">Hand spread: Agilent Form 10-K FY25 (YE 31-Oct-25), p.84 – non-vested restricted stock units (incl. LTPP performance awards) at 31-Oct-25: 2,040 thousand.</t>
        </r>
      </text>
    </comment>
    <comment ref="AD164" authorId="0">
      <text>
        <r>
          <rPr>
            <sz val="10"/>
            <rFont val="Arial"/>
            <family val="2"/>
          </rPr>
          <t xml:space="preserve">Hand spread: Agilent Form 10-K FY25 (YE 31-Oct-25), p.83 – weighted-average exercise price of options outstanding: $134</t>
        </r>
      </text>
    </comment>
    <comment ref="AD189" authorId="0">
      <text>
        <r>
          <rPr>
            <sz val="10"/>
            <rFont val="Arial"/>
            <family val="2"/>
          </rPr>
          <t xml:space="preserve">Hand spread: Agilent Form 10-K FY25 (YE 31-Oct-25) – fiscal year ends 31 October.</t>
        </r>
      </text>
    </comment>
    <comment ref="AD192" authorId="0">
      <text>
        <r>
          <rPr>
            <sz val="10"/>
            <rFont val="Arial"/>
            <family val="2"/>
          </rPr>
          <t xml:space="preserve">Kim, Justin G.:
Most companies will end their fiscal year in December; however companies like Takeda report Fiscal Year end on a different quarter - this requires you to recalendarize the line items so they are apples-to-apples with other companies ending their FY in December 31</t>
        </r>
      </text>
    </comment>
    <comment ref="AD205" authorId="0">
      <text>
        <r>
          <rPr>
            <sz val="10"/>
            <rFont val="Arial"/>
            <family val="2"/>
          </rPr>
          <t xml:space="preserve">Hand spread: Revenue CY2025 (Agilent FY ends 31-Oct; calendarised as FY less Q1 (Nov-Jan) plus next FY Q1, i.e. Feb-Jan 12 months, closest available to Dec YE) [calc]: 1 x FY25 (6,948.0) + -1 x Q1 FY25 (1,681.0) + 1 x Q1 FY26 (1,798.0) = 7,065.0. Sources – FY25: Agilent Form 10-K FY25 (YE 31-Oct-25) [2024-11-01 to 2025-10-31]: Total net revenue 6,948.0 (p.64) || Q1 FY25: Agilent Form 10-Q Q1 FY26 (quarter ended 31-Jan-26) [2024-11-01 to 2025-01-31]: Total net revenue 1,681.0 (p.3) || Q1 FY26: Agilent Form 10-Q Q1 FY26 (quarter ended 31-Jan-26) [2025-11-01 to 2026-01-31]: Total net revenue 1,798.0 (p.3)</t>
        </r>
      </text>
    </comment>
    <comment ref="AD206" authorId="0">
      <text>
        <r>
          <rPr>
            <sz val="10"/>
            <rFont val="Arial"/>
            <family val="2"/>
          </rPr>
          <t xml:space="preserve">Hand spread: Revenue CY2024 (Agilent FY ends 31-Oct; calendarised as FY less Q1 (Nov-Jan) plus next FY Q1, i.e. Feb-Jan 12 months, closest available to Dec YE) [calc]: 1 x FY24 (6,510.0) + -1 x Q1 FY24 (1,658.0) + 1 x Q1 FY25 (1,681.0) = 6,533.0. Sources – FY24: Agilent Form 10-K FY25 (YE 31-Oct-25) [2023-11-01 to 2024-10-31]: Total net revenue 6,510.0 (p.64) || Q1 FY24: Agilent Form 10-Q Q1 FY24 (quarter ended 31-Jan-24) [2023-11-01 to 2024-01-31]: Total net revenue 1,658.0 (p.3) || Q1 FY25: Agilent Form 10-Q Q1 FY26 (quarter ended 31-Jan-26) [2024-11-01 to 2025-01-31]: Total net revenue 1,681.0 (p.3)</t>
        </r>
      </text>
    </comment>
    <comment ref="AD207" authorId="0">
      <text>
        <r>
          <rPr>
            <sz val="10"/>
            <rFont val="Arial"/>
            <family val="2"/>
          </rPr>
          <t xml:space="preserve">Hand spread: Revenue CY2023 (Agilent FY ends 31-Oct; calendarised as FY less Q1 (Nov-Jan) plus next FY Q1, i.e. Feb-Jan 12 months, closest available to Dec YE) [calc]: 1 x FY23 (6,833.0) + -1 x Q1 FY23 (1,756.0) + 1 x Q1 FY24 (1,658.0) = 6,735.0. Sources – FY23: Agilent Form 10-K FY25 (YE 31-Oct-25) [2022-11-01 to 2023-10-31]: Total net revenue 6,833.0 (p.64) || Q1 FY23: Agilent Form 10-Q Q1 FY24 (quarter ended 31-Jan-24) [2022-11-01 to 2023-01-31]: Total net revenue 1,756.0 (p.3) || Q1 FY24: Agilent Form 10-Q Q1 FY24 (quarter ended 31-Jan-24) [2023-11-01 to 2024-01-31]: Total net revenue 1,658.0 (p.3)</t>
        </r>
      </text>
    </comment>
    <comment ref="AD215" authorId="0">
      <text>
        <r>
          <rPr>
            <sz val="10"/>
            <rFont val="Arial"/>
            <family val="2"/>
          </rPr>
          <t xml:space="preserve">Hand spread: Gross profit CY2025 (Agilent FY ends 31-Oct; calendarised as FY less Q1 (Nov-Jan) plus next FY Q1, i.e. Feb-Jan 12 months, closest available to Dec YE) [calc]: 1 x FY25 (3,643.0) + -1 x Q1 FY25 (899.0) + 1 x Q1 FY26 (946.0) = 3,690.0. Sources – FY25: Agilent Form 10-K FY25 (YE 31-Oct-25) [2024-11-01 to 2025-10-31]: Total net revenue 6,948.0 (p.64) ; less Total costs (cost of products and services) 3,305.0 (p.64) =&gt; 3,643.0 || Q1 FY25: Agilent Form 10-Q Q1 FY26 (quarter ended 31-Jan-26) [2024-11-01 to 2025-01-31]: Total net revenue 1,681.0 (p.3) ; less Total costs (cost of products and services) 782.0 (p.3) =&gt; 899.0 || Q1 FY26: Agilent Form 10-Q Q1 FY26 (quarter ended 31-Jan-26) [2025-11-01 to 2026-01-31]: Total net revenue 1,798.0 (p.3) ; less Total costs (cost of products and services) 852.0 (p.3) =&gt; 946.0</t>
        </r>
      </text>
    </comment>
    <comment ref="AD216" authorId="0">
      <text>
        <r>
          <rPr>
            <sz val="10"/>
            <rFont val="Arial"/>
            <family val="2"/>
          </rPr>
          <t xml:space="preserve">Hand spread: Gross profit CY2024 (Agilent FY ends 31-Oct; calendarised as FY less Q1 (Nov-Jan) plus next FY Q1, i.e. Feb-Jan 12 months, closest available to Dec YE) [calc]: 1 x FY24 (3,535.0) + -1 x Q1 FY24 (908.0) + 1 x Q1 FY25 (899.0) = 3,526.0. Sources – FY24: Agilent Form 10-K FY25 (YE 31-Oct-25) [2023-11-01 to 2024-10-31]: Total net revenue 6,510.0 (p.64) ; less Total costs (cost of products and services) 2,975.0 (p.64) =&gt; 3,535.0 || Q1 FY24: Agilent Form 10-Q Q1 FY24 (quarter ended 31-Jan-24) [2023-11-01 to 2024-01-31]: Total net revenue 1,658.0 (p.3) ; less Total costs (cost of products and services) 750.0 (p.3) =&gt; 908.0 || Q1 FY25: Agilent Form 10-Q Q1 FY26 (quarter ended 31-Jan-26) [2024-11-01 to 2025-01-31]: Total net revenue 1,681.0 (p.3) ; less Total costs (cost of products and services) 782.0 (p.3) =&gt; 899.0</t>
        </r>
      </text>
    </comment>
    <comment ref="AD217" authorId="0">
      <text>
        <r>
          <rPr>
            <sz val="10"/>
            <rFont val="Arial"/>
            <family val="2"/>
          </rPr>
          <t xml:space="preserve">Hand spread: Gross profit CY2023 (Agilent FY ends 31-Oct; calendarised as FY less Q1 (Nov-Jan) plus next FY Q1, i.e. Feb-Jan 12 months, closest available to Dec YE) [calc]: 1 x FY23 (3,465.0) + -1 x Q1 FY23 (968.0) + 1 x Q1 FY24 (908.0) = 3,405.0. Sources – FY23: Agilent Form 10-K FY25 (YE 31-Oct-25) [2022-11-01 to 2023-10-31]: Total net revenue 6,833.0 (p.64) ; less Total costs (cost of products and services) 3,368.0 (p.64) =&gt; 3,465.0 || Q1 FY23: Agilent Form 10-Q Q1 FY24 (quarter ended 31-Jan-24) [2022-11-01 to 2023-01-31]: Total net revenue 1,756.0 (p.3) ; less Total costs (cost of products and services) 788.0 (p.3) =&gt; 968.0 || Q1 FY24: Agilent Form 10-Q Q1 FY24 (quarter ended 31-Jan-24) [2023-11-01 to 2024-01-31]: Total net revenue 1,658.0 (p.3) ; less Total costs (cost of products and services) 750.0 (p.3) =&gt; 908.0</t>
        </r>
      </text>
    </comment>
    <comment ref="AD225" authorId="0">
      <text>
        <r>
          <rPr>
            <sz val="10"/>
            <rFont val="Arial"/>
            <family val="2"/>
          </rPr>
          <t xml:space="preserve">Hand spread: R&amp;D CY2025 (Agilent FY ends 31-Oct; calendarised as FY less Q1 (Nov-Jan) plus next FY Q1, i.e. Feb-Jan 12 months, closest available to Dec YE) [calc]: 1 x FY25 (455.0) + -1 x Q1 FY25 (113.0) + 1 x Q1 FY26 (117.0) = 459.0. Sources – FY25: Agilent Form 10-K FY25 (YE 31-Oct-25) [2024-11-01 to 2025-10-31]: Research and development 455.0 (p.64) || Q1 FY25: Agilent Form 10-Q Q1 FY26 (quarter ended 31-Jan-26) [2024-11-01 to 2025-01-31]: Research and development 113.0 (p.3) || Q1 FY26: Agilent Form 10-Q Q1 FY26 (quarter ended 31-Jan-26) [2025-11-01 to 2026-01-31]: Research and development 117.0 (p.3)</t>
        </r>
      </text>
    </comment>
    <comment ref="AD226" authorId="0">
      <text>
        <r>
          <rPr>
            <sz val="10"/>
            <rFont val="Arial"/>
            <family val="2"/>
          </rPr>
          <t xml:space="preserve">Hand spread: R&amp;D CY2024 (Agilent FY ends 31-Oct; calendarised as FY less Q1 (Nov-Jan) plus next FY Q1, i.e. Feb-Jan 12 months, closest available to Dec YE) [calc]: 1 x FY24 (479.0) + -1 x Q1 FY24 (128.0) + 1 x Q1 FY25 (113.0) = 464.0. Sources – FY24: Agilent Form 10-K FY25 (YE 31-Oct-25) [2023-11-01 to 2024-10-31]: Research and development 479.0 (p.64) || Q1 FY24: Agilent Form 10-Q Q1 FY24 (quarter ended 31-Jan-24) [2023-11-01 to 2024-01-31]: Research and development 128.0 (p.3) || Q1 FY25: Agilent Form 10-Q Q1 FY26 (quarter ended 31-Jan-26) [2024-11-01 to 2025-01-31]: Research and development 113.0 (p.3)</t>
        </r>
      </text>
    </comment>
    <comment ref="AD227" authorId="0">
      <text>
        <r>
          <rPr>
            <sz val="10"/>
            <rFont val="Arial"/>
            <family val="2"/>
          </rPr>
          <t xml:space="preserve">Hand spread: R&amp;D CY2023 (Agilent FY ends 31-Oct; calendarised as FY less Q1 (Nov-Jan) plus next FY Q1, i.e. Feb-Jan 12 months, closest available to Dec YE) [calc]: 1 x FY23 (481.0) + -1 x Q1 FY23 (123.0) + 1 x Q1 FY24 (128.0) = 486.0. Sources – FY23: Agilent Form 10-K FY25 (YE 31-Oct-25) [2022-11-01 to 2023-10-31]: Research and development 481.0 (p.64) || Q1 FY23: Agilent Form 10-Q Q1 FY24 (quarter ended 31-Jan-24) [2022-11-01 to 2023-01-31]: Research and development 123.0 (p.3) || Q1 FY24: Agilent Form 10-Q Q1 FY24 (quarter ended 31-Jan-24) [2023-11-01 to 2024-01-31]: Research and development 128.0 (p.3)</t>
        </r>
      </text>
    </comment>
    <comment ref="AD235" authorId="0">
      <text>
        <r>
          <rPr>
            <sz val="10"/>
            <rFont val="Arial"/>
            <family val="2"/>
          </rPr>
          <t xml:space="preserve">Hand spread: SG&amp;A CY2025 (Agilent FY ends 31-Oct; calendarised as FY less Q1 (Nov-Jan) plus next FY Q1, i.e. Feb-Jan 12 months, closest available to Dec YE) [calc]: 1 x FY25 (1,709.0) + -1 x Q1 FY25 (410.0) + 1 x Q1 FY26 (476.0) = 1,775.0. Sources – FY25: Agilent Form 10-K FY25 (YE 31-Oct-25) [2024-11-01 to 2025-10-31]: Selling, general and administrative 1,709.0 (p.64) || Q1 FY25: Agilent Form 10-Q Q1 FY26 (quarter ended 31-Jan-26) [2024-11-01 to 2025-01-31]: Selling, general and administrative 410.0 (p.3) || Q1 FY26: Agilent Form 10-Q Q1 FY26 (quarter ended 31-Jan-26) [2025-11-01 to 2026-01-31]: Selling, general and administrative 476.0 (p.3)</t>
        </r>
      </text>
    </comment>
    <comment ref="AD236" authorId="0">
      <text>
        <r>
          <rPr>
            <sz val="10"/>
            <rFont val="Arial"/>
            <family val="2"/>
          </rPr>
          <t xml:space="preserve">Hand spread: SG&amp;A CY2024 (Agilent FY ends 31-Oct; calendarised as FY less Q1 (Nov-Jan) plus next FY Q1, i.e. Feb-Jan 12 months, closest available to Dec YE) [calc]: 1 x FY24 (1,568.0) + -1 x Q1 FY24 (396.0) + 1 x Q1 FY25 (410.0) = 1,582.0. Sources – FY24: Agilent Form 10-K FY25 (YE 31-Oct-25) [2023-11-01 to 2024-10-31]: Selling, general and administrative 1,568.0 (p.64) || Q1 FY24: Agilent Form 10-Q Q1 FY24 (quarter ended 31-Jan-24) [2023-11-01 to 2024-01-31]: Selling, general and administrative 396.0 (p.3) || Q1 FY25: Agilent Form 10-Q Q1 FY26 (quarter ended 31-Jan-26) [2024-11-01 to 2025-01-31]: Selling, general and administrative 410.0 (p.3)</t>
        </r>
      </text>
    </comment>
    <comment ref="AD237" authorId="0">
      <text>
        <r>
          <rPr>
            <sz val="10"/>
            <rFont val="Arial"/>
            <family val="2"/>
          </rPr>
          <t xml:space="preserve">Hand spread: SG&amp;A CY2023 (Agilent FY ends 31-Oct; calendarised as FY less Q1 (Nov-Jan) plus next FY Q1, i.e. Feb-Jan 12 months, closest available to Dec YE) [calc]: 1 x FY23 (1,634.0) + -1 x Q1 FY23 (419.0) + 1 x Q1 FY24 (396.0) = 1,611.0. Sources – FY23: Agilent Form 10-K FY25 (YE 31-Oct-25) [2022-11-01 to 2023-10-31]: Selling, general and administrative 1,634.0 (p.64) || Q1 FY23: Agilent Form 10-Q Q1 FY24 (quarter ended 31-Jan-24) [2022-11-01 to 2023-01-31]: Selling, general and administrative 419.0 (p.3) || Q1 FY24: Agilent Form 10-Q Q1 FY24 (quarter ended 31-Jan-24) [2023-11-01 to 2024-01-31]: Selling, general and administrative 396.0 (p.3)</t>
        </r>
      </text>
    </comment>
    <comment ref="AD245" authorId="0">
      <text>
        <r>
          <rPr>
            <sz val="10"/>
            <rFont val="Arial"/>
            <family val="2"/>
          </rPr>
          <t xml:space="preserve">Hand spread: EBIT (operating income, as reported) CY2025 (Agilent FY ends 31-Oct; calendarised as FY less Q1 (Nov-Jan) plus next FY Q1, i.e. Feb-Jan 12 months, closest available to Dec YE) [calc]: 1 x FY25 (1,479.0) + -1 x Q1 FY25 (376.0) + 1 x Q1 FY26 (353.0) = 1,456.0. Sources – FY25: Agilent Form 10-K FY25 (YE 31-Oct-25) [2024-11-01 to 2025-10-31]: Income from operations 1,479.0 (p.64) || Q1 FY25: Agilent Form 10-Q Q1 FY26 (quarter ended 31-Jan-26) [2024-11-01 to 2025-01-31]: Income from operations 376.0 (p.3) || Q1 FY26: Agilent Form 10-Q Q1 FY26 (quarter ended 31-Jan-26) [2025-11-01 to 2026-01-31]: Income from operations 353.0 (p.3)</t>
        </r>
      </text>
    </comment>
    <comment ref="AD246" authorId="0">
      <text>
        <r>
          <rPr>
            <sz val="10"/>
            <rFont val="Arial"/>
            <family val="2"/>
          </rPr>
          <t xml:space="preserve">Hand spread: EBIT (operating income, as reported) CY2024 (Agilent FY ends 31-Oct; calendarised as FY less Q1 (Nov-Jan) plus next FY Q1, i.e. Feb-Jan 12 months, closest available to Dec YE) [calc]: 1 x FY24 (1,488.0) + -1 x Q1 FY24 (384.0) + 1 x Q1 FY25 (376.0) = 1,480.0. Sources – FY24: Agilent Form 10-K FY25 (YE 31-Oct-25) [2023-11-01 to 2024-10-31]: Income from operations 1,488.0 (p.64) || Q1 FY24: Agilent Form 10-Q Q1 FY24 (quarter ended 31-Jan-24) [2023-11-01 to 2024-01-31]: Income from operations 384.0 (p.3) || Q1 FY25: Agilent Form 10-Q Q1 FY26 (quarter ended 31-Jan-26) [2024-11-01 to 2025-01-31]: Income from operations 376.0 (p.3)</t>
        </r>
      </text>
    </comment>
    <comment ref="AD247" authorId="0">
      <text>
        <r>
          <rPr>
            <sz val="10"/>
            <rFont val="Arial"/>
            <family val="2"/>
          </rPr>
          <t xml:space="preserve">Hand spread: EBIT (operating income, as reported) CY2023 (Agilent FY ends 31-Oct; calendarised as FY less Q1 (Nov-Jan) plus next FY Q1, i.e. Feb-Jan 12 months, closest available to Dec YE) [calc]: 1 x FY23 (1,350.0) + -1 x Q1 FY23 (426.0) + 1 x Q1 FY24 (384.0) = 1,308.0. Sources – FY23: Agilent Form 10-K FY25 (YE 31-Oct-25) [2022-11-01 to 2023-10-31]: Income from operations 1,350.0 (p.64) || Q1 FY23: Agilent Form 10-Q Q1 FY24 (quarter ended 31-Jan-24) [2022-11-01 to 2023-01-31]: Income from operations 426.0 (p.3) || Q1 FY24: Agilent Form 10-Q Q1 FY24 (quarter ended 31-Jan-24) [2023-11-01 to 2024-01-31]: Income from operations 384.0 (p.3)</t>
        </r>
      </text>
    </comment>
    <comment ref="AD265" authorId="0">
      <text>
        <r>
          <rPr>
            <sz val="10"/>
            <rFont val="Arial"/>
            <family val="2"/>
          </rPr>
          <t xml:space="preserve">Hand spread: EBITDA CY2025 (Agilent FY ends 31-Oct; calendarised as FY less Q1 (Nov-Jan) plus next FY Q1, i.e. Feb-Jan 12 months, closest available to Dec YE) [calc]: 1 x FY25 (1,782.0) + -1 x Q1 FY25 (448.0) + 1 x Q1 FY26 (420.0) = 1,754.0. Sources – FY25: Agilent Form 10-K FY25 (YE 31-Oct-25) [2024-11-01 to 2025-10-31]: EBITDA = EBIT 1,479.0 + Depreciation and amortization (cash flow) 288.0 (p.67) + Asset impairments (cash flow) 15 (p.67) =&gt; 1,782.0 || Q1 FY25: Agilent Form 10-Q Q1 FY26 (quarter ended 31-Jan-26) [2024-11-01 to 2025-01-31]: EBITDA = EBIT 376.0 + Depreciation and amortization (cash flow) 72 (p.6) Asset impairments (cash flow) n/a =&gt; 448.0 || Q1 FY26: Agilent Form 10-Q Q1 FY26 (quarter ended 31-Jan-26) [2025-11-01 to 2026-01-31]: EBITDA = EBIT 353.0 + Depreciation and amortization (cash flow) 67 (p.6) Asset impairments (cash flow) n/a =&gt; 420.0 | EBITDA defined as EBIT + D&amp;A + non-cash impairments.</t>
        </r>
      </text>
    </comment>
    <comment ref="AD266" authorId="0">
      <text>
        <r>
          <rPr>
            <sz val="10"/>
            <rFont val="Arial"/>
            <family val="2"/>
          </rPr>
          <t xml:space="preserve">Hand spread: EBITDA CY2024 (Agilent FY ends 31-Oct; calendarised as FY less Q1 (Nov-Jan) plus next FY Q1, i.e. Feb-Jan 12 months, closest available to Dec YE) [calc]: 1 x FY24 (1,764.0) + -1 x Q1 FY24 (454.0) + 1 x Q1 FY25 (448.0) = 1,758.0. Sources – FY24: Agilent Form 10-K FY25 (YE 31-Oct-25) [2023-11-01 to 2024-10-31]: EBITDA = EBIT 1,488.0 + Depreciation and amortization (cash flow) 257.0 (p.67) + Asset impairments (cash flow) 19 (p.67) =&gt; 1,764.0 || Q1 FY24: Agilent Form 10-Q Q1 FY24 (quarter ended 31-Jan-24) [2023-11-01 to 2024-01-31]: EBITDA = EBIT 384.0 + Depreciation and amortization (cash flow) 62 (p.6) + Asset impairments (cash flow) 8 (p.6) =&gt; 454.0 || Q1 FY25: Agilent Form 10-Q Q1 FY26 (quarter ended 31-Jan-26) [2024-11-01 to 2025-01-31]: EBITDA = EBIT 376.0 + Depreciation and amortization (cash flow) 72 (p.6) Asset impairments (cash flow) n/a =&gt; 448.0 | EBITDA defined as EBIT + D&amp;A + non-cash impairments.</t>
        </r>
      </text>
    </comment>
    <comment ref="AD267" authorId="0">
      <text>
        <r>
          <rPr>
            <sz val="10"/>
            <rFont val="Arial"/>
            <family val="2"/>
          </rPr>
          <t xml:space="preserve">Hand spread: EBITDA CY2023 (Agilent FY ends 31-Oct; calendarised as FY less Q1 (Nov-Jan) plus next FY Q1, i.e. Feb-Jan 12 months, closest available to Dec YE) [calc]: 1 x FY23 (1,898.0) + -1 x Q1 FY23 (493.0) + 1 x Q1 FY24 (454.0) = 1,859.0. Sources – FY23: Agilent Form 10-K FY25 (YE 31-Oct-25) [2022-11-01 to 2023-10-31]: EBITDA = EBIT 1,350.0 + Depreciation and amortization (cash flow) 271.0 (p.67) + Asset impairments (cash flow) 277.0 (p.67) =&gt; 1,898.0 || Q1 FY23: Agilent Form 10-Q Q1 FY24 (quarter ended 31-Jan-24) [2022-11-01 to 2023-01-31]: EBITDA = EBIT 426.0 + Depreciation and amortization (cash flow) 67 (p.6) + Asset impairments (cash flow) 0 (p.6) =&gt; 493.0 || Q1 FY24: Agilent Form 10-Q Q1 FY24 (quarter ended 31-Jan-24) [2023-11-01 to 2024-01-31]: EBITDA = EBIT 384.0 + Depreciation and amortization (cash flow) 62 (p.6) + Asset impairments (cash flow) 8 (p.6) =&gt; 454.0 | EBITDA defined as EBIT + D&amp;A + non-cash impairments.</t>
        </r>
      </text>
    </comment>
    <comment ref="AD285" authorId="0">
      <text>
        <r>
          <rPr>
            <sz val="10"/>
            <rFont val="Arial"/>
            <family val="2"/>
          </rPr>
          <t xml:space="preserve">Hand spread: Net income attributable to shareholders CY2025 (Agilent FY ends 31-Oct; calendarised as FY less Q1 (Nov-Jan) plus next FY Q1, i.e. Feb-Jan 12 months, closest available to Dec YE) [calc]: 1 x FY25 (1,303.0) + -1 x Q1 FY25 (318.0) + 1 x Q1 FY26 (305.0) = 1,290.0. Sources – FY25: Agilent Form 10-K FY25 (YE 31-Oct-25) [2024-11-01 to 2025-10-31]: Net income 1,303.0 (p.64) || Q1 FY25: Agilent Form 10-Q Q1 FY26 (quarter ended 31-Jan-26) [2024-11-01 to 2025-01-31]: Net income 318.0 (p.3) || Q1 FY26: Agilent Form 10-Q Q1 FY26 (quarter ended 31-Jan-26) [2025-11-01 to 2026-01-31]: Net income 305.0 (p.3)</t>
        </r>
      </text>
    </comment>
    <comment ref="AD286" authorId="0">
      <text>
        <r>
          <rPr>
            <sz val="10"/>
            <rFont val="Arial"/>
            <family val="2"/>
          </rPr>
          <t xml:space="preserve">Hand spread: Net income attributable to shareholders CY2024 (Agilent FY ends 31-Oct; calendarised as FY less Q1 (Nov-Jan) plus next FY Q1, i.e. Feb-Jan 12 months, closest available to Dec YE) [calc]: 1 x FY24 (1,289.0) + -1 x Q1 FY24 (348.0) + 1 x Q1 FY25 (318.0) = 1,259.0. Sources – FY24: Agilent Form 10-K FY25 (YE 31-Oct-25) [2023-11-01 to 2024-10-31]: Net income 1,289.0 (p.64) || Q1 FY24: Agilent Form 10-Q Q1 FY24 (quarter ended 31-Jan-24) [2023-11-01 to 2024-01-31]: Net income 348.0 (p.3) || Q1 FY25: Agilent Form 10-Q Q1 FY26 (quarter ended 31-Jan-26) [2024-11-01 to 2025-01-31]: Net income 318.0 (p.3)</t>
        </r>
      </text>
    </comment>
    <comment ref="AD287" authorId="0">
      <text>
        <r>
          <rPr>
            <sz val="10"/>
            <rFont val="Arial"/>
            <family val="2"/>
          </rPr>
          <t xml:space="preserve">Hand spread: Net income attributable to shareholders CY2023 (Agilent FY ends 31-Oct; calendarised as FY less Q1 (Nov-Jan) plus next FY Q1, i.e. Feb-Jan 12 months, closest available to Dec YE) [calc]: 1 x FY23 (1,240.0) + -1 x Q1 FY23 (352.0) + 1 x Q1 FY24 (348.0) = 1,236.0. Sources – FY23: Agilent Form 10-K FY25 (YE 31-Oct-25) [2022-11-01 to 2023-10-31]: Net income 1,240.0 (p.64) || Q1 FY23: Agilent Form 10-Q Q1 FY24 (quarter ended 31-Jan-24) [2022-11-01 to 2023-01-31]: Net income 352.0 (p.3) || Q1 FY24: Agilent Form 10-Q Q1 FY24 (quarter ended 31-Jan-24) [2023-11-01 to 2024-01-31]: Net income 348.0 (p.3)</t>
        </r>
      </text>
    </comment>
    <comment ref="AD295" authorId="0">
      <text>
        <r>
          <rPr>
            <sz val="10"/>
            <rFont val="Arial"/>
            <family val="2"/>
          </rPr>
          <t xml:space="preserve">Hand spread: Diluted EPS CY2025 (Agilent FY ends 31-Oct; calendarised as FY less Q1 (Nov-Jan) plus next FY Q1, i.e. Feb-Jan 12 months, closest available to Dec YE) [calc]: 1 x FY25 (4.57) + -1 x Q1 FY25 (1.11) + 1 x Q1 FY26 (1.07) = 4.53. Sources – FY25: Agilent Form 10-K FY25 (YE 31-Oct-25) [2024-11-01 to 2025-10-31]: Net income per share – diluted 4.57 (p.64) || Q1 FY25: Agilent Form 10-Q Q1 FY26 (quarter ended 31-Jan-26) [2024-11-01 to 2025-01-31]: Net income per share – diluted 1.11 (p.3) || Q1 FY26: Agilent Form 10-Q Q1 FY26 (quarter ended 31-Jan-26) [2025-11-01 to 2026-01-31]: Net income per share – diluted 1.07 (p.3)</t>
        </r>
      </text>
    </comment>
    <comment ref="AD296" authorId="0">
      <text>
        <r>
          <rPr>
            <sz val="10"/>
            <rFont val="Arial"/>
            <family val="2"/>
          </rPr>
          <t xml:space="preserve">Hand spread: Diluted EPS CY2024 (Agilent FY ends 31-Oct; calendarised as FY less Q1 (Nov-Jan) plus next FY Q1, i.e. Feb-Jan 12 months, closest available to Dec YE) [calc]: 1 x FY24 (4.43) + -1 x Q1 FY24 (1.18) + 1 x Q1 FY25 (1.11) = 4.36. Sources – FY24: Agilent Form 10-K FY25 (YE 31-Oct-25) [2023-11-01 to 2024-10-31]: Net income per share – diluted 4.43 (p.64) || Q1 FY24: Agilent Form 10-Q Q1 FY24 (quarter ended 31-Jan-24) [2023-11-01 to 2024-01-31]: Net income per share – diluted 1.18 (p.3) || Q1 FY25: Agilent Form 10-Q Q1 FY26 (quarter ended 31-Jan-26) [2024-11-01 to 2025-01-31]: Net income per share – diluted 1.11 (p.3)</t>
        </r>
      </text>
    </comment>
    <comment ref="AD297" authorId="0">
      <text>
        <r>
          <rPr>
            <sz val="10"/>
            <rFont val="Arial"/>
            <family val="2"/>
          </rPr>
          <t xml:space="preserve">Hand spread: Diluted EPS CY2023 (Agilent FY ends 31-Oct; calendarised as FY less Q1 (Nov-Jan) plus next FY Q1, i.e. Feb-Jan 12 months, closest available to Dec YE) [calc]: 1 x FY23 (4.19) + -1 x Q1 FY23 (1.19) + 1 x Q1 FY24 (1.18) = 4.18. Sources – FY23: Agilent Form 10-K FY25 (YE 31-Oct-25) [2022-11-01 to 2023-10-31]: Net income per share – diluted 4.19 (p.64) || Q1 FY23: Agilent Form 10-Q Q1 FY24 (quarter ended 31-Jan-24) [2022-11-01 to 2023-01-31]: Net income per share – diluted 1.19 (p.3) || Q1 FY24: Agilent Form 10-Q Q1 FY24 (quarter ended 31-Jan-24) [2023-11-01 to 2024-01-31]: Net income per share – diluted 1.18 (p.3)</t>
        </r>
      </text>
    </comment>
    <comment ref="AD309" authorId="0">
      <text>
        <r>
          <rPr>
            <sz val="10"/>
            <rFont val="Arial"/>
            <family val="2"/>
          </rPr>
          <t xml:space="preserve">Hand spread: reporting currency of the financial statements = USD.</t>
        </r>
      </text>
    </comment>
    <comment ref="AD313" authorId="0">
      <text>
        <r>
          <rPr>
            <sz val="10"/>
            <rFont val="Arial"/>
            <family val="2"/>
          </rPr>
          <t xml:space="preserve">Hand spread: ECB spot USD per USD at this column's pricing date (row 2) – FX tab.</t>
        </r>
      </text>
    </comment>
    <comment ref="AD315" authorId="0">
      <text>
        <r>
          <rPr>
            <sz val="10"/>
            <rFont val="Arial"/>
            <family val="2"/>
          </rPr>
          <t xml:space="preserve">Hand spread: balance sheet date of the latest filing (Agilent Form 10-Q, quarter ended 31-Jul-26 (Q3 FY26)).</t>
        </r>
      </text>
    </comment>
    <comment ref="AD316" authorId="0">
      <text>
        <r>
          <rPr>
            <sz val="10"/>
            <rFont val="Arial"/>
            <family val="2"/>
          </rPr>
          <t xml:space="preserve">Hand spread: ECB spot USD per USD at the 30-Jun-26 balance sheet date – FX tab. (USD reporter: 1.0)</t>
        </r>
      </text>
    </comment>
    <comment ref="AD327" authorId="0">
      <text>
        <r>
          <rPr>
            <sz val="10"/>
            <rFont val="Arial"/>
            <family val="2"/>
          </rPr>
          <t xml:space="preserve">Hand spread: US GAAP (ASC 842) reporter – operating lease cost is already within EBITDA and operating lease liabilities are not in reported debt; no IFRS 16 adjustment required.</t>
        </r>
      </text>
    </comment>
    <comment ref="AD328" authorId="0">
      <text>
        <r>
          <rPr>
            <sz val="10"/>
            <rFont val="Arial"/>
            <family val="2"/>
          </rPr>
          <t xml:space="preserve">Hand spread: US GAAP (ASC 842) reporter – operating lease cost is already within EBITDA and operating lease liabilities are not in reported debt; no IFRS 16 adjustment required.</t>
        </r>
      </text>
    </comment>
    <comment ref="AD339" authorId="0">
      <text>
        <r>
          <rPr>
            <sz val="10"/>
            <rFont val="Arial"/>
            <family val="2"/>
          </rPr>
          <t xml:space="preserve">Hand spread: CapEx CY2025 (Agilent FY ends 31-Oct; calendarised as FY less Q1 (Nov-Jan) plus next FY Q1, i.e. Feb-Jan 12 months, closest available to Dec YE) [calc]: 1 x FY25 (407.0) + -1 x Q1 FY25 (97) + 1 x Q1 FY26 (93) = 403.0. Sources – FY25: Agilent Form 10-K FY25 (YE 31-Oct-25) [2024-11-01 to 2025-10-31]: Investments in property, plant and equipment 407.0 (p.67) || Q1 FY25: Agilent Form 10-Q Q1 FY26 (quarter ended 31-Jan-26) [2024-11-01 to 2025-01-31]: Investments in property, plant and equipment 97 (p.6) || Q1 FY26: Agilent Form 10-Q Q1 FY26 (quarter ended 31-Jan-26) [2025-11-01 to 2026-01-31]: Investments in property, plant and equipment 93 (p.6)</t>
        </r>
      </text>
    </comment>
    <comment ref="AD340" authorId="0">
      <text>
        <r>
          <rPr>
            <sz val="10"/>
            <rFont val="Arial"/>
            <family val="2"/>
          </rPr>
          <t xml:space="preserve">Hand spread: CapEx CY2024 (Agilent FY ends 31-Oct; calendarised as FY less Q1 (Nov-Jan) plus next FY Q1, i.e. Feb-Jan 12 months, closest available to Dec YE) [calc]: 1 x FY24 (378.0) + -1 x Q1 FY24 (90) + 1 x Q1 FY25 (97) = 385.0. Sources – FY24: Agilent Form 10-K FY25 (YE 31-Oct-25) [2023-11-01 to 2024-10-31]: Investments in property, plant and equipment 378.0 (p.67) || Q1 FY24: Agilent Form 10-Q Q1 FY24 (quarter ended 31-Jan-24) [2023-11-01 to 2024-01-31]: Investments in property, plant and equipment 90 (p.6) || Q1 FY25: Agilent Form 10-Q Q1 FY26 (quarter ended 31-Jan-26) [2024-11-01 to 2025-01-31]: Investments in property, plant and equipment 97 (p.6)</t>
        </r>
      </text>
    </comment>
    <comment ref="AD341" authorId="0">
      <text>
        <r>
          <rPr>
            <sz val="10"/>
            <rFont val="Arial"/>
            <family val="2"/>
          </rPr>
          <t xml:space="preserve">Hand spread: CapEx CY2023 (Agilent FY ends 31-Oct; calendarised as FY less Q1 (Nov-Jan) plus next FY Q1, i.e. Feb-Jan 12 months, closest available to Dec YE) [calc]: 1 x FY23 (298.0) + -1 x Q1 FY23 (76) + 1 x Q1 FY24 (90) = 312.0. Sources – FY23: Agilent Form 10-K FY25 (YE 31-Oct-25) [2022-11-01 to 2023-10-31]: Investments in property, plant and equipment 298.0 (p.67) || Q1 FY23: Agilent Form 10-Q Q1 FY24 (quarter ended 31-Jan-24) [2022-11-01 to 2023-01-31]: Investments in property, plant and equipment 76 (p.6) || Q1 FY24: Agilent Form 10-Q Q1 FY24 (quarter ended 31-Jan-24) [2023-11-01 to 2024-01-31]: Investments in property, plant and equipment 90 (p.6)</t>
        </r>
      </text>
    </comment>
    <comment ref="AE13" authorId="0">
      <text>
        <r>
          <rPr>
            <sz val="10"/>
            <rFont val="Arial"/>
            <family val="2"/>
          </rPr>
          <t xml:space="preserve">Latest filing used for the balance sheet / share data. See cell notes for every figure and the "Spread Notes" tab.</t>
        </r>
      </text>
    </comment>
    <comment ref="AE43" authorId="0">
      <text>
        <r>
          <rPr>
            <sz val="10"/>
            <rFont val="Arial"/>
            <family val="2"/>
          </rPr>
          <t xml:space="preserve">Hand spread: WuXi Biologics 2026 Interim Results Announcement (HKEX, 25-Aug-26; condensed consolidated FS at 30-Jun-26, IFRS, RMB), p.32 – Condensed consolidated statement of financial position – Bank balances and cash: RMB 8,904,440k. NOTE: statements are in RMB (FactSet template converted at HKD rate – corrected via FX sheet).</t>
        </r>
      </text>
    </comment>
    <comment ref="AE44" authorId="0">
      <text>
        <r>
          <rPr>
            <sz val="10"/>
            <rFont val="Arial"/>
            <family val="2"/>
          </rPr>
          <t xml:space="preserve">Hand spread: WuXi Biologics 2026 Interim Results Announcement (HKEX, 25-Aug-26; condensed consolidated FS at 30-Jun-26, IFRS, RMB), p.32 [calc] – Time deposits 3,520,846 + current financial assets at FVTPL (bank wealth-management products, p.18) 602,993 = RMB 4,123.8m</t>
        </r>
      </text>
    </comment>
    <comment ref="AE46" authorId="0">
      <text>
        <r>
          <rPr>
            <sz val="10"/>
            <rFont val="Arial"/>
            <family val="2"/>
          </rPr>
          <t xml:space="preserve">Hand spread: WuXi Biologics 2026 Interim Results Announcement (HKEX, 25-Aug-26; condensed consolidated FS at 30-Jun-26, IFRS, RMB), p.32 – Investment of an associate measured at FVTPL (WuXi XDC stake): RMB 1,210,820k</t>
        </r>
      </text>
    </comment>
    <comment ref="AE55" authorId="0">
      <text>
        <r>
          <rPr>
            <sz val="10"/>
            <rFont val="Arial"/>
            <family val="2"/>
          </rPr>
          <t xml:space="preserve">Hand spread: WuXi Biologics 2026 Interim Results Announcement (HKEX, 25-Aug-26; condensed consolidated FS at 30-Jun-26, IFRS, RMB), p.33 – Current borrowings: RMB 225,492k</t>
        </r>
      </text>
    </comment>
    <comment ref="AE56" authorId="0">
      <text>
        <r>
          <rPr>
            <sz val="10"/>
            <rFont val="Arial"/>
            <family val="2"/>
          </rPr>
          <t xml:space="preserve">Hand spread: WuXi Biologics 2026 Interim Results Announcement (HKEX, 25-Aug-26; condensed consolidated FS at 30-Jun-26, IFRS, RMB), p.33 – Non-current borrowings: RMB 450,281k</t>
        </r>
      </text>
    </comment>
    <comment ref="AE58" authorId="0">
      <text>
        <r>
          <rPr>
            <sz val="10"/>
            <rFont val="Arial"/>
            <family val="2"/>
          </rPr>
          <t xml:space="preserve">Hand spread: WuXi Biologics 2026 Interim Results Announcement (HKEX, 25-Aug-26; condensed consolidated FS at 30-Jun-26, IFRS, RMB), p.33 [calc] – IFRS 16 lease liabilities: current 415,864 + non-current 1,634,047 = RMB 2,049.9m. Reversed in rows 62/63.</t>
        </r>
      </text>
    </comment>
    <comment ref="AE62" authorId="0">
      <text>
        <r>
          <rPr>
            <sz val="10"/>
            <rFont val="Arial"/>
            <family val="2"/>
          </rPr>
          <t xml:space="preserve">Hand spread: IFRS 16 lease liabilities = row 58 (other debt) – see row 58 note for source. Reversed in row 63 when the pre-IFRS 16 toggle (F5) = 1.</t>
        </r>
      </text>
    </comment>
    <comment ref="AE70" authorId="0">
      <text>
        <r>
          <rPr>
            <sz val="10"/>
            <rFont val="Arial"/>
            <family val="2"/>
          </rPr>
          <t xml:space="preserve">Hand spread: WuXi Biologics Annual Report 2025 (HKEX, IFRS, RMB) – defined contribution schemes only; no defined benefit obligation.</t>
        </r>
      </text>
    </comment>
    <comment ref="AE71" authorId="0">
      <text>
        <r>
          <rPr>
            <sz val="10"/>
            <rFont val="Arial"/>
            <family val="2"/>
          </rPr>
          <t xml:space="preserve">Statutory tax rate 25.00% for CHINA, from the "Tax Rates" tab of the external LGC – WACC and Trading Comps_v2.xlsx (external link removed; cached value kept). Used only to tax-effect the pension deficit (row 72).</t>
        </r>
      </text>
    </comment>
    <comment ref="AE74" authorId="0">
      <text>
        <r>
          <rPr>
            <sz val="10"/>
            <rFont val="Arial"/>
            <family val="2"/>
          </rPr>
          <t xml:space="preserve">Hand spread: WuXi Biologics 2026 Interim Results Announcement (HKEX, 25-Aug-26; condensed consolidated FS at 30-Jun-26, IFRS, RMB), p.33 – Non-controlling interests: RMB 6,450,312k</t>
        </r>
      </text>
    </comment>
    <comment ref="AE77" authorId="0">
      <text>
        <r>
          <rPr>
            <sz val="10"/>
            <rFont val="Arial"/>
            <family val="2"/>
          </rPr>
          <t xml:space="preserve">Hand spread: WuXi Biologics 2026 Interim Results Announcement (HKEX, 25-Aug-26; condensed consolidated FS at 30-Jun-26, IFRS, RMB) – no preferred shares.</t>
        </r>
      </text>
    </comment>
    <comment ref="AE81" authorId="0">
      <text>
        <r>
          <rPr>
            <sz val="10"/>
            <rFont val="Arial"/>
            <family val="2"/>
          </rPr>
          <t xml:space="preserve">Hand spread: WuXi Biologics 2026 Interim Results Announcement (HKEX, 25-Aug-26; condensed consolidated FS at 30-Jun-26, IFRS, RMB), p.33 – Equity attributable to owners of the Company: RMB 48,070,443k</t>
        </r>
      </text>
    </comment>
    <comment ref="AE137" authorId="0">
      <text>
        <r>
          <rPr>
            <sz val="10"/>
            <rFont val="Arial"/>
            <family val="2"/>
          </rPr>
          <t xml:space="preserve">Hand spread: WuXi Biologics Interim Report 2026 (HKEX, 22-Sep-26), p.37 (note 2) &amp; p.52 [calc] – 4,143,356,617 Shares in issue at 30-Jun-26 less 37,108,000 Shares repurchased in H1-26 and not yet cancelled = 4,106,248,617. Shares held by the RSA trustee (~38m weighted, p.72) remain in the count.</t>
        </r>
      </text>
    </comment>
    <comment ref="AE152" authorId="0">
      <text>
        <r>
          <rPr>
            <sz val="10"/>
            <rFont val="Arial"/>
            <family val="2"/>
          </rPr>
          <t xml:space="preserve">Hand spread: WuXi Biologics Interim Report 2026 (HKEX, 22-Sep-26), p.40-41 (Pre-IPO Share Option Scheme) – options outstanding at 30-Jun-26: 26,380,858 [director 17,532,000 @US$0.34; employees 6,302,280 @0.34, 927,000 @0.22, 682,803 @0.2633, 936,775 @0.60]</t>
        </r>
      </text>
    </comment>
    <comment ref="AE159" authorId="0">
      <text>
        <r>
          <rPr>
            <sz val="10"/>
            <rFont val="Arial"/>
            <family val="2"/>
          </rPr>
          <t xml:space="preserve">Hand spread: WuXi Biologics Interim Report 2026 (HKEX, 22-Sep-26) [calc] – restricted shares outstanding at 30-Jun-26 (nil price): Restricted Share Award Scheme 85,840,863 (p.44) + Global Partner Program Share Scheme 15,248,421 (p.47, new shares) = 101,089,284. NB: part of the RSA scheme is satisfied from trustee-held shares already in issue – possible slight over-dilution.</t>
        </r>
      </text>
    </comment>
    <comment ref="AE164" authorId="0">
      <text>
        <r>
          <rPr>
            <sz val="10"/>
            <rFont val="Arial"/>
            <family val="2"/>
          </rPr>
          <t xml:space="preserve">Hand spread: WuXi Biologics Interim Report 2026 (HKEX, 22-Sep-26), p.40-41 [calc] – weighted-average exercise price US$0.3430, converted to HKD (strike currency) at the FX-sheet HKD/USD spot (US$0.3430 ÷ USD per HKD on 21-Sep-26, FX!F10).</t>
        </r>
      </text>
    </comment>
    <comment ref="AE189" authorId="0">
      <text>
        <r>
          <rPr>
            <sz val="10"/>
            <rFont val="Arial"/>
            <family val="2"/>
          </rPr>
          <t xml:space="preserve">Hand spread: WuXi Biologics 2026 Interim Results Announcement (HKEX, 25-Aug-26; condensed consolidated FS at 30-Jun-26, IFRS, RMB) – fiscal year ends 31 December.</t>
        </r>
      </text>
    </comment>
    <comment ref="AE192" authorId="0">
      <text>
        <r>
          <rPr>
            <sz val="10"/>
            <rFont val="Arial"/>
            <family val="2"/>
          </rPr>
          <t xml:space="preserve">Kim, Justin G.:
Most companies will end their fiscal year in December; however companies like Takeda report Fiscal Year end on a different quarter - this requires you to recalendarize the line items so they are apples-to-apples with other companies ending their FY in December 31</t>
        </r>
      </text>
    </comment>
    <comment ref="AE193" authorId="0">
      <text>
        <r>
          <rPr>
            <sz val="10"/>
            <rFont val="Arial"/>
            <family val="2"/>
          </rPr>
          <t xml:space="preserve">Hand spread: IFRS 16 adjustment (rows 329–330) uses LTM lease data in RMB, so converted at the USD per CNY spot on 21-Sep-26 rather than the HKD strike-currency rate.</t>
        </r>
      </text>
    </comment>
    <comment ref="AE205" authorId="0">
      <text>
        <r>
          <rPr>
            <sz val="10"/>
            <rFont val="Arial"/>
            <family val="2"/>
          </rPr>
          <t xml:space="preserve">Hand spread: WuXi Biologics Annual Report 2025 (HKEX, IFRS, RMB), p.107 – Consolidated statement of profit or loss – Revenue FY25: RMB 21,790,018k
[Converted to USD at the 2025 average CNY rate, FX!D11; value above is in CNY m.]</t>
        </r>
      </text>
    </comment>
    <comment ref="AE206" authorId="0">
      <text>
        <r>
          <rPr>
            <sz val="10"/>
            <rFont val="Arial"/>
            <family val="2"/>
          </rPr>
          <t xml:space="preserve">Hand spread: WuXi Biologics Annual Report 2025 (HKEX, IFRS, RMB), p.107 – Revenue FY24: RMB 18,675,371k
[Converted to USD at the 2024 average CNY rate, FX!C11; value above is in CNY m.]</t>
        </r>
      </text>
    </comment>
    <comment ref="AE207" authorId="0">
      <text>
        <r>
          <rPr>
            <sz val="10"/>
            <rFont val="Arial"/>
            <family val="2"/>
          </rPr>
          <t xml:space="preserve">Hand spread: WuXi Biologics Annual Report 2024 (HKEX, IFRS, RMB), p.106 – Revenue FY23: RMB 17,034,255k
[Converted to USD at the 2023 average CNY rate, FX!B11; value above is in CNY m.]</t>
        </r>
      </text>
    </comment>
    <comment ref="AE215" authorId="0">
      <text>
        <r>
          <rPr>
            <sz val="10"/>
            <rFont val="Arial"/>
            <family val="2"/>
          </rPr>
          <t xml:space="preserve">Hand spread: WuXi Biologics Annual Report 2025 (HKEX, IFRS, RMB), p.107 – Gross profit FY25: RMB 10,018,512k
[Converted to USD at the 2025 average CNY rate, FX!D11; value above is in CNY m.]</t>
        </r>
      </text>
    </comment>
    <comment ref="AE216" authorId="0">
      <text>
        <r>
          <rPr>
            <sz val="10"/>
            <rFont val="Arial"/>
            <family val="2"/>
          </rPr>
          <t xml:space="preserve">Hand spread: WuXi Biologics Annual Report 2025 (HKEX, IFRS, RMB), p.107 – Gross profit FY24: RMB 7,650,820k
[Converted to USD at the 2024 average CNY rate, FX!C11; value above is in CNY m.]</t>
        </r>
      </text>
    </comment>
    <comment ref="AE217" authorId="0">
      <text>
        <r>
          <rPr>
            <sz val="10"/>
            <rFont val="Arial"/>
            <family val="2"/>
          </rPr>
          <t xml:space="preserve">Hand spread: WuXi Biologics Annual Report 2024 (HKEX, IFRS, RMB), p.106 – Gross profit FY23: RMB 6,827,901k
[Converted to USD at the 2023 average CNY rate, FX!B11; value above is in CNY m.]</t>
        </r>
      </text>
    </comment>
    <comment ref="AE225" authorId="0">
      <text>
        <r>
          <rPr>
            <sz val="10"/>
            <rFont val="Arial"/>
            <family val="2"/>
          </rPr>
          <t xml:space="preserve">Hand spread: WuXi Biologics Annual Report 2025 (HKEX, IFRS, RMB), p.107 – Research and development expenses FY25: RMB 853,374k
[Converted to USD at the 2025 average CNY rate, FX!D11; value above is in CNY m.]</t>
        </r>
      </text>
    </comment>
    <comment ref="AE226" authorId="0">
      <text>
        <r>
          <rPr>
            <sz val="10"/>
            <rFont val="Arial"/>
            <family val="2"/>
          </rPr>
          <t xml:space="preserve">Hand spread: WuXi Biologics Annual Report 2025 (HKEX, IFRS, RMB), p.107 – R&amp;D FY24: RMB 766,443k
[Converted to USD at the 2024 average CNY rate, FX!C11; value above is in CNY m.]</t>
        </r>
      </text>
    </comment>
    <comment ref="AE227" authorId="0">
      <text>
        <r>
          <rPr>
            <sz val="10"/>
            <rFont val="Arial"/>
            <family val="2"/>
          </rPr>
          <t xml:space="preserve">Hand spread: WuXi Biologics Annual Report 2024 (HKEX, IFRS, RMB), p.106 – R&amp;D FY23: RMB 785,822k
[Converted to USD at the 2023 average CNY rate, FX!B11; value above is in CNY m.]</t>
        </r>
      </text>
    </comment>
    <comment ref="AE235" authorId="0">
      <text>
        <r>
          <rPr>
            <sz val="10"/>
            <rFont val="Arial"/>
            <family val="2"/>
          </rPr>
          <t xml:space="preserve">Hand spread: WuXi Biologics Annual Report 2025 (HKEX, IFRS, RMB), p.107 [calc] – Selling and marketing 608,816 + Administrative 1,704,490 = RMB 2,313.3m
[Converted to USD at the 2025 average CNY rate, FX!D11; value above is in CNY m.]</t>
        </r>
      </text>
    </comment>
    <comment ref="AE236" authorId="0">
      <text>
        <r>
          <rPr>
            <sz val="10"/>
            <rFont val="Arial"/>
            <family val="2"/>
          </rPr>
          <t xml:space="preserve">Hand spread: WuXi Biologics Annual Report 2025 (HKEX, IFRS, RMB), p.107 [calc] – S&amp;M 473,601 + Admin 1,673,514 = RMB 2,147.1m
[Converted to USD at the 2024 average CNY rate, FX!C11; value above is in CNY m.]</t>
        </r>
      </text>
    </comment>
    <comment ref="AE237" authorId="0">
      <text>
        <r>
          <rPr>
            <sz val="10"/>
            <rFont val="Arial"/>
            <family val="2"/>
          </rPr>
          <t xml:space="preserve">Hand spread: WuXi Biologics Annual Report 2024 (HKEX, IFRS, RMB), p.106 [calc] – S&amp;M 294,009 + Admin 1,495,352 = RMB 1,789.4m
[Converted to USD at the 2023 average CNY rate, FX!B11; value above is in CNY m.]</t>
        </r>
      </text>
    </comment>
    <comment ref="AE245" authorId="0">
      <text>
        <r>
          <rPr>
            <sz val="10"/>
            <rFont val="Arial"/>
            <family val="2"/>
          </rPr>
          <t xml:space="preserve">Hand spread: WuXi Biologics Annual Report 2025 (HKEX, IFRS, RMB), p.107 [calc] – EBIT FY25 (no operating profit line reported) = Profit before tax 7,256,907 + financing costs 143,059 = RMB 7,400.0m (includes other income, ECL impairment and other gains/losses)
[Converted to USD at the 2025 average CNY rate, FX!D11; value above is in CNY m.]</t>
        </r>
      </text>
    </comment>
    <comment ref="AE246" authorId="0">
      <text>
        <r>
          <rPr>
            <sz val="10"/>
            <rFont val="Arial"/>
            <family val="2"/>
          </rPr>
          <t xml:space="preserve">Hand spread: WuXi Biologics Annual Report 2025 (HKEX, IFRS, RMB), p.107 [calc] – EBIT FY24 = PBT 4,834,398 + financing costs 157,587 = RMB 4,992.0m
[Converted to USD at the 2024 average CNY rate, FX!C11; value above is in CNY m.]</t>
        </r>
      </text>
    </comment>
    <comment ref="AE247" authorId="0">
      <text>
        <r>
          <rPr>
            <sz val="10"/>
            <rFont val="Arial"/>
            <family val="2"/>
          </rPr>
          <t xml:space="preserve">Hand spread: WuXi Biologics Annual Report 2024 (HKEX, IFRS, RMB), p.106 [calc] – EBIT FY23 = PBT 4,173,803 + financing costs 158,488 = RMB 4,332.3m
[Converted to USD at the 2023 average CNY rate, FX!B11; value above is in CNY m.]</t>
        </r>
      </text>
    </comment>
    <comment ref="AE265" authorId="0">
      <text>
        <r>
          <rPr>
            <sz val="10"/>
            <rFont val="Arial"/>
            <family val="2"/>
          </rPr>
          <t xml:space="preserve">Hand spread: WuXi Biologics Annual Report 2025 (HKEX, IFRS, RMB) [calc] – EBITDA FY25 = EBIT 7,400.0 + depreciation of PP&amp;E 1,429,342 + ROU depreciation 257,617 + amortization 53,781 (Note 10, p.167; total 1,740,740) = RMB 9,140.7m
[Converted to USD at the 2025 average CNY rate, FX!D11; value above is in CNY m.]</t>
        </r>
      </text>
    </comment>
    <comment ref="AE266" authorId="0">
      <text>
        <r>
          <rPr>
            <sz val="10"/>
            <rFont val="Arial"/>
            <family val="2"/>
          </rPr>
          <t xml:space="preserve">Hand spread: WuXi Biologics Annual Report 2025 (HKEX, IFRS, RMB) [calc] – EBITDA FY24 = EBIT 4,992.0 + D&amp;A 1,659,205 (Note 10, p.167) = RMB 6,651.2m
[Converted to USD at the 2024 average CNY rate, FX!C11; value above is in CNY m.]</t>
        </r>
      </text>
    </comment>
    <comment ref="AE267" authorId="0">
      <text>
        <r>
          <rPr>
            <sz val="10"/>
            <rFont val="Arial"/>
            <family val="2"/>
          </rPr>
          <t xml:space="preserve">Hand spread: WuXi Biologics Annual Report 2024 (HKEX, IFRS, RMB) [calc] – EBITDA FY23 = EBIT 4,332.3 + PP&amp;E depreciation 1,077,599 + ROU depreciation 246,996 + amortization 61,067 (Note 10, p.163) = RMB 5,717.9m
[Converted to USD at the 2023 average CNY rate, FX!B11; value above is in CNY m.]</t>
        </r>
      </text>
    </comment>
    <comment ref="AE285" authorId="0">
      <text>
        <r>
          <rPr>
            <sz val="10"/>
            <rFont val="Arial"/>
            <family val="2"/>
          </rPr>
          <t xml:space="preserve">Hand spread: WuXi Biologics Annual Report 2025 (HKEX, IFRS, RMB), p.108 – Profit attributable to owners of the Company FY25: RMB 4,908,343k
[Converted to USD at the 2025 average CNY rate, FX!D11; value above is in CNY m.]</t>
        </r>
      </text>
    </comment>
    <comment ref="AE286" authorId="0">
      <text>
        <r>
          <rPr>
            <sz val="10"/>
            <rFont val="Arial"/>
            <family val="2"/>
          </rPr>
          <t xml:space="preserve">Hand spread: WuXi Biologics Annual Report 2025 (HKEX, IFRS, RMB), p.108 – Profit attributable to owners FY24: RMB 3,356,081k
[Converted to USD at the 2024 average CNY rate, FX!C11; value above is in CNY m.]</t>
        </r>
      </text>
    </comment>
    <comment ref="AE287" authorId="0">
      <text>
        <r>
          <rPr>
            <sz val="10"/>
            <rFont val="Arial"/>
            <family val="2"/>
          </rPr>
          <t xml:space="preserve">Hand spread: WuXi Biologics Annual Report 2024 (HKEX, IFRS, RMB), p.107 – Profit attributable to owners FY23: RMB 3,399,729k
[Converted to USD at the 2023 average CNY rate, FX!B11; value above is in CNY m.]</t>
        </r>
      </text>
    </comment>
    <comment ref="AE295" authorId="0">
      <text>
        <r>
          <rPr>
            <sz val="10"/>
            <rFont val="Arial"/>
            <family val="2"/>
          </rPr>
          <t xml:space="preserve">Hand spread: WuXi Biologics Annual Report 2025 (HKEX, IFRS, RMB), p.108 – Diluted EPS FY25: RMB 1.16
[Converted to USD at the 2025 average CNY rate, FX!D11; value above is in CNY m.]</t>
        </r>
      </text>
    </comment>
    <comment ref="AE296" authorId="0">
      <text>
        <r>
          <rPr>
            <sz val="10"/>
            <rFont val="Arial"/>
            <family val="2"/>
          </rPr>
          <t xml:space="preserve">Hand spread: WuXi Biologics Annual Report 2025 (HKEX, IFRS, RMB), p.108 – Diluted EPS FY24: RMB 0.78
[Converted to USD at the 2024 average CNY rate, FX!C11; value above is in CNY m.]</t>
        </r>
      </text>
    </comment>
    <comment ref="AE297" authorId="0">
      <text>
        <r>
          <rPr>
            <sz val="10"/>
            <rFont val="Arial"/>
            <family val="2"/>
          </rPr>
          <t xml:space="preserve">Hand spread: WuXi Biologics Annual Report 2024 (HKEX, IFRS, RMB), p.107 – Diluted EPS FY23: RMB 0.77
[Converted to USD at the 2023 average CNY rate, FX!B11; value above is in CNY m.]</t>
        </r>
      </text>
    </comment>
    <comment ref="AE309" authorId="0">
      <text>
        <r>
          <rPr>
            <sz val="10"/>
            <rFont val="Arial"/>
            <family val="2"/>
          </rPr>
          <t xml:space="preserve">Hand spread: reporting currency of the financial statements = CNY. FactSet showed HKD (the listing currency); WuXi Biologics reports in RMB.</t>
        </r>
      </text>
    </comment>
    <comment ref="AE312" authorId="0">
      <text>
        <r>
          <rPr>
            <sz val="10"/>
            <rFont val="Arial"/>
            <family val="2"/>
          </rPr>
          <t xml:space="preserve">Hand spread: share price and option strikes compared in HKD (HKEX listing currency).</t>
        </r>
      </text>
    </comment>
    <comment ref="AE313" authorId="0">
      <text>
        <r>
          <rPr>
            <sz val="10"/>
            <rFont val="Arial"/>
            <family val="2"/>
          </rPr>
          <t xml:space="preserve">Hand spread: ECB spot USD per HKD at this column's pricing date (row 2) – FX tab.</t>
        </r>
      </text>
    </comment>
    <comment ref="AE315" authorId="0">
      <text>
        <r>
          <rPr>
            <sz val="10"/>
            <rFont val="Arial"/>
            <family val="2"/>
          </rPr>
          <t xml:space="preserve">Hand spread: balance sheet date of the latest filing (WuXi Biologics 2026 Interim Results Announcement (HKEX, 25-Aug-26; condensed consolidated FS at 30-Jun-26, IFRS, RMB)).</t>
        </r>
      </text>
    </comment>
    <comment ref="AE316" authorId="0">
      <text>
        <r>
          <rPr>
            <sz val="10"/>
            <rFont val="Arial"/>
            <family val="2"/>
          </rPr>
          <t xml:space="preserve">Hand spread: ECB spot USD per CNY at the 30-Jun-26 balance sheet date – FX tab.</t>
        </r>
      </text>
    </comment>
    <comment ref="AE327" authorId="0">
      <text>
        <r>
          <rPr>
            <sz val="10"/>
            <rFont val="Arial"/>
            <family val="2"/>
          </rPr>
          <t xml:space="preserve">Hand spread: LTM ROU depreciation [calc] = WuXi Biologics Annual Report 2025 (HKEX, IFRS, RMB) p.167 (Note 10) FY25 257,617k + WuXi Biologics 2026 Interim Results Announcement (HKEX, 25-Aug-26; condensed consolidated FS at 30-Jun-26, IFRS, RMB) p.40 (Note 9) H1-26 118,616k – H1-25 129,664k = RMB 246.6m</t>
        </r>
      </text>
    </comment>
    <comment ref="AE328" authorId="0">
      <text>
        <r>
          <rPr>
            <sz val="10"/>
            <rFont val="Arial"/>
            <family val="2"/>
          </rPr>
          <t xml:space="preserve">Hand spread: LTM lease interest [calc] = WuXi Biologics Annual Report 2025 (HKEX, IFRS, RMB) p.166 (Note 9) FY25 80,660k + WuXi Biologics 2026 Interim Results Announcement (HKEX, 25-Aug-26; condensed consolidated FS at 30-Jun-26, IFRS, RMB) p.39 H1-26 36,727k – H1-25 40,907k = RMB 76.5m</t>
        </r>
      </text>
    </comment>
    <comment ref="AE339" authorId="0">
      <text>
        <r>
          <rPr>
            <sz val="10"/>
            <rFont val="Arial"/>
            <family val="2"/>
          </rPr>
          <t xml:space="preserve">Hand spread: WuXi Biologics Annual Report 2025 (HKEX, IFRS, RMB), p.115 – Cash flow – Purchases of property, plant and equipment FY25: RMB 3,685,115k
[Converted to USD at the 2025 average CNY rate, FX!D11; value above is in CNY m.]</t>
        </r>
      </text>
    </comment>
    <comment ref="AE340" authorId="0">
      <text>
        <r>
          <rPr>
            <sz val="10"/>
            <rFont val="Arial"/>
            <family val="2"/>
          </rPr>
          <t xml:space="preserve">Hand spread: WuXi Biologics Annual Report 2025 (HKEX, IFRS, RMB), p.115 – Purchases of PP&amp;E FY24: RMB 3,929,621k
[Converted to USD at the 2024 average CNY rate, FX!C11; value above is in CNY m.]</t>
        </r>
      </text>
    </comment>
    <comment ref="AE341" authorId="0">
      <text>
        <r>
          <rPr>
            <sz val="10"/>
            <rFont val="Arial"/>
            <family val="2"/>
          </rPr>
          <t xml:space="preserve">Hand spread: WuXi Biologics Annual Report 2024 (HKEX, IFRS, RMB), p.114 – Purchases of PP&amp;E FY23: RMB 4,045,574k
[Converted to USD at the 2023 average CNY rate, FX!B11; value above is in CNY m.]</t>
        </r>
      </text>
    </comment>
    <comment ref="AF13" authorId="0">
      <text>
        <r>
          <rPr>
            <sz val="10"/>
            <rFont val="Arial"/>
            <family val="2"/>
          </rPr>
          <t xml:space="preserve">Latest filing used for the balance sheet / share data. See cell notes for every figure and the "Spread Notes" tab.</t>
        </r>
      </text>
    </comment>
    <comment ref="AF43" authorId="0">
      <text>
        <r>
          <rPr>
            <sz val="10"/>
            <rFont val="Arial"/>
            <family val="2"/>
          </rPr>
          <t xml:space="preserve">Hand spread: OXB Interim Results H1 2026 RNS (22-Sep-26; unaudited condensed consolidated FS at 30-Jun-26, IFRS) – rendered PDF, PDF p.20 – Consolidated statement of financial position – Cash and cash equivalents at 30-Jun-26: GBP 75,283k (note 11, PDF p.37: incl. GBP 1.5m earmarked for Harrow House improvement works under the sale &amp; leaseback; escrow lease deposits of GBP 7.4m sit in non-current receivables and are NOT included)</t>
        </r>
      </text>
    </comment>
    <comment ref="AF44" authorId="0">
      <text>
        <r>
          <rPr>
            <sz val="10"/>
            <rFont val="Arial"/>
            <family val="2"/>
          </rPr>
          <t xml:space="preserve">Hand spread: OXB Interim Results H1 2026 RNS (22-Sep-26; unaudited condensed consolidated FS at 30-Jun-26, IFRS) – rendered PDF, PDF p.20 – no short-term investments.</t>
        </r>
      </text>
    </comment>
    <comment ref="AF46" authorId="0">
      <text>
        <r>
          <rPr>
            <sz val="10"/>
            <rFont val="Arial"/>
            <family val="2"/>
          </rPr>
          <t xml:space="preserve">Hand spread: OXB Interim Results H1 2026 RNS (22-Sep-26; unaudited condensed consolidated FS at 30-Jun-26, IFRS) – rendered PDF – balance sheet: no investments in associates / joint ventures (equity-accounted) shown.</t>
        </r>
      </text>
    </comment>
    <comment ref="AF55" authorId="0">
      <text>
        <r>
          <rPr>
            <sz val="10"/>
            <rFont val="Arial"/>
            <family val="2"/>
          </rPr>
          <t xml:space="preserve">Hand spread: OXB Interim Results H1 2026 RNS (22-Sep-26; unaudited condensed consolidated FS at 30-Jun-26, IFRS) – rendered PDF, PDF p.20 – no current loans (FactSet's 7.1 was the current IFRS 16 lease liability, now in row 58).</t>
        </r>
      </text>
    </comment>
    <comment ref="AF56" authorId="0">
      <text>
        <r>
          <rPr>
            <sz val="10"/>
            <rFont val="Arial"/>
            <family val="2"/>
          </rPr>
          <t xml:space="preserve">Hand spread: OXB Interim Results H1 2026 RNS (22-Sep-26; unaudited condensed consolidated FS at 30-Jun-26, IFRS) – rendered PDF, PDF p.20 &amp; note 16 (PDF p.40) – Non-current Loans (Oaktree USD senior secured facility, amortised cost): GBP 53,845k. FactSet's 151.5 = this + non-current leases 97.7.</t>
        </r>
      </text>
    </comment>
    <comment ref="AF58" authorId="0">
      <text>
        <r>
          <rPr>
            <sz val="10"/>
            <rFont val="Arial"/>
            <family val="2"/>
          </rPr>
          <t xml:space="preserve">Hand spread: OXB Interim Results H1 2026 RNS (22-Sep-26; unaudited condensed consolidated FS at 30-Jun-26, IFRS) – rendered PDF, PDF p.20 &amp; note 13 (PDF p.37) [calc] – IFRS 16 lease liabilities: current 7,132 + non-current 97,666 = GBP 104,798k. Reversed in rows 62/63 (pre-IFRS 16).</t>
        </r>
      </text>
    </comment>
    <comment ref="AF62" authorId="0">
      <text>
        <r>
          <rPr>
            <sz val="10"/>
            <rFont val="Arial"/>
            <family val="2"/>
          </rPr>
          <t xml:space="preserve">Hand spread: IFRS 16 lease liabilities = row 58 (other debt) – see row 58 note for source. Reversed in row 63 when the pre-IFRS 16 toggle (F5) = 1.</t>
        </r>
      </text>
    </comment>
    <comment ref="AF70" authorId="0">
      <text>
        <r>
          <rPr>
            <sz val="10"/>
            <rFont val="Arial"/>
            <family val="2"/>
          </rPr>
          <t xml:space="preserve">Hand spread: OXB Annual Report and Accounts 2025 (printed page numbers), p.122 / OXB Interim Results H1 2026 RNS (22-Sep-26; unaudited condensed consolidated FS at 30-Jun-26, IFRS) – rendered PDF PDF p.20 – no defined benefit pension scheme (no pension liability on balance sheet).</t>
        </r>
      </text>
    </comment>
    <comment ref="AF71" authorId="0">
      <text>
        <r>
          <rPr>
            <sz val="10"/>
            <rFont val="Arial"/>
            <family val="2"/>
          </rPr>
          <t xml:space="preserve">Statutory tax rate 25.00% for UNITED KINGDOM, from the "Tax Rates" tab of the external LGC – WACC and Trading Comps_v2.xlsx (external link removed; cached value kept). Used only to tax-effect the pension deficit (row 72).</t>
        </r>
      </text>
    </comment>
    <comment ref="AF74" authorId="0">
      <text>
        <r>
          <rPr>
            <sz val="10"/>
            <rFont val="Arial"/>
            <family val="2"/>
          </rPr>
          <t xml:space="preserve">Hand spread: OXB Interim Results H1 2026 RNS (22-Sep-26; unaudited condensed consolidated FS at 30-Jun-26, IFRS) – rendered PDF, note 19 (PDF p.42) – OXB US final 10% acquired Mar-25; NCI GBP nil at 30-Jun-26.</t>
        </r>
      </text>
    </comment>
    <comment ref="AF77" authorId="0">
      <text>
        <r>
          <rPr>
            <sz val="10"/>
            <rFont val="Arial"/>
            <family val="2"/>
          </rPr>
          <t xml:space="preserve">Hand spread: OXB Interim Results H1 2026 RNS (22-Sep-26; unaudited condensed consolidated FS at 30-Jun-26, IFRS) – rendered PDF – no preferred shares.</t>
        </r>
      </text>
    </comment>
    <comment ref="AF81" authorId="0">
      <text>
        <r>
          <rPr>
            <sz val="10"/>
            <rFont val="Arial"/>
            <family val="2"/>
          </rPr>
          <t xml:space="preserve">Hand spread: OXB Interim Results H1 2026 RNS (22-Sep-26; unaudited condensed consolidated FS at 30-Jun-26, IFRS) – rendered PDF, PDF p.20 – Total equity (all attributable to owners of the parent) at 30-Jun-26: GBP 58,095k</t>
        </r>
      </text>
    </comment>
    <comment ref="AF137" authorId="0">
      <text>
        <r>
          <rPr>
            <sz val="10"/>
            <rFont val="Arial"/>
            <family val="2"/>
          </rPr>
          <t xml:space="preserve">Hand spread: OXB Total Voting Rights RNS (1-Oct-26) [calc] – 121,049,785 ordinary shares in issue at 30-Sep-26 (no treasury shares) less 30,519 shares held by the EBT (OXB Annual Report and Accounts 2025 (printed page numbers), p.166, Note 27 – latest disclosed) = 121,019,266</t>
        </r>
      </text>
    </comment>
    <comment ref="AF152" authorId="0">
      <text>
        <r>
          <rPr>
            <sz val="10"/>
            <rFont val="Arial"/>
            <family val="2"/>
          </rPr>
          <t xml:space="preserve">Hand spread: OXB Annual Report and Accounts 2025 (printed page numbers), p.168 (Note 28, range-of-exercise-price table) – Share options (2015 ESOS + Sharesave) outstanding at 31-Dec-25 in range 250p–350p: 354,639 (total 1,123,202 agrees to movement table; H1-26 exercises of 285,401 not split by scheme)</t>
        </r>
      </text>
    </comment>
    <comment ref="AF153" authorId="0">
      <text>
        <r>
          <rPr>
            <sz val="10"/>
            <rFont val="Arial"/>
            <family val="2"/>
          </rPr>
          <t xml:space="preserve">Hand spread: OXB Annual Report and Accounts 2025 (printed page numbers), p.168 (Note 28, range-of-exercise-price table) – Share options (2015 ESOS + Sharesave) outstanding at 31-Dec-25 in range 350p–650p: 280,102 (total 1,123,202 agrees to movement table; H1-26 exercises of 285,401 not split by scheme)</t>
        </r>
      </text>
    </comment>
    <comment ref="AF154" authorId="0">
      <text>
        <r>
          <rPr>
            <sz val="10"/>
            <rFont val="Arial"/>
            <family val="2"/>
          </rPr>
          <t xml:space="preserve">Hand spread: OXB Annual Report and Accounts 2025 (printed page numbers), p.168 (Note 28, range-of-exercise-price table) – Share options (2015 ESOS + Sharesave) outstanding at 31-Dec-25 in range 650p+: 488,461 (total 1,123,202 agrees to movement table; H1-26 exercises of 285,401 not split by scheme)</t>
        </r>
      </text>
    </comment>
    <comment ref="AF159" authorId="0">
      <text>
        <r>
          <rPr>
            <sz val="10"/>
            <rFont val="Arial"/>
            <family val="2"/>
          </rPr>
          <t xml:space="preserve">Hand spread: OXB Annual Report and Accounts 2025 (printed page numbers), p.166 (Note 27) – Deferred Bonus Plan awards outstanding at 31-Dec-25: 369,130 (nil cost)</t>
        </r>
      </text>
    </comment>
    <comment ref="AF160" authorId="0">
      <text>
        <r>
          <rPr>
            <sz val="10"/>
            <rFont val="Arial"/>
            <family val="2"/>
          </rPr>
          <t xml:space="preserve">Hand spread: OXB Annual Report and Accounts 2025 (printed page numbers), p.165 &amp; p.168 (Note 27/28) – LTIP options and RSUs outstanding at 31-Dec-25: 5,111,415 (exercisable at par/nil cost; performance-conditioned awards included at full number)</t>
        </r>
      </text>
    </comment>
    <comment ref="AF164" authorId="0">
      <text>
        <r>
          <rPr>
            <sz val="10"/>
            <rFont val="Arial"/>
            <family val="2"/>
          </rPr>
          <t xml:space="preserve">Hand spread: OXB Annual Report and Accounts 2025 (printed page numbers), p.168 – weighted average exercise price for the 250p–350p range: 315.9p = GBP 3.159</t>
        </r>
      </text>
    </comment>
    <comment ref="AF165" authorId="0">
      <text>
        <r>
          <rPr>
            <sz val="10"/>
            <rFont val="Arial"/>
            <family val="2"/>
          </rPr>
          <t xml:space="preserve">Hand spread: OXB Annual Report and Accounts 2025 (printed page numbers), p.168 – weighted average exercise price for the 350p–650p range: 507.8p = GBP 5.078</t>
        </r>
      </text>
    </comment>
    <comment ref="AF166" authorId="0">
      <text>
        <r>
          <rPr>
            <sz val="10"/>
            <rFont val="Arial"/>
            <family val="2"/>
          </rPr>
          <t xml:space="preserve">Hand spread: OXB Annual Report and Accounts 2025 (printed page numbers), p.168 – weighted average exercise price for the 650p+ range: 760.7p = GBP 7.607</t>
        </r>
      </text>
    </comment>
    <comment ref="AF189" authorId="0">
      <text>
        <r>
          <rPr>
            <sz val="10"/>
            <rFont val="Arial"/>
            <family val="2"/>
          </rPr>
          <t xml:space="preserve">Hand spread: OXB Interim Results H1 2026 RNS (22-Sep-26; unaudited condensed consolidated FS at 30-Jun-26, IFRS) – rendered PDF – fiscal year ends 31 December.</t>
        </r>
      </text>
    </comment>
    <comment ref="AF205" authorId="0">
      <text>
        <r>
          <rPr>
            <sz val="10"/>
            <rFont val="Arial"/>
            <family val="2"/>
          </rPr>
          <t xml:space="preserve">Hand spread: OXB Annual Report and Accounts 2025 (printed page numbers), p.121 – Consolidated statement of comprehensive income – Revenue FY25: GBP 168,741k
[Converted to USD at the 2025 average GBP rate, FX!D8; value above is in GBP m.]</t>
        </r>
      </text>
    </comment>
    <comment ref="AF206" authorId="0">
      <text>
        <r>
          <rPr>
            <sz val="10"/>
            <rFont val="Arial"/>
            <family val="2"/>
          </rPr>
          <t xml:space="preserve">Hand spread: OXB Annual Report and Accounts 2025 (printed page numbers), p.121 – Revenue FY24: GBP 128,797k
[Converted to USD at the 2024 average GBP rate, FX!C8; value above is in GBP m.]</t>
        </r>
      </text>
    </comment>
    <comment ref="AF207" authorId="0">
      <text>
        <r>
          <rPr>
            <sz val="10"/>
            <rFont val="Arial"/>
            <family val="2"/>
          </rPr>
          <t xml:space="preserve">Hand spread: OXB Preliminary Results FY2024 RNS (Apr-25) – rendered PDF, PDF p.17 – Revenue FY23 (re-presented): GBP 89,539k
[Converted to USD at the 2023 average GBP rate, FX!B8; value above is in GBP m.]</t>
        </r>
      </text>
    </comment>
    <comment ref="AF215" authorId="0">
      <text>
        <r>
          <rPr>
            <sz val="10"/>
            <rFont val="Arial"/>
            <family val="2"/>
          </rPr>
          <t xml:space="preserve">Hand spread: OXB Annual Report and Accounts 2025 (printed page numbers), p.121 – Gross profit FY25: GBP 65,980k
[Converted to USD at the 2025 average GBP rate, FX!D8; value above is in GBP m.]</t>
        </r>
      </text>
    </comment>
    <comment ref="AF216" authorId="0">
      <text>
        <r>
          <rPr>
            <sz val="10"/>
            <rFont val="Arial"/>
            <family val="2"/>
          </rPr>
          <t xml:space="preserve">Hand spread: OXB Annual Report and Accounts 2025 (printed page numbers), p.121 – Gross profit FY24: GBP 53,021k
[Converted to USD at the 2024 average GBP rate, FX!C8; value above is in GBP m.]</t>
        </r>
      </text>
    </comment>
    <comment ref="AF217" authorId="0">
      <text>
        <r>
          <rPr>
            <sz val="10"/>
            <rFont val="Arial"/>
            <family val="2"/>
          </rPr>
          <t xml:space="preserve">Hand spread: OXB Preliminary Results FY2024 RNS (Apr-25) – rendered PDF, PDF p.17 – Gross profit FY23: GBP 39,727k
[Converted to USD at the 2023 average GBP rate, FX!B8; value above is in GBP m.]</t>
        </r>
      </text>
    </comment>
    <comment ref="AF225" authorId="0">
      <text>
        <r>
          <rPr>
            <sz val="10"/>
            <rFont val="Arial"/>
            <family val="2"/>
          </rPr>
          <t xml:space="preserve">Hand spread: OXB Annual Report and Accounts 2025 (printed page numbers), p.121 – Innovation costs FY25 (OXB's R&amp;D line): GBP 5,062k. Note: 'Operating costs' (50.7m) are manufacturing/development overheads, not R&amp;D
[Converted to USD at the 2025 average GBP rate, FX!D8; value above is in GBP m.]</t>
        </r>
      </text>
    </comment>
    <comment ref="AF226" authorId="0">
      <text>
        <r>
          <rPr>
            <sz val="10"/>
            <rFont val="Arial"/>
            <family val="2"/>
          </rPr>
          <t xml:space="preserve">Hand spread: OXB Annual Report and Accounts 2025 (printed page numbers), p.121 – Innovation costs FY24: GBP 4,544k
[Converted to USD at the 2024 average GBP rate, FX!C8; value above is in GBP m.]</t>
        </r>
      </text>
    </comment>
    <comment ref="AF227" authorId="0">
      <text>
        <r>
          <rPr>
            <sz val="10"/>
            <rFont val="Arial"/>
            <family val="2"/>
          </rPr>
          <t xml:space="preserve">Hand spread: OXB Preliminary Results FY2024 RNS (Apr-25) – rendered PDF, PDF p.17 – Innovation costs FY23: GBP 11,471k
[Converted to USD at the 2023 average GBP rate, FX!B8; value above is in GBP m.]</t>
        </r>
      </text>
    </comment>
    <comment ref="AF235" authorId="0">
      <text>
        <r>
          <rPr>
            <sz val="10"/>
            <rFont val="Arial"/>
            <family val="2"/>
          </rPr>
          <t xml:space="preserve">Hand spread: OXB Annual Report and Accounts 2025 (printed page numbers), p.121 [calc] – SG&amp;A FY25 = Commercial costs 6,964 + Administration expenses 36,759 = GBP 43,723k
[Converted to USD at the 2025 average GBP rate, FX!D8; value above is in GBP m.]</t>
        </r>
      </text>
    </comment>
    <comment ref="AF236" authorId="0">
      <text>
        <r>
          <rPr>
            <sz val="10"/>
            <rFont val="Arial"/>
            <family val="2"/>
          </rPr>
          <t xml:space="preserve">Hand spread: OXB Annual Report and Accounts 2025 (printed page numbers), p.121 [calc] – SG&amp;A FY24 = Commercial 6,356 + Administration 29,420 = GBP 35,776k
[Converted to USD at the 2024 average GBP rate, FX!C8; value above is in GBP m.]</t>
        </r>
      </text>
    </comment>
    <comment ref="AF237" authorId="0">
      <text>
        <r>
          <rPr>
            <sz val="10"/>
            <rFont val="Arial"/>
            <family val="2"/>
          </rPr>
          <t xml:space="preserve">Hand spread: OXB Preliminary Results FY2024 RNS (Apr-25) – rendered PDF, PDF p.17 [calc] – SG&amp;A FY23 = Commercial 3,911 + Administration 26,893 = GBP 30,804k
[Converted to USD at the 2023 average GBP rate, FX!B8; value above is in GBP m.]</t>
        </r>
      </text>
    </comment>
    <comment ref="AF245" authorId="0">
      <text>
        <r>
          <rPr>
            <sz val="10"/>
            <rFont val="Arial"/>
            <family val="2"/>
          </rPr>
          <t xml:space="preserve">Hand spread: OXB Annual Report and Accounts 2025 (printed page numbers), p.121 – Operating loss FY25 (statutory; incl. GBP 9.9m gain on bargain purchase): GBP (22,484)k
[Converted to USD at the 2025 average GBP rate, FX!D8; value above is in GBP m.]</t>
        </r>
      </text>
    </comment>
    <comment ref="AF246" authorId="0">
      <text>
        <r>
          <rPr>
            <sz val="10"/>
            <rFont val="Arial"/>
            <family val="2"/>
          </rPr>
          <t xml:space="preserve">Hand spread: OXB Annual Report and Accounts 2025 (printed page numbers), p.121 – Operating loss FY24: GBP (39,375)k
[Converted to USD at the 2024 average GBP rate, FX!C8; value above is in GBP m.]</t>
        </r>
      </text>
    </comment>
    <comment ref="AF247" authorId="0">
      <text>
        <r>
          <rPr>
            <sz val="10"/>
            <rFont val="Arial"/>
            <family val="2"/>
          </rPr>
          <t xml:space="preserve">Hand spread: OXB Preliminary Results FY2024 RNS (Apr-25) – rendered PDF, PDF p.17 – Operating loss FY23 (incl. GBP 99.3m impairment): GBP (184,174)k
[Converted to USD at the 2023 average GBP rate, FX!B8; value above is in GBP m.]</t>
        </r>
      </text>
    </comment>
    <comment ref="AF265" authorId="0">
      <text>
        <r>
          <rPr>
            <sz val="10"/>
            <rFont val="Arial"/>
            <family val="2"/>
          </rPr>
          <t xml:space="preserve">Hand spread: OXB Annual Report and Accounts 2025 (printed page numbers), p.121 &amp; p.171 (Note 31) [calc] – EBITDA FY25 = operating loss (22,484) + depreciation 17,575 + amortisation 2,270 + impairment nil = GBP (2,639)k. (Company 'Operating EBITDA' of GBP 2.3m also adds back share-based payments and excludes the bargain purchase gain – not used)
[Converted to USD at the 2025 average GBP rate, FX!D8; value above is in GBP m.]</t>
        </r>
      </text>
    </comment>
    <comment ref="AF266" authorId="0">
      <text>
        <r>
          <rPr>
            <sz val="10"/>
            <rFont val="Arial"/>
            <family val="2"/>
          </rPr>
          <t xml:space="preserve">Hand spread: OXB Annual Report and Accounts 2025 (printed page numbers), p.121 &amp; p.171 (Note 31) [calc] – EBITDA FY24 = (39,375) + depreciation 20,084 + amortisation 2,343 + impairment 179 = GBP (16,769)k
[Converted to USD at the 2024 average GBP rate, FX!C8; value above is in GBP m.]</t>
        </r>
      </text>
    </comment>
    <comment ref="AF267" authorId="0">
      <text>
        <r>
          <rPr>
            <sz val="10"/>
            <rFont val="Arial"/>
            <family val="2"/>
          </rPr>
          <t xml:space="preserve">Hand spread: OXB Preliminary Results FY2024 RNS (Apr-25) – rendered PDF, PDF p.17 &amp; p.31 (Note 17) [calc] – EBITDA FY23 = (184,174) + depreciation 21,504 + amortisation 7,206 + impairment 99,285 = GBP (56,179)k
[Converted to USD at the 2023 average GBP rate, FX!B8; value above is in GBP m.]</t>
        </r>
      </text>
    </comment>
    <comment ref="AF285" authorId="0">
      <text>
        <r>
          <rPr>
            <sz val="10"/>
            <rFont val="Arial"/>
            <family val="2"/>
          </rPr>
          <t xml:space="preserve">Hand spread: OXB Annual Report and Accounts 2025 (printed page numbers), p.121 – Loss attributable to owners of the Company FY25: GBP (30,128)k
[Converted to USD at the 2025 average GBP rate, FX!D8; value above is in GBP m.]</t>
        </r>
      </text>
    </comment>
    <comment ref="AF286" authorId="0">
      <text>
        <r>
          <rPr>
            <sz val="10"/>
            <rFont val="Arial"/>
            <family val="2"/>
          </rPr>
          <t xml:space="preserve">Hand spread: OXB Annual Report and Accounts 2025 (printed page numbers), p.121 – Loss attributable to owners FY24: GBP (43,190)k
[Converted to USD at the 2024 average GBP rate, FX!C8; value above is in GBP m.]</t>
        </r>
      </text>
    </comment>
    <comment ref="AF287" authorId="0">
      <text>
        <r>
          <rPr>
            <sz val="10"/>
            <rFont val="Arial"/>
            <family val="2"/>
          </rPr>
          <t xml:space="preserve">Hand spread: OXB Preliminary Results FY2024 RNS (Apr-25) – rendered PDF, PDF p.18 – Loss attributable to owners FY23: GBP (157,490)k
[Converted to USD at the 2023 average GBP rate, FX!B8; value above is in GBP m.]</t>
        </r>
      </text>
    </comment>
    <comment ref="AF295" authorId="0">
      <text>
        <r>
          <rPr>
            <sz val="10"/>
            <rFont val="Arial"/>
            <family val="2"/>
          </rPr>
          <t xml:space="preserve">Hand spread: OXB Annual Report and Accounts 2025 (printed page numbers), p.121 – Basic and diluted loss per share FY25: (26.92)p = GBP (0.2692)
[Converted to USD at the 2025 average GBP rate, FX!D8; value above is in GBP m.]</t>
        </r>
      </text>
    </comment>
    <comment ref="AF296" authorId="0">
      <text>
        <r>
          <rPr>
            <sz val="10"/>
            <rFont val="Arial"/>
            <family val="2"/>
          </rPr>
          <t xml:space="preserve">Hand spread: OXB Annual Report and Accounts 2025 (printed page numbers), p.121 – Basic and diluted loss per share FY24: (41.75)p
[Converted to USD at the 2024 average GBP rate, FX!C8; value above is in GBP m.]</t>
        </r>
      </text>
    </comment>
    <comment ref="AF297" authorId="0">
      <text>
        <r>
          <rPr>
            <sz val="10"/>
            <rFont val="Arial"/>
            <family val="2"/>
          </rPr>
          <t xml:space="preserve">Hand spread: OXB Preliminary Results FY2024 RNS (Apr-25) – rendered PDF, PDF p.18 – Basic and diluted loss per share FY23: (163.11)p
[Converted to USD at the 2023 average GBP rate, FX!B8; value above is in GBP m.]</t>
        </r>
      </text>
    </comment>
    <comment ref="AF309" authorId="0">
      <text>
        <r>
          <rPr>
            <sz val="10"/>
            <rFont val="Arial"/>
            <family val="2"/>
          </rPr>
          <t xml:space="preserve">Hand spread: reporting currency of the financial statements = GBP.</t>
        </r>
      </text>
    </comment>
    <comment ref="AF313" authorId="0">
      <text>
        <r>
          <rPr>
            <sz val="10"/>
            <rFont val="Arial"/>
            <family val="2"/>
          </rPr>
          <t xml:space="preserve">Hand spread: ECB spot USD per GBP at this column's pricing date (row 2) – FX tab.</t>
        </r>
      </text>
    </comment>
    <comment ref="AF315" authorId="0">
      <text>
        <r>
          <rPr>
            <sz val="10"/>
            <rFont val="Arial"/>
            <family val="2"/>
          </rPr>
          <t xml:space="preserve">Hand spread: balance sheet date of the latest filing (OXB Interim Results H1 2026 RNS (22-Sep-26; unaudited condensed consolidated FS at 30-Jun-26, IFRS) – rendered PDF).</t>
        </r>
      </text>
    </comment>
    <comment ref="AF316" authorId="0">
      <text>
        <r>
          <rPr>
            <sz val="10"/>
            <rFont val="Arial"/>
            <family val="2"/>
          </rPr>
          <t xml:space="preserve">Hand spread: ECB spot USD per GBP at the 30-Jun-26 balance sheet date – FX tab.</t>
        </r>
      </text>
    </comment>
    <comment ref="AF327" authorId="0">
      <text>
        <r>
          <rPr>
            <sz val="10"/>
            <rFont val="Arial"/>
            <family val="2"/>
          </rPr>
          <t xml:space="preserve">Hand spread: [calc] LTM ROU depreciation = FY25 4,741 (OXB Annual Report and Accounts 2025 (printed page numbers), p.171, Note 33) + H1-26 3,588 (OXB Interim Results H1 2026 RNS (22-Sep-26; unaudited condensed consolidated FS at 30-Jun-26, IFRS) – rendered PDF, note 13, PDF p.37) – H1-25 2,506 (OXB Interim Results H1 2025 RNS (Investegate 9124513) – rendered PDF, PDF p.21) = GBP 5,823k</t>
        </r>
      </text>
    </comment>
    <comment ref="AF328" authorId="0">
      <text>
        <r>
          <rPr>
            <sz val="10"/>
            <rFont val="Arial"/>
            <family val="2"/>
          </rPr>
          <t xml:space="preserve">Hand spread: [calc] LTM interest on lease liabilities = FY25 8,334 (OXB Annual Report and Accounts 2025 (printed page numbers), p.172, Note 33) + H1-26 4,735 (OXB Interim Results H1 2026 RNS (22-Sep-26; unaudited condensed consolidated FS at 30-Jun-26, IFRS) – rendered PDF, note 13, PDF p.37) – H1-25 4,410 (OXB Interim Results H1 2025 RNS (Investegate 9124513) – rendered PDF, PDF p.22) = GBP 8,659k</t>
        </r>
      </text>
    </comment>
    <comment ref="AF339" authorId="0">
      <text>
        <r>
          <rPr>
            <sz val="10"/>
            <rFont val="Arial"/>
            <family val="2"/>
          </rPr>
          <t xml:space="preserve">Hand spread: OXB Annual Report and Accounts 2025 (printed page numbers), p.123 – Purchases of property, plant and equipment FY25: GBP 4,761k
[Converted to USD at the 2025 average GBP rate, FX!D8; value above is in GBP m.]</t>
        </r>
      </text>
    </comment>
    <comment ref="AF340" authorId="0">
      <text>
        <r>
          <rPr>
            <sz val="10"/>
            <rFont val="Arial"/>
            <family val="2"/>
          </rPr>
          <t xml:space="preserve">Hand spread: OXB Annual Report and Accounts 2025 (printed page numbers), p.123 – Purchases of PP&amp;E FY24: GBP 7,496k
[Converted to USD at the 2024 average GBP rate, FX!C8; value above is in GBP m.]</t>
        </r>
      </text>
    </comment>
    <comment ref="AF341" authorId="0">
      <text>
        <r>
          <rPr>
            <sz val="10"/>
            <rFont val="Arial"/>
            <family val="2"/>
          </rPr>
          <t xml:space="preserve">Hand spread: OXB Preliminary Results FY2024 RNS (Apr-25) – rendered PDF, PDF p.19 – Purchases of PP&amp;E FY23: GBP 9,832k
[Converted to USD at the 2023 average GBP rate, FX!B8; value above is in GBP m.]</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ECB: mean of 255 daily cross rates in 2023 – USD per CHF.</t>
        </r>
      </text>
    </comment>
    <comment ref="B7" authorId="0">
      <text>
        <r>
          <rPr>
            <sz val="10"/>
            <rFont val="Arial"/>
            <family val="2"/>
          </rPr>
          <t xml:space="preserve">ECB: mean of 255 daily cross rates in 2023 – USD per EUR.</t>
        </r>
      </text>
    </comment>
    <comment ref="B8" authorId="0">
      <text>
        <r>
          <rPr>
            <sz val="10"/>
            <rFont val="Arial"/>
            <family val="2"/>
          </rPr>
          <t xml:space="preserve">ECB: mean of 255 daily cross rates in 2023 – USD per GBP.</t>
        </r>
      </text>
    </comment>
    <comment ref="B9" authorId="0">
      <text>
        <r>
          <rPr>
            <sz val="10"/>
            <rFont val="Arial"/>
            <family val="2"/>
          </rPr>
          <t xml:space="preserve">ECB: mean of 255 daily cross rates in 2023 – USD per KRW.</t>
        </r>
      </text>
    </comment>
    <comment ref="B10" authorId="0">
      <text>
        <r>
          <rPr>
            <sz val="10"/>
            <rFont val="Arial"/>
            <family val="2"/>
          </rPr>
          <t xml:space="preserve">ECB: mean of 255 daily cross rates in 2023 – USD per HKD.</t>
        </r>
      </text>
    </comment>
    <comment ref="B11" authorId="0">
      <text>
        <r>
          <rPr>
            <sz val="10"/>
            <rFont val="Arial"/>
            <family val="2"/>
          </rPr>
          <t xml:space="preserve">ECB: mean of 255 daily cross rates in 2023 – USD per CNY.</t>
        </r>
      </text>
    </comment>
    <comment ref="C6" authorId="0">
      <text>
        <r>
          <rPr>
            <sz val="10"/>
            <rFont val="Arial"/>
            <family val="2"/>
          </rPr>
          <t xml:space="preserve">ECB: mean of 256 daily cross rates in 2024 – USD per CHF.</t>
        </r>
      </text>
    </comment>
    <comment ref="C7" authorId="0">
      <text>
        <r>
          <rPr>
            <sz val="10"/>
            <rFont val="Arial"/>
            <family val="2"/>
          </rPr>
          <t xml:space="preserve">ECB: mean of 256 daily cross rates in 2024 – USD per EUR.</t>
        </r>
      </text>
    </comment>
    <comment ref="C8" authorId="0">
      <text>
        <r>
          <rPr>
            <sz val="10"/>
            <rFont val="Arial"/>
            <family val="2"/>
          </rPr>
          <t xml:space="preserve">ECB: mean of 256 daily cross rates in 2024 – USD per GBP.</t>
        </r>
      </text>
    </comment>
    <comment ref="C9" authorId="0">
      <text>
        <r>
          <rPr>
            <sz val="10"/>
            <rFont val="Arial"/>
            <family val="2"/>
          </rPr>
          <t xml:space="preserve">ECB: mean of 256 daily cross rates in 2024 – USD per KRW.</t>
        </r>
      </text>
    </comment>
    <comment ref="C10" authorId="0">
      <text>
        <r>
          <rPr>
            <sz val="10"/>
            <rFont val="Arial"/>
            <family val="2"/>
          </rPr>
          <t xml:space="preserve">ECB: mean of 256 daily cross rates in 2024 – USD per HKD.</t>
        </r>
      </text>
    </comment>
    <comment ref="C11" authorId="0">
      <text>
        <r>
          <rPr>
            <sz val="10"/>
            <rFont val="Arial"/>
            <family val="2"/>
          </rPr>
          <t xml:space="preserve">ECB: mean of 256 daily cross rates in 2024 – USD per CNY.</t>
        </r>
      </text>
    </comment>
    <comment ref="D6" authorId="0">
      <text>
        <r>
          <rPr>
            <sz val="10"/>
            <rFont val="Arial"/>
            <family val="2"/>
          </rPr>
          <t xml:space="preserve">ECB: mean of 255 daily cross rates in 2025 – USD per CHF.</t>
        </r>
      </text>
    </comment>
    <comment ref="D7" authorId="0">
      <text>
        <r>
          <rPr>
            <sz val="10"/>
            <rFont val="Arial"/>
            <family val="2"/>
          </rPr>
          <t xml:space="preserve">ECB: mean of 255 daily cross rates in 2025 – USD per EUR.</t>
        </r>
      </text>
    </comment>
    <comment ref="D8" authorId="0">
      <text>
        <r>
          <rPr>
            <sz val="10"/>
            <rFont val="Arial"/>
            <family val="2"/>
          </rPr>
          <t xml:space="preserve">ECB: mean of 255 daily cross rates in 2025 – USD per GBP.</t>
        </r>
      </text>
    </comment>
    <comment ref="D9" authorId="0">
      <text>
        <r>
          <rPr>
            <sz val="10"/>
            <rFont val="Arial"/>
            <family val="2"/>
          </rPr>
          <t xml:space="preserve">ECB: mean of 255 daily cross rates in 2025 – USD per KRW.</t>
        </r>
      </text>
    </comment>
    <comment ref="D10" authorId="0">
      <text>
        <r>
          <rPr>
            <sz val="10"/>
            <rFont val="Arial"/>
            <family val="2"/>
          </rPr>
          <t xml:space="preserve">ECB: mean of 255 daily cross rates in 2025 – USD per HKD.</t>
        </r>
      </text>
    </comment>
    <comment ref="D11" authorId="0">
      <text>
        <r>
          <rPr>
            <sz val="10"/>
            <rFont val="Arial"/>
            <family val="2"/>
          </rPr>
          <t xml:space="preserve">ECB: mean of 255 daily cross rates in 2025 – USD per CNY.</t>
        </r>
      </text>
    </comment>
    <comment ref="E6" authorId="0">
      <text>
        <r>
          <rPr>
            <sz val="10"/>
            <rFont val="Arial"/>
            <family val="2"/>
          </rPr>
          <t xml:space="preserve">ECB reference rate fixing of 2026-06-30 – USD per CHF.</t>
        </r>
      </text>
    </comment>
    <comment ref="E7" authorId="0">
      <text>
        <r>
          <rPr>
            <sz val="10"/>
            <rFont val="Arial"/>
            <family val="2"/>
          </rPr>
          <t xml:space="preserve">ECB reference rate fixing of 2026-06-30 – USD per EUR.</t>
        </r>
      </text>
    </comment>
    <comment ref="E8" authorId="0">
      <text>
        <r>
          <rPr>
            <sz val="10"/>
            <rFont val="Arial"/>
            <family val="2"/>
          </rPr>
          <t xml:space="preserve">ECB reference rate fixing of 2026-06-30 – USD per GBP.</t>
        </r>
      </text>
    </comment>
    <comment ref="E9" authorId="0">
      <text>
        <r>
          <rPr>
            <sz val="10"/>
            <rFont val="Arial"/>
            <family val="2"/>
          </rPr>
          <t xml:space="preserve">ECB reference rate fixing of 2026-06-30 – USD per KRW.</t>
        </r>
      </text>
    </comment>
    <comment ref="E10" authorId="0">
      <text>
        <r>
          <rPr>
            <sz val="10"/>
            <rFont val="Arial"/>
            <family val="2"/>
          </rPr>
          <t xml:space="preserve">ECB reference rate fixing of 2026-06-30 – USD per HKD.</t>
        </r>
      </text>
    </comment>
    <comment ref="E11" authorId="0">
      <text>
        <r>
          <rPr>
            <sz val="10"/>
            <rFont val="Arial"/>
            <family val="2"/>
          </rPr>
          <t xml:space="preserve">ECB reference rate fixing of 2026-06-30 – USD per CNY.</t>
        </r>
      </text>
    </comment>
    <comment ref="F6" authorId="0">
      <text>
        <r>
          <rPr>
            <sz val="10"/>
            <rFont val="Arial"/>
            <family val="2"/>
          </rPr>
          <t xml:space="preserve">ECB reference rate fixing of 2026-09-21 – USD per CHF.</t>
        </r>
      </text>
    </comment>
    <comment ref="F7" authorId="0">
      <text>
        <r>
          <rPr>
            <sz val="10"/>
            <rFont val="Arial"/>
            <family val="2"/>
          </rPr>
          <t xml:space="preserve">ECB reference rate fixing of 2026-09-21 – USD per EUR.</t>
        </r>
      </text>
    </comment>
    <comment ref="F8" authorId="0">
      <text>
        <r>
          <rPr>
            <sz val="10"/>
            <rFont val="Arial"/>
            <family val="2"/>
          </rPr>
          <t xml:space="preserve">ECB reference rate fixing of 2026-09-21 – USD per GBP.</t>
        </r>
      </text>
    </comment>
    <comment ref="F9" authorId="0">
      <text>
        <r>
          <rPr>
            <sz val="10"/>
            <rFont val="Arial"/>
            <family val="2"/>
          </rPr>
          <t xml:space="preserve">ECB reference rate fixing of 2026-09-21 – USD per KRW.</t>
        </r>
      </text>
    </comment>
    <comment ref="F10" authorId="0">
      <text>
        <r>
          <rPr>
            <sz val="10"/>
            <rFont val="Arial"/>
            <family val="2"/>
          </rPr>
          <t xml:space="preserve">ECB reference rate fixing of 2026-09-21 – USD per HKD.</t>
        </r>
      </text>
    </comment>
    <comment ref="F11" authorId="0">
      <text>
        <r>
          <rPr>
            <sz val="10"/>
            <rFont val="Arial"/>
            <family val="2"/>
          </rPr>
          <t xml:space="preserve">ECB reference rate fixing of 2026-09-21 – USD per CNY.</t>
        </r>
      </text>
    </comment>
    <comment ref="G6" authorId="0">
      <text>
        <r>
          <rPr>
            <sz val="10"/>
            <rFont val="Arial"/>
            <family val="2"/>
          </rPr>
          <t xml:space="preserve">ECB reference rate fixing of 2026-01-16 – USD per CHF.</t>
        </r>
      </text>
    </comment>
    <comment ref="G7" authorId="0">
      <text>
        <r>
          <rPr>
            <sz val="10"/>
            <rFont val="Arial"/>
            <family val="2"/>
          </rPr>
          <t xml:space="preserve">ECB reference rate fixing of 2026-01-16 – USD per EUR.</t>
        </r>
      </text>
    </comment>
    <comment ref="G8" authorId="0">
      <text>
        <r>
          <rPr>
            <sz val="10"/>
            <rFont val="Arial"/>
            <family val="2"/>
          </rPr>
          <t xml:space="preserve">ECB reference rate fixing of 2026-01-16 – USD per GBP.</t>
        </r>
      </text>
    </comment>
    <comment ref="G9" authorId="0">
      <text>
        <r>
          <rPr>
            <sz val="10"/>
            <rFont val="Arial"/>
            <family val="2"/>
          </rPr>
          <t xml:space="preserve">ECB reference rate fixing of 2026-01-16 – USD per KRW.</t>
        </r>
      </text>
    </comment>
    <comment ref="G10" authorId="0">
      <text>
        <r>
          <rPr>
            <sz val="10"/>
            <rFont val="Arial"/>
            <family val="2"/>
          </rPr>
          <t xml:space="preserve">ECB reference rate fixing of 2026-01-16 – USD per HKD.</t>
        </r>
      </text>
    </comment>
    <comment ref="G11" authorId="0">
      <text>
        <r>
          <rPr>
            <sz val="10"/>
            <rFont val="Arial"/>
            <family val="2"/>
          </rPr>
          <t xml:space="preserve">ECB reference rate fixing of 2026-01-16 – USD per CNY.</t>
        </r>
      </text>
    </comment>
    <comment ref="H6" authorId="0">
      <text>
        <r>
          <rPr>
            <sz val="10"/>
            <rFont val="Arial"/>
            <family val="2"/>
          </rPr>
          <t xml:space="preserve">ECB reference rate fixing of 2026-04-09 – USD per CHF.</t>
        </r>
      </text>
    </comment>
    <comment ref="H7" authorId="0">
      <text>
        <r>
          <rPr>
            <sz val="10"/>
            <rFont val="Arial"/>
            <family val="2"/>
          </rPr>
          <t xml:space="preserve">ECB reference rate fixing of 2026-04-09 – USD per EUR.</t>
        </r>
      </text>
    </comment>
    <comment ref="H8" authorId="0">
      <text>
        <r>
          <rPr>
            <sz val="10"/>
            <rFont val="Arial"/>
            <family val="2"/>
          </rPr>
          <t xml:space="preserve">ECB reference rate fixing of 2026-04-09 – USD per GBP.</t>
        </r>
      </text>
    </comment>
    <comment ref="H9" authorId="0">
      <text>
        <r>
          <rPr>
            <sz val="10"/>
            <rFont val="Arial"/>
            <family val="2"/>
          </rPr>
          <t xml:space="preserve">ECB reference rate fixing of 2026-04-09 – USD per KRW.</t>
        </r>
      </text>
    </comment>
    <comment ref="H10" authorId="0">
      <text>
        <r>
          <rPr>
            <sz val="10"/>
            <rFont val="Arial"/>
            <family val="2"/>
          </rPr>
          <t xml:space="preserve">ECB reference rate fixing of 2026-04-09 – USD per HKD.</t>
        </r>
      </text>
    </comment>
    <comment ref="H11" authorId="0">
      <text>
        <r>
          <rPr>
            <sz val="10"/>
            <rFont val="Arial"/>
            <family val="2"/>
          </rPr>
          <t xml:space="preserve">ECB reference rate fixing of 2026-04-09 – USD per CNY.</t>
        </r>
      </text>
    </comment>
  </commentList>
</comments>
</file>

<file path=xl/sharedStrings.xml><?xml version="1.0" encoding="utf-8"?>
<sst xmlns="http://schemas.openxmlformats.org/spreadsheetml/2006/main" count="2702" uniqueCount="366">
  <si>
    <t xml:space="preserve">Date</t>
  </si>
  <si>
    <t xml:space="preserve">EOY</t>
  </si>
  <si>
    <t xml:space="preserve">Currency</t>
  </si>
  <si>
    <t xml:space="preserve">USD</t>
  </si>
  <si>
    <t xml:space="preserve">Pre-IFRS 16 toggle</t>
  </si>
  <si>
    <t xml:space="preserve">Ticker</t>
  </si>
  <si>
    <t xml:space="preserve">[Template]</t>
  </si>
  <si>
    <t xml:space="preserve">QGEN-US</t>
  </si>
  <si>
    <t xml:space="preserve">BIO-US</t>
  </si>
  <si>
    <t xml:space="preserve">NEOG-US</t>
  </si>
  <si>
    <t xml:space="preserve">MRVI-US</t>
  </si>
  <si>
    <t xml:space="preserve">BANB-CH</t>
  </si>
  <si>
    <t xml:space="preserve">SFZN-CH</t>
  </si>
  <si>
    <t xml:space="preserve">LONN-CH</t>
  </si>
  <si>
    <t xml:space="preserve">207940-KR</t>
  </si>
  <si>
    <t xml:space="preserve">237690-KR</t>
  </si>
  <si>
    <t xml:space="preserve">ROVI-ES</t>
  </si>
  <si>
    <t xml:space="preserve">ERF-FR</t>
  </si>
  <si>
    <t xml:space="preserve">SGSN-CH</t>
  </si>
  <si>
    <t xml:space="preserve">BVI-FR</t>
  </si>
  <si>
    <t xml:space="preserve">ITRK-GB</t>
  </si>
  <si>
    <t xml:space="preserve">WAT-US</t>
  </si>
  <si>
    <t xml:space="preserve">RVTY-US</t>
  </si>
  <si>
    <t xml:space="preserve">TMO-US</t>
  </si>
  <si>
    <t xml:space="preserve">DHR-US</t>
  </si>
  <si>
    <t xml:space="preserve">A-US</t>
  </si>
  <si>
    <t xml:space="preserve">2269-HK</t>
  </si>
  <si>
    <t xml:space="preserve">OXB-GB</t>
  </si>
  <si>
    <t xml:space="preserve">x</t>
  </si>
  <si>
    <t xml:space="preserve">BASIC FACTS</t>
  </si>
  <si>
    <t xml:space="preserve">Company Name</t>
  </si>
  <si>
    <t xml:space="preserve">NAME</t>
  </si>
  <si>
    <t xml:space="preserve">Qiagen</t>
  </si>
  <si>
    <t xml:space="preserve">Bio-Rad</t>
  </si>
  <si>
    <t xml:space="preserve">Neogen</t>
  </si>
  <si>
    <t xml:space="preserve">Maravai</t>
  </si>
  <si>
    <t xml:space="preserve">Bachem</t>
  </si>
  <si>
    <t xml:space="preserve">Siegfried</t>
  </si>
  <si>
    <t xml:space="preserve">Lonza</t>
  </si>
  <si>
    <t xml:space="preserve">Samsung Biologics</t>
  </si>
  <si>
    <t xml:space="preserve">ST Pharm</t>
  </si>
  <si>
    <t xml:space="preserve">ROVI</t>
  </si>
  <si>
    <t xml:space="preserve">Eurofins</t>
  </si>
  <si>
    <t xml:space="preserve">SGS</t>
  </si>
  <si>
    <t xml:space="preserve">Bureau Veritas</t>
  </si>
  <si>
    <t xml:space="preserve">Intertek</t>
  </si>
  <si>
    <t xml:space="preserve">Waters</t>
  </si>
  <si>
    <t xml:space="preserve">Revvity</t>
  </si>
  <si>
    <t xml:space="preserve">Thermo Fisher</t>
  </si>
  <si>
    <t xml:space="preserve">Danaher</t>
  </si>
  <si>
    <t xml:space="preserve">Agilent</t>
  </si>
  <si>
    <t xml:space="preserve">Wuxi Biologics</t>
  </si>
  <si>
    <t xml:space="preserve">Oxford Biomedica</t>
  </si>
  <si>
    <t xml:space="preserve">Spread By:</t>
  </si>
  <si>
    <t xml:space="preserve">n/a</t>
  </si>
  <si>
    <t xml:space="preserve">Hand spread (filings)</t>
  </si>
  <si>
    <t xml:space="preserve">Checked By:</t>
  </si>
  <si>
    <t xml:space="preserve">[ ]</t>
  </si>
  <si>
    <t xml:space="preserve">Latest Filing</t>
  </si>
  <si>
    <t xml:space="preserve">QIAGEN Q2-26 Quarterly Report (Form 6-K Ex.99.1 filed 7-Aug-26), quarter ended 30-Jun-26</t>
  </si>
  <si>
    <t xml:space="preserve">Bio-Rad Form 10-Q, quarter ended 30-Jun-26</t>
  </si>
  <si>
    <t xml:space="preserve">Neogen Form 10-K FY26 (YE 31-May-26)</t>
  </si>
  <si>
    <t xml:space="preserve">Maravai Form 10-Q, quarter ended 30-Jun-26</t>
  </si>
  <si>
    <t xml:space="preserve">Bachem Half-Year Report 2026 (30-Jun-26, Swiss GAAP FER)</t>
  </si>
  <si>
    <t xml:space="preserve">Siegfried Half-Year Report 2026 (30-Jun-26, Swiss GAAP FER)</t>
  </si>
  <si>
    <t xml:space="preserve">Lonza Half-Year Report 2026 (30-Jun-26, IFRS; via SGXNet)</t>
  </si>
  <si>
    <r>
      <rPr>
        <sz val="8"/>
        <color rgb="FF0000FF"/>
        <rFont val="Aptos"/>
        <family val="0"/>
        <charset val="1"/>
      </rPr>
      <t xml:space="preserve">Samsung Biologics 2026 2Q Reviewed Consolidated Interim FS (30-Jun-26, K-IFRS, English; also filed in DART </t>
    </r>
    <r>
      <rPr>
        <sz val="8"/>
        <color rgb="FF0000FF"/>
        <rFont val="WenQuanYi Zen Hei"/>
        <family val="2"/>
      </rPr>
      <t xml:space="preserve">반기보고서 </t>
    </r>
    <r>
      <rPr>
        <sz val="8"/>
        <color rgb="FF0000FF"/>
        <rFont val="Aptos"/>
        <family val="0"/>
        <charset val="1"/>
      </rPr>
      <t xml:space="preserve">2026.06)</t>
    </r>
  </si>
  <si>
    <r>
      <rPr>
        <sz val="8"/>
        <color rgb="FF0000FF"/>
        <rFont val="Aptos"/>
        <family val="0"/>
        <charset val="1"/>
      </rPr>
      <t xml:space="preserve">ST Pharm </t>
    </r>
    <r>
      <rPr>
        <sz val="8"/>
        <color rgb="FF0000FF"/>
        <rFont val="WenQuanYi Zen Hei"/>
        <family val="2"/>
      </rPr>
      <t xml:space="preserve">반기연결검토보고서 </t>
    </r>
    <r>
      <rPr>
        <sz val="8"/>
        <color rgb="FF0000FF"/>
        <rFont val="Aptos"/>
        <family val="0"/>
        <charset val="1"/>
      </rPr>
      <t xml:space="preserve">(reviewed consolidated interim FS, 30-Jun-26; attachment to DART </t>
    </r>
    <r>
      <rPr>
        <sz val="8"/>
        <color rgb="FF0000FF"/>
        <rFont val="WenQuanYi Zen Hei"/>
        <family val="2"/>
      </rPr>
      <t xml:space="preserve">반기보고서 </t>
    </r>
    <r>
      <rPr>
        <sz val="8"/>
        <color rgb="FF0000FF"/>
        <rFont val="Aptos"/>
        <family val="0"/>
        <charset val="1"/>
      </rPr>
      <t xml:space="preserve">2026.06)</t>
    </r>
  </si>
  <si>
    <t xml:space="preserve">ROVI Informe Financiero Semestral H1-2026 (CNMV filing; condensed consolidated interim FS at 30-Jun-26, IFRS, Spanish)</t>
  </si>
  <si>
    <t xml:space="preserve">Eurofins Half Year Report 2026 (interim condensed consolidated FS at 30-Jun-26, IFRS)</t>
  </si>
  <si>
    <t xml:space="preserve">SGS 2026 Half Year Results Interim Report (condensed consolidated FS at 30-Jun-26, IFRS)</t>
  </si>
  <si>
    <t xml:space="preserve">Bureau Veritas 2026 Half-Year Financial Report (condensed consolidated FS at 30-Jun-26, IFRS)</t>
  </si>
  <si>
    <t xml:space="preserve">Intertek 2026 Half-year Financial Report RNS (31-Jul-26; condensed consolidated interim FS at 30-Jun-26, IFRS) – rendered PDF</t>
  </si>
  <si>
    <t xml:space="preserve">Waters Form 10-Q, quarter ended 4-Jul-26</t>
  </si>
  <si>
    <t xml:space="preserve">Revvity Form 10-Q, quarter ended 5-Jul-26</t>
  </si>
  <si>
    <t xml:space="preserve">Thermo Fisher Form 10-Q, quarter ended 27-Jun-26</t>
  </si>
  <si>
    <t xml:space="preserve">Danaher Form 10-Q, quarter ended 26-Jun-26</t>
  </si>
  <si>
    <t xml:space="preserve">Agilent Form 10-Q, quarter ended 31-Jul-26 (Q3 FY26)</t>
  </si>
  <si>
    <t xml:space="preserve">WuXi Biologics 2026 Interim Results Announcement (HKEX, 25-Aug-26; condensed consolidated FS at 30-Jun-26, IFRS, RMB)</t>
  </si>
  <si>
    <t xml:space="preserve">OXB Interim Results H1 2026 RNS (22-Sep-26; unaudited condensed consolidated FS at 30-Jun-26, IFRS) – rendered PDF</t>
  </si>
  <si>
    <t xml:space="preserve">SUMMARY STATS</t>
  </si>
  <si>
    <t xml:space="preserve">FactSet Name</t>
  </si>
  <si>
    <t xml:space="preserve">Qiagen Nv</t>
  </si>
  <si>
    <t xml:space="preserve">Bio-Rad Laboratories, Inc.</t>
  </si>
  <si>
    <t xml:space="preserve">Neogen Corp.</t>
  </si>
  <si>
    <t xml:space="preserve">Maravai Lifesciences Holdings, Inc.</t>
  </si>
  <si>
    <t xml:space="preserve">Bachem Holding Ag</t>
  </si>
  <si>
    <t xml:space="preserve">Siegfried Holding Ag</t>
  </si>
  <si>
    <t xml:space="preserve">Lonza Group Ag</t>
  </si>
  <si>
    <t xml:space="preserve">Samsung Biologics Co., Ltd.</t>
  </si>
  <si>
    <t xml:space="preserve">St Pharm Co., Ltd.</t>
  </si>
  <si>
    <t xml:space="preserve">Laboratorios Farmaceúticos Rovi Sa</t>
  </si>
  <si>
    <t xml:space="preserve">Eurofins Scientific Se</t>
  </si>
  <si>
    <t xml:space="preserve">Sgs Sa</t>
  </si>
  <si>
    <t xml:space="preserve">Bureau Veritas Sa</t>
  </si>
  <si>
    <t xml:space="preserve">Intertek Group Plc</t>
  </si>
  <si>
    <t xml:space="preserve">Waters Corp.</t>
  </si>
  <si>
    <t xml:space="preserve">Revvity, Inc.</t>
  </si>
  <si>
    <t xml:space="preserve">Thermo Fisher Scientific, Inc.</t>
  </si>
  <si>
    <t xml:space="preserve">Danaher Corp.</t>
  </si>
  <si>
    <t xml:space="preserve">Agilent Technologies, Inc.</t>
  </si>
  <si>
    <t xml:space="preserve">Wuxi Biologics (Cayman), Inc.</t>
  </si>
  <si>
    <t xml:space="preserve">Oxford Biomedica Plc</t>
  </si>
  <si>
    <t xml:space="preserve">Primary Stock Exchange</t>
  </si>
  <si>
    <t xml:space="preserve">--</t>
  </si>
  <si>
    <t xml:space="preserve">NYSE</t>
  </si>
  <si>
    <t xml:space="preserve">NASDAQ</t>
  </si>
  <si>
    <t xml:space="preserve">SIX Swiss</t>
  </si>
  <si>
    <t xml:space="preserve">Korea</t>
  </si>
  <si>
    <t xml:space="preserve">Madrid</t>
  </si>
  <si>
    <t xml:space="preserve">Euronext Paris</t>
  </si>
  <si>
    <t xml:space="preserve">London</t>
  </si>
  <si>
    <t xml:space="preserve">Hong Kong</t>
  </si>
  <si>
    <t xml:space="preserve">Country Located</t>
  </si>
  <si>
    <t xml:space="preserve">NETHERLANDS</t>
  </si>
  <si>
    <t xml:space="preserve">UNITED STATES</t>
  </si>
  <si>
    <t xml:space="preserve">SWITZERLAND</t>
  </si>
  <si>
    <t xml:space="preserve">SOUTH KOREA</t>
  </si>
  <si>
    <t xml:space="preserve">SPAIN</t>
  </si>
  <si>
    <t xml:space="preserve">LUXEMBOURG</t>
  </si>
  <si>
    <t xml:space="preserve">FRANCE</t>
  </si>
  <si>
    <t xml:space="preserve">UNITED KINGDOM</t>
  </si>
  <si>
    <t xml:space="preserve">CHINA</t>
  </si>
  <si>
    <t xml:space="preserve">FDSO</t>
  </si>
  <si>
    <t xml:space="preserve">Equity Value</t>
  </si>
  <si>
    <t xml:space="preserve">MC</t>
  </si>
  <si>
    <t xml:space="preserve">Plus:  Total Debt</t>
  </si>
  <si>
    <t xml:space="preserve">Plus:  Minority Interest</t>
  </si>
  <si>
    <t xml:space="preserve">Plus:  Preferred Stock</t>
  </si>
  <si>
    <t xml:space="preserve">Less:  Total Cash</t>
  </si>
  <si>
    <t xml:space="preserve">Enterprise Value</t>
  </si>
  <si>
    <t xml:space="preserve">EV</t>
  </si>
  <si>
    <t xml:space="preserve">Memo: Net Debt</t>
  </si>
  <si>
    <t xml:space="preserve">52-Wk High - Closing Price</t>
  </si>
  <si>
    <t xml:space="preserve">% 52-Wk High</t>
  </si>
  <si>
    <t xml:space="preserve">52-Wk Low - Closing Price</t>
  </si>
  <si>
    <t xml:space="preserve">LTM - Closing Price</t>
  </si>
  <si>
    <t xml:space="preserve">Begin of Year (YTD) - Closing Price</t>
  </si>
  <si>
    <t xml:space="preserve">All Time High - Closing Price</t>
  </si>
  <si>
    <t xml:space="preserve">BALANCE SHEET</t>
  </si>
  <si>
    <t xml:space="preserve">Cash &amp; Equivalents (Local)</t>
  </si>
  <si>
    <t xml:space="preserve">Short-Term Investments</t>
  </si>
  <si>
    <t xml:space="preserve">Long-Term Investments</t>
  </si>
  <si>
    <t xml:space="preserve">Investment in Associates (JVs)</t>
  </si>
  <si>
    <t xml:space="preserve">PF Cash Adjustment</t>
  </si>
  <si>
    <t xml:space="preserve">Memo:</t>
  </si>
  <si>
    <t xml:space="preserve">Short-Term Debt (Local)</t>
  </si>
  <si>
    <t xml:space="preserve">Long-Term Debt (Local) - includes converts</t>
  </si>
  <si>
    <t xml:space="preserve">Pension Liabilities</t>
  </si>
  <si>
    <t xml:space="preserve">Other Debt</t>
  </si>
  <si>
    <t xml:space="preserve">PF Debt Adjustment</t>
  </si>
  <si>
    <t xml:space="preserve">IFRS 16 Lease Liabilities – current + non-current (Local)</t>
  </si>
  <si>
    <t xml:space="preserve">Less: IFRS 16 Lease Liabilities (pre-IFRS 16 basis, per Cover!C10)</t>
  </si>
  <si>
    <t xml:space="preserve">Convertible Debt Adjustment</t>
  </si>
  <si>
    <t xml:space="preserve">Net Pension Plan Status Asset (Liability) [Local]</t>
  </si>
  <si>
    <t xml:space="preserve">Tax Rate</t>
  </si>
  <si>
    <t xml:space="preserve">Minority Interest (Local)</t>
  </si>
  <si>
    <t xml:space="preserve">Non-Convertible Pref. Stock (Local)</t>
  </si>
  <si>
    <t xml:space="preserve">Convertible Pref. Stock (Local)</t>
  </si>
  <si>
    <t xml:space="preserve">Stockholders’ Equity (Local)</t>
  </si>
  <si>
    <t xml:space="preserve">Add. SE (Converts/Preferreds)</t>
  </si>
  <si>
    <t xml:space="preserve">Add. SE (Options)</t>
  </si>
  <si>
    <t xml:space="preserve">CONVERTIBLE DEBT</t>
  </si>
  <si>
    <t xml:space="preserve">Book Value Amount (Local)</t>
  </si>
  <si>
    <t xml:space="preserve">Face Value Amount (Local)</t>
  </si>
  <si>
    <t xml:space="preserve">Conversion Price (Local)</t>
  </si>
  <si>
    <t xml:space="preserve">Conversion Price (USD)</t>
  </si>
  <si>
    <t xml:space="preserve">Convert? Yes (1) or No (0)</t>
  </si>
  <si>
    <t xml:space="preserve">Common Share Equivalents</t>
  </si>
  <si>
    <t xml:space="preserve">Addition to Shareholders' Equity (Local)</t>
  </si>
  <si>
    <t xml:space="preserve">Convertible Adjustment</t>
  </si>
  <si>
    <t xml:space="preserve">CONVERTIBLE PREFERRED STOCK</t>
  </si>
  <si>
    <t xml:space="preserve">Resulting Convertible Balance (Local)</t>
  </si>
  <si>
    <t xml:space="preserve">SHARECOUNT</t>
  </si>
  <si>
    <t xml:space="preserve">Basic Shares O/S</t>
  </si>
  <si>
    <t xml:space="preserve">Secondary Shares O/S</t>
  </si>
  <si>
    <t xml:space="preserve">Options &amp; Warrants</t>
  </si>
  <si>
    <t xml:space="preserve">Shares from Convertible Debt</t>
  </si>
  <si>
    <t xml:space="preserve">Shares from Convertible Preferred </t>
  </si>
  <si>
    <t xml:space="preserve">PF Shares Adjustment</t>
  </si>
  <si>
    <t xml:space="preserve">OPTIONS / WARRANTS</t>
  </si>
  <si>
    <t xml:space="preserve">Strike Price Currency</t>
  </si>
  <si>
    <t xml:space="preserve">Local Price (Strike Price Currency)</t>
  </si>
  <si>
    <t xml:space="preserve">Options</t>
  </si>
  <si>
    <t xml:space="preserve">[Tranche]</t>
  </si>
  <si>
    <t xml:space="preserve">RSUs</t>
  </si>
  <si>
    <t xml:space="preserve">PSUs</t>
  </si>
  <si>
    <t xml:space="preserve">Warrants</t>
  </si>
  <si>
    <t xml:space="preserve">Total</t>
  </si>
  <si>
    <t xml:space="preserve">Strike Price (Local): Options</t>
  </si>
  <si>
    <t xml:space="preserve">Strike Price (Local): [ ]</t>
  </si>
  <si>
    <t xml:space="preserve">Strike Price (Local): RSUs</t>
  </si>
  <si>
    <t xml:space="preserve">Strike Price (Local): PSUs</t>
  </si>
  <si>
    <t xml:space="preserve">Strike Price (Local): Warrants</t>
  </si>
  <si>
    <t xml:space="preserve">Dilution: Options</t>
  </si>
  <si>
    <t xml:space="preserve">Dilution: [ ]</t>
  </si>
  <si>
    <t xml:space="preserve">Dilution: RSUs</t>
  </si>
  <si>
    <t xml:space="preserve">Dilution: PSUs</t>
  </si>
  <si>
    <t xml:space="preserve">Dilution: Warrants</t>
  </si>
  <si>
    <t xml:space="preserve">Additional Shares</t>
  </si>
  <si>
    <t xml:space="preserve">CALENDARIZED I/S</t>
  </si>
  <si>
    <t xml:space="preserve">Fiscal Year Month End</t>
  </si>
  <si>
    <t xml:space="preserve">Recalendarized to Month of:</t>
  </si>
  <si>
    <t xml:space="preserve">Absolute Value Difference in Months</t>
  </si>
  <si>
    <t xml:space="preserve">I/S Need to be Recalendarized?</t>
  </si>
  <si>
    <t xml:space="preserve">INDEX REF</t>
  </si>
  <si>
    <t xml:space="preserve">Revenue</t>
  </si>
  <si>
    <t xml:space="preserve">Gross Profit</t>
  </si>
  <si>
    <t xml:space="preserve">n.a.</t>
  </si>
  <si>
    <t xml:space="preserve">R&amp;D</t>
  </si>
  <si>
    <t xml:space="preserve">SG&amp;A</t>
  </si>
  <si>
    <t xml:space="preserve">EBIT (reported)</t>
  </si>
  <si>
    <t xml:space="preserve">EBIT – pre-IFRS 16 basis (reported + adj. row below)</t>
  </si>
  <si>
    <t xml:space="preserve">EBIT</t>
  </si>
  <si>
    <t xml:space="preserve">EBITDA (reported)</t>
  </si>
  <si>
    <t xml:space="preserve">EBITDA – pre-IFRS 16 basis (reported + adj. row below)</t>
  </si>
  <si>
    <t xml:space="preserve">EBITDA</t>
  </si>
  <si>
    <t xml:space="preserve">GAAP Net Income</t>
  </si>
  <si>
    <t xml:space="preserve">GAAP EPS</t>
  </si>
  <si>
    <t xml:space="preserve">MISCELLANEOUS</t>
  </si>
  <si>
    <t xml:space="preserve">Asset Information</t>
  </si>
  <si>
    <t xml:space="preserve">Lead Asset</t>
  </si>
  <si>
    <t xml:space="preserve">Phase</t>
  </si>
  <si>
    <t xml:space="preserve">Mechanism of Action</t>
  </si>
  <si>
    <t xml:space="preserve">Primary Therapeutic Area</t>
  </si>
  <si>
    <t xml:space="preserve">Indications</t>
  </si>
  <si>
    <t xml:space="preserve">Additional Market Data</t>
  </si>
  <si>
    <t xml:space="preserve">Reported I/S Currency</t>
  </si>
  <si>
    <t xml:space="preserve">CHF</t>
  </si>
  <si>
    <t xml:space="preserve">KRW</t>
  </si>
  <si>
    <t xml:space="preserve">EUR</t>
  </si>
  <si>
    <t xml:space="preserve">GBP</t>
  </si>
  <si>
    <t xml:space="preserve">CNY</t>
  </si>
  <si>
    <t xml:space="preserve">Reported Strike Price Currency</t>
  </si>
  <si>
    <t xml:space="preserve">HKD</t>
  </si>
  <si>
    <t xml:space="preserve">Reported Balance Sheet Currency</t>
  </si>
  <si>
    <t xml:space="preserve">Balance Sheet Date</t>
  </si>
  <si>
    <t xml:space="preserve">06/30/2026</t>
  </si>
  <si>
    <t xml:space="preserve">05/31/2026</t>
  </si>
  <si>
    <t xml:space="preserve">07/04/2026</t>
  </si>
  <si>
    <t xml:space="preserve">07/05/2026</t>
  </si>
  <si>
    <t xml:space="preserve">06/27/2026</t>
  </si>
  <si>
    <t xml:space="preserve">06/26/2026</t>
  </si>
  <si>
    <t xml:space="preserve">07/31/2026</t>
  </si>
  <si>
    <t xml:space="preserve">Balance Sheet Currency Multiplier</t>
  </si>
  <si>
    <t xml:space="preserve">Additional I/S Info</t>
  </si>
  <si>
    <t xml:space="preserve">Median LT EPS Growth</t>
  </si>
  <si>
    <t xml:space="preserve">Number of Estimates (FY+3)</t>
  </si>
  <si>
    <t xml:space="preserve">Number of Estimates (FY+2)</t>
  </si>
  <si>
    <t xml:space="preserve">Number of Estimates (FY+1)</t>
  </si>
  <si>
    <t xml:space="preserve">FY+3 I/B/E/S EPS (Reported Currency)</t>
  </si>
  <si>
    <t xml:space="preserve">FY+2 I/B/E/S EPS (Reported Currency)</t>
  </si>
  <si>
    <t xml:space="preserve">FY+1 I/B/E/S EPS (Reported Currency)</t>
  </si>
  <si>
    <t xml:space="preserve">IFRS 16 Lease Depreciation – LTM (Local)</t>
  </si>
  <si>
    <t xml:space="preserve">IFRS 16 Lease Interest – LTM (Local)</t>
  </si>
  <si>
    <t xml:space="preserve">IFRS 16 EBITDA Adjustment – USD (pre-IFRS 16 basis, per Cover!C10)</t>
  </si>
  <si>
    <t xml:space="preserve">IFRS 16 EBIT Adjustment – USD (pre-IFRS 16 basis, per Cover!C10)</t>
  </si>
  <si>
    <t xml:space="preserve">Additional CF Info</t>
  </si>
  <si>
    <t xml:space="preserve">CapEx</t>
  </si>
  <si>
    <t xml:space="preserve">Hand spread of trading comps – methodology and judgements</t>
  </si>
  <si>
    <t xml:space="preserve">Each hand-spread cell on the Spreads tab is in blue and has a note giving the filing, page number and calculation. Page numbers are the printed page numbers of the document unless the note says "PDF p." (rendered RNS / unnumbered documents) or "DART p.". FactSet formulas were frozen to their cached values; any company cell without a "Hand spread" note is FactSet market data or consensus (prices, 52-week data, forward estimates, dividends).</t>
  </si>
  <si>
    <t xml:space="preserve">FactSet / external links removed: pricing date (F2) is now a hard-coded 21-Sep-26; the pre-IFRS 16 switch is now cell F5 (1 = pre-IFRS 16); tax rates (row 71) kept as cached values; IFRS 16 LTM lease data (rows 327–328) are now hand-spread.</t>
  </si>
  <si>
    <t xml:space="preserve">General methodology</t>
  </si>
  <si>
    <t xml:space="preserve">Balance sheet</t>
  </si>
  <si>
    <t xml:space="preserve">Latest reported balance sheet (30-Jun-26 for all except Neogen 31-May-26, Waters 4-Jul-26, Revvity 5-Jul-26, TMO 27-Jun-26, DHR 26-Jun-26, Agilent 31-Jul-26). Debt at carrying value (current + non-current borrowings, incl. converts – convert treatment in rows 88–113).</t>
  </si>
  <si>
    <t xml:space="preserve">Pre-IFRS 16 basis</t>
  </si>
  <si>
    <t xml:space="preserve">IFRS reporters: IFRS 16 lease liabilities go in row 58 (or are kept within reported debt where the company does so – ROVI, Eurofins – and row 62 is then hard-coded); row 62 picks them up and row 63 reverses them when F5 = 1. LTM ROU depreciation (row 327) and lease interest (row 328) are deducted from EBITDA, and lease interest from EBIT (rows 329–330). LTM = FY25 + H1-26 − H1-25 where the halves are disclosed; FY25 is used as a proxy where they are not (stated in the note).</t>
  </si>
  <si>
    <t xml:space="preserve">US GAAP / Swiss GAAP FER</t>
  </si>
  <si>
    <t xml:space="preserve">US GAAP (ASC 842) operating leases are already within EBITDA and outside debt, so no adjustment. Bachem and Siegfried report under Swiss GAAP FER (operating leases off balance sheet), so they are already pre-IFRS 16.</t>
  </si>
  <si>
    <t xml:space="preserve">Income statement</t>
  </si>
  <si>
    <t xml:space="preserve">FY23–FY25 actuals from the annual reports / 10-Ks, converted to USD at each year's ECB average rate (FX tab). EBIT = reported operating profit. EBITDA: US companies = EBIT + D&amp;A + non-cash impairments; IFRS/FER companies = company-reported EBITDA where one is given, otherwise EBIT + D&amp;A (+ impairment). NI = attributable to shareholders, continuing operations where there are discontinued operations. EPS = diluted. CapEx = purchases of PP&amp;E (and software / intangibles where reported in one line).</t>
  </si>
  <si>
    <t xml:space="preserve">Calendarisation</t>
  </si>
  <si>
    <t xml:space="preserve">Neogen (May FYE): 5/12 × FY ending May + 7/12 × FY ending the next May. Agilent (Oct FYE): FY − Q1 of that FY + Q1 of the next FY. Both are shown on a December basis.</t>
  </si>
  <si>
    <t xml:space="preserve">By-nature reporters</t>
  </si>
  <si>
    <t xml:space="preserve">Eurofins, SGS, Bureau Veritas and Intertek do not report gross profit, R&amp;D or SG&amp;A. These are shown as "n.a."</t>
  </si>
  <si>
    <t xml:space="preserve">Pensions</t>
  </si>
  <si>
    <t xml:space="preserve">Net DB pension deficit only (surplus entered as negative), tax-effected at the row 71 rate; OPEB / other employee benefits excluded.</t>
  </si>
  <si>
    <t xml:space="preserve">Shares &amp; dilution</t>
  </si>
  <si>
    <t xml:space="preserve">Basic shares from the latest cover page / share-capital disclosure, net of treasury shares and EBT shares. Options are split into tranches by strike where disclosed; RSUs/PSUs at nil strike (PSUs at target). Treasury-stock dilution uses the existing template formulas.</t>
  </si>
  <si>
    <t xml:space="preserve">FX</t>
  </si>
  <si>
    <t xml:space="preserve">ECB reference rates, crossed through EUR (FX tab). Balance-sheet items: spot at 30-Jun-26. Options and converts: spot at each column's pricing date. The FactSet balance-sheet FX for CHF/EUR/GBP columns was taken at an inconsistent date (e.g. CHF 1.1977 vs ECB 1.2353 at 30-Jun-26) and has been replaced.</t>
  </si>
  <si>
    <t xml:space="preserve">Company-specific judgements and flags</t>
  </si>
  <si>
    <t xml:space="preserve">Converts: net-share-settled notes treated in the convert section (book / face / conversion price). Pricing date kept at 16-Jan-26 as in the backup.</t>
  </si>
  <si>
    <t xml:space="preserve">Sartorius stake ($5,295m, fair value) included in long-term investments (row 45) – FactSet excluded it. Class B shares included in row 138.</t>
  </si>
  <si>
    <t xml:space="preserve">Calendarised (May FYE). Balance sheet at 31-May-26 (FY26 10-K).</t>
  </si>
  <si>
    <t xml:space="preserve">Class B shares (110.68m, exchangeable into Class A) included in row 138, with NCI set to 0 to avoid double counting.</t>
  </si>
  <si>
    <t xml:space="preserve">Swiss GAAP FER – no IFRS 16 adjustment.</t>
  </si>
  <si>
    <t xml:space="preserve">PF cash CHF 2,107m = Capsules &amp; Health Ingredients net assets held for sale. FY23 includes C&amp;HI (not restated – not comparable). CapEx is total group. Associates (CHF 33m) are the 31-Dec-25 figure.</t>
  </si>
  <si>
    <t xml:space="preserve">Rights issue PF: cash +KRW 3,000,940m, shares +2.27m. FY23 includes Samsung Bioepis (pre spin-off). The EPS share base changed after the spin-off.</t>
  </si>
  <si>
    <t xml:space="preserve">CB call PF: cash −30,000; debt −24,198.7; residual CB book 17,383.4 / face 21,551 / conversion price KRW 79,648. Options in 4 strike tranches.</t>
  </si>
  <si>
    <t xml:space="preserve">Lease liabilities are included in reported debt, so row 62 is hard-coded at EUR 12.7m. Lease interest is not disclosed separately (nil).</t>
  </si>
  <si>
    <t xml:space="preserve">Hybrid capital (EUR 1,000m) treated as preferred (row 77), with equity reduced accordingly. Warrants: 903,570 shares @ EUR 52.965. Lease liabilities are included in reported debt (row 62 is hard-coded). MET Labs is held for sale (~EUR 575m EV) – noted only.</t>
  </si>
  <si>
    <t xml:space="preserve">477,782 PSOs excluded (no strike disclosed).</t>
  </si>
  <si>
    <t xml:space="preserve">Held-for-sale assets noted only, not adjusted.</t>
  </si>
  <si>
    <t xml:space="preserve">The ROU depreciation charge is not disclosed, so lease principal repayments (GBP 80.1m) are used as a proxy. Shares per the EQT Rule 2.7 announcement (net of EBT). Pricing date kept at 9-Apr-26 (undisturbed) as in the backup.</t>
  </si>
  <si>
    <t xml:space="preserve">BD replacement awards are not quantified in the filing, so they are excluded.</t>
  </si>
  <si>
    <t xml:space="preserve">Equity-method investments ($178m) are the 31-Dec-25 figure (not in the 10-Q).</t>
  </si>
  <si>
    <t xml:space="preserve">FactSet showed $1,400m of JVs, which the filing does not support – set to 0.</t>
  </si>
  <si>
    <t xml:space="preserve">Calendarised (Oct FYE). Balance sheet at 31-Jul-26 (Q3 FY26 10-Q).</t>
  </si>
  <si>
    <t xml:space="preserve">Statements are in RMB, not HKD (FactSet treated them as HKD): reporting currency is set to CNY and strikes/price to HKD. Repurchased but uncancelled shares deducted. Option strikes disclosed in USD and converted to HKD. The WuXi XDC stake is in row 46 (FVTPL associate).</t>
  </si>
  <si>
    <t xml:space="preserve">Basic shares per the 1-Oct-26 TVR (121.05m) less 30,519 EBT shares. Options from the AR25 range table (31-Dec-25). EBITDA is statutory (EBIT + D&amp;A + impairment); the company's "Operating EBITDA" also adds back share-based payments and is not used. FY25 EBIT includes a GBP 9.9m bargain-purchase gain. R&amp;D = "Innovation costs"; SG&amp;A = commercial + administration.</t>
  </si>
  <si>
    <t xml:space="preserve">Primary sources (balance sheet / share data) by company</t>
  </si>
  <si>
    <t xml:space="preserve">QIAGEN Q2-26 Quarterly Report (Form 6-K Ex.99.1 filed 7-Aug-26), quarter ended 30-Jun-26
QIAGEN Form 20-F FY25 (Financial Report 2025, YE 31-Dec-25)
QIAGEN Form 20-F FY25 (Financial Report 2025, YE 31-Dec-25), FY2025 (2025-01-01 to 2025-12-31)
QIAGEN Form 20-F FY25 (Financial Report 2025, YE 31-Dec-25), FY2024 (2024-01-01 to 2024-12-31)
QIAGEN Form 20-F FY25 (Financial Report 2025, YE 31-Dec-25), FY2023 (2023-01-01 to 2023-12-31)
QIAGEN Form 20-F FY25 (Financial Report 2025, YE 31-Dec-25), FY2025
QIAGEN Form 20-F FY25 (Financial Report 2025, YE 31-Dec-25), FY2024
QIAGEN Form 20-F FY25 (Financial Report 2025, YE 31-Dec-25), FY2023</t>
  </si>
  <si>
    <t xml:space="preserve">Bio-Rad Form 10-Q, quarter ended 30-Jun-26
Bio-Rad Form 10-K FY25 (YE 31-Dec-25)
Bio-Rad Form 10-Q, quarter ended 30-Jun-26, cover page
Bio-Rad Form 10-K FY25 (YE 31-Dec-25), FY2025 (2025-01-01 to 2025-12-31)
Bio-Rad Form 10-K FY25 (YE 31-Dec-25), FY2024 (2024-01-01 to 2024-12-31)
Bio-Rad Form 10-K FY25 (YE 31-Dec-25), FY2023 (2023-01-01 to 2023-12-31)
Bio-Rad Form 10-K FY25 (YE 31-Dec-25), FY2025
Bio-Rad Form 10-K FY25 (YE 31-Dec-25), FY2024</t>
  </si>
  <si>
    <t xml:space="preserve">Neogen Form 10-K FY26 (YE 31-May-26)
Neogen Form 10-K FY26 (YE 31-May-26), cover page
Revenue CY2025 (Neogen FY ends 31-May; calendarised to Dec YE by month-weighting, consistent with FactSet CALA basis)
Revenue CY2024 (Neogen FY ends 31-May; calendarised to Dec YE by month-weighting, consistent with FactSet CALA basis)
Revenue CY2023 (Neogen FY ends 31-May; calendarised to Dec YE by month-weighting, consistent with FactSet CALA basis)
Gross profit CY2025 (Neogen FY ends 31-May; calendarised to Dec YE by month-weighting, consistent with FactSet CALA basis)
Gross profit CY2024 (Neogen FY ends 31-May; calendarised to Dec YE by month-weighting, consistent with FactSet CALA basis)
Gross profit CY2023 (Neogen FY ends 31-May; calendarised to Dec YE by month-weighting, consistent with FactSet CALA basis)</t>
  </si>
  <si>
    <t xml:space="preserve">Maravai Form 10-Q, quarter ended 30-Jun-26
Maravai Form 10-Q, quarter ended 30-Jun-26, cover page
Maravai Form 10-K FY25 (YE 31-Dec-25)
Maravai Form 10-K FY25 (YE 31-Dec-25), FY2025 (2025-01-01 to 2025-12-31)
Maravai Form 10-K FY25 (YE 31-Dec-25), FY2024 (2024-01-01 to 2024-12-31)
Maravai Form 10-K FY25 (YE 31-Dec-25), FY2023 (2023-01-01 to 2023-12-31)
Maravai Form 10-K FY25 (YE 31-Dec-25), FY2025
Maravai Form 10-K FY25 (YE 31-Dec-25), FY2024</t>
  </si>
  <si>
    <t xml:space="preserve">Bachem Half-Year Report 2026 (30-Jun-26, Swiss GAAP FER)
Bachem Annual Report 2025 (Financial Report, Swiss GAAP FER)
Bachem Annual Report 2024 (Financial Report)
Bachem Annual Report 2025 (Financial Report, Swiss GAAP FER), company-reported EBITDA FY25 CHF 214.7m (p.10 key figures) = EBIT 167,303 + depreciation 43,453 (Note 13
Bachem Annual Report 2025 (Financial Report, Swiss GAAP FER), company-reported EBITDA FY24 CHF 176.3m (p.10) = EBIT 133,048 + depreciation 39,039 (Note 13
Bachem Annual Report 2024 (Financial Report), company-reported EBITDA FY23 CHF 166.7m (p.10) = EBIT 129,380 + depreciation 33,896 (Note 13</t>
  </si>
  <si>
    <t xml:space="preserve">Siegfried Half-Year Report 2026 (30-Jun-26, Swiss GAAP FER)
Siegfried Annual Report 2025
Siegfried Annual Report 2024 (Full Report)</t>
  </si>
  <si>
    <t xml:space="preserve">Lonza Half-Year Report 2026 (30-Jun-26, IFRS; via SGXNet)
Lonza Annual Report 2025 (IFRS; continuing operations, C&amp;HI restated as discontinued)
Lonza Annual Report 2024 (IFRS, as originally reported</t>
  </si>
  <si>
    <r>
      <rPr>
        <sz val="11"/>
        <rFont val="Aptos"/>
        <family val="0"/>
        <charset val="1"/>
      </rPr>
      <t xml:space="preserve">Samsung Biologics 2026 2Q Reviewed Consolidated Interim FS (30-Jun-26, K-IFRS, English; also filed in DART </t>
    </r>
    <r>
      <rPr>
        <sz val="11"/>
        <rFont val="WenQuanYi Zen Hei"/>
        <family val="2"/>
      </rPr>
      <t xml:space="preserve">반기보고서 </t>
    </r>
    <r>
      <rPr>
        <sz val="11"/>
        <rFont val="Aptos"/>
        <family val="0"/>
        <charset val="1"/>
      </rPr>
      <t xml:space="preserve">2026.06)
Samsung Biologics DART </t>
    </r>
    <r>
      <rPr>
        <sz val="11"/>
        <rFont val="WenQuanYi Zen Hei"/>
        <family val="2"/>
      </rPr>
      <t xml:space="preserve">주요사항보고서</t>
    </r>
    <r>
      <rPr>
        <sz val="11"/>
        <rFont val="Aptos"/>
        <family val="0"/>
        <charset val="1"/>
      </rPr>
      <t xml:space="preserve">(</t>
    </r>
    <r>
      <rPr>
        <sz val="11"/>
        <rFont val="WenQuanYi Zen Hei"/>
        <family val="2"/>
      </rPr>
      <t xml:space="preserve">유상증자결정</t>
    </r>
    <r>
      <rPr>
        <sz val="11"/>
        <rFont val="Aptos"/>
        <family val="0"/>
        <charset val="1"/>
      </rPr>
      <t xml:space="preserve">) 28-Aug-26 &amp; press release 28-Aug-26
Samsung Biologics FY2025 Audited Consolidated FS (K-IFRS, English; Bioepis spin-off restated as discontinued)
Samsung Biologics FY2024 </t>
    </r>
    <r>
      <rPr>
        <sz val="11"/>
        <rFont val="WenQuanYi Zen Hei"/>
        <family val="2"/>
      </rPr>
      <t xml:space="preserve">연결감사보고서 </t>
    </r>
    <r>
      <rPr>
        <sz val="11"/>
        <rFont val="Aptos"/>
        <family val="0"/>
        <charset val="1"/>
      </rPr>
      <t xml:space="preserve">(DART </t>
    </r>
    <r>
      <rPr>
        <sz val="11"/>
        <rFont val="WenQuanYi Zen Hei"/>
        <family val="2"/>
      </rPr>
      <t xml:space="preserve">사업보고서 </t>
    </r>
    <r>
      <rPr>
        <sz val="11"/>
        <rFont val="Aptos"/>
        <family val="0"/>
        <charset val="1"/>
      </rPr>
      <t xml:space="preserve">2024.12 attachment, as originally reported</t>
    </r>
  </si>
  <si>
    <r>
      <rPr>
        <sz val="11"/>
        <rFont val="Aptos"/>
        <family val="0"/>
        <charset val="1"/>
      </rPr>
      <t xml:space="preserve">ST Pharm </t>
    </r>
    <r>
      <rPr>
        <sz val="11"/>
        <rFont val="WenQuanYi Zen Hei"/>
        <family val="2"/>
      </rPr>
      <t xml:space="preserve">반기연결검토보고서 </t>
    </r>
    <r>
      <rPr>
        <sz val="11"/>
        <rFont val="Aptos"/>
        <family val="0"/>
        <charset val="1"/>
      </rPr>
      <t xml:space="preserve">(reviewed consolidated interim FS, 30-Jun-26; attachment to DART </t>
    </r>
    <r>
      <rPr>
        <sz val="11"/>
        <rFont val="WenQuanYi Zen Hei"/>
        <family val="2"/>
      </rPr>
      <t xml:space="preserve">반기보고서 </t>
    </r>
    <r>
      <rPr>
        <sz val="11"/>
        <rFont val="Aptos"/>
        <family val="0"/>
        <charset val="1"/>
      </rPr>
      <t xml:space="preserve">2026.06)
ST Pharm </t>
    </r>
    <r>
      <rPr>
        <sz val="11"/>
        <rFont val="WenQuanYi Zen Hei"/>
        <family val="2"/>
      </rPr>
      <t xml:space="preserve">반기보고서 </t>
    </r>
    <r>
      <rPr>
        <sz val="11"/>
        <rFont val="Aptos"/>
        <family val="0"/>
        <charset val="1"/>
      </rPr>
      <t xml:space="preserve">2026.06 (DART) p.9 (</t>
    </r>
    <r>
      <rPr>
        <sz val="11"/>
        <rFont val="WenQuanYi Zen Hei"/>
        <family val="2"/>
      </rPr>
      <t xml:space="preserve">주식의 총수</t>
    </r>
    <r>
      <rPr>
        <sz val="11"/>
        <rFont val="Aptos"/>
        <family val="0"/>
        <charset val="1"/>
      </rPr>
      <t xml:space="preserve">)
ST Pharm </t>
    </r>
    <r>
      <rPr>
        <sz val="11"/>
        <rFont val="WenQuanYi Zen Hei"/>
        <family val="2"/>
      </rPr>
      <t xml:space="preserve">반기보고서 </t>
    </r>
    <r>
      <rPr>
        <sz val="11"/>
        <rFont val="Aptos"/>
        <family val="0"/>
        <charset val="1"/>
      </rPr>
      <t xml:space="preserve">2026.06 (DART) p.69 (</t>
    </r>
    <r>
      <rPr>
        <sz val="11"/>
        <rFont val="WenQuanYi Zen Hei"/>
        <family val="2"/>
      </rPr>
      <t xml:space="preserve">주식매수선택권
</t>
    </r>
    <r>
      <rPr>
        <sz val="11"/>
        <rFont val="Aptos"/>
        <family val="0"/>
        <charset val="1"/>
      </rPr>
      <t xml:space="preserve">ST Pharm </t>
    </r>
    <r>
      <rPr>
        <sz val="11"/>
        <rFont val="WenQuanYi Zen Hei"/>
        <family val="2"/>
      </rPr>
      <t xml:space="preserve">반기보고서 </t>
    </r>
    <r>
      <rPr>
        <sz val="11"/>
        <rFont val="Aptos"/>
        <family val="0"/>
        <charset val="1"/>
      </rPr>
      <t xml:space="preserve">2026.06 (DART) p.69
ST Pharm </t>
    </r>
    <r>
      <rPr>
        <sz val="11"/>
        <rFont val="WenQuanYi Zen Hei"/>
        <family val="2"/>
      </rPr>
      <t xml:space="preserve">연결감사보고서 </t>
    </r>
    <r>
      <rPr>
        <sz val="11"/>
        <rFont val="Aptos"/>
        <family val="0"/>
        <charset val="1"/>
      </rPr>
      <t xml:space="preserve">FY2025 (attachment to DART </t>
    </r>
    <r>
      <rPr>
        <sz val="11"/>
        <rFont val="WenQuanYi Zen Hei"/>
        <family val="2"/>
      </rPr>
      <t xml:space="preserve">사업보고서 </t>
    </r>
    <r>
      <rPr>
        <sz val="11"/>
        <rFont val="Aptos"/>
        <family val="0"/>
        <charset val="1"/>
      </rPr>
      <t xml:space="preserve">2025.12) p.10
ST Pharm </t>
    </r>
    <r>
      <rPr>
        <sz val="11"/>
        <rFont val="WenQuanYi Zen Hei"/>
        <family val="2"/>
      </rPr>
      <t xml:space="preserve">연결감사보고서 </t>
    </r>
    <r>
      <rPr>
        <sz val="11"/>
        <rFont val="Aptos"/>
        <family val="0"/>
        <charset val="1"/>
      </rPr>
      <t xml:space="preserve">FY2024 (attachment to DART </t>
    </r>
    <r>
      <rPr>
        <sz val="11"/>
        <rFont val="WenQuanYi Zen Hei"/>
        <family val="2"/>
      </rPr>
      <t xml:space="preserve">사업보고서 </t>
    </r>
    <r>
      <rPr>
        <sz val="11"/>
        <rFont val="Aptos"/>
        <family val="0"/>
        <charset val="1"/>
      </rPr>
      <t xml:space="preserve">2024.12) p.10
ST Pharm </t>
    </r>
    <r>
      <rPr>
        <sz val="11"/>
        <rFont val="WenQuanYi Zen Hei"/>
        <family val="2"/>
      </rPr>
      <t xml:space="preserve">연결감사보고서 </t>
    </r>
    <r>
      <rPr>
        <sz val="11"/>
        <rFont val="Aptos"/>
        <family val="0"/>
        <charset val="1"/>
      </rPr>
      <t xml:space="preserve">FY2025 (attachment to DART </t>
    </r>
    <r>
      <rPr>
        <sz val="11"/>
        <rFont val="WenQuanYi Zen Hei"/>
        <family val="2"/>
      </rPr>
      <t xml:space="preserve">사업보고서 </t>
    </r>
    <r>
      <rPr>
        <sz val="11"/>
        <rFont val="Aptos"/>
        <family val="0"/>
        <charset val="1"/>
      </rPr>
      <t xml:space="preserve">2025.12) p.69 (Note 28)
ST Pharm </t>
    </r>
    <r>
      <rPr>
        <sz val="11"/>
        <rFont val="WenQuanYi Zen Hei"/>
        <family val="2"/>
      </rPr>
      <t xml:space="preserve">연결감사보고서 </t>
    </r>
    <r>
      <rPr>
        <sz val="11"/>
        <rFont val="Aptos"/>
        <family val="0"/>
        <charset val="1"/>
      </rPr>
      <t xml:space="preserve">FY2025 (attachment to DART </t>
    </r>
    <r>
      <rPr>
        <sz val="11"/>
        <rFont val="WenQuanYi Zen Hei"/>
        <family val="2"/>
      </rPr>
      <t xml:space="preserve">사업보고서 </t>
    </r>
    <r>
      <rPr>
        <sz val="11"/>
        <rFont val="Aptos"/>
        <family val="0"/>
        <charset val="1"/>
      </rPr>
      <t xml:space="preserve">2025.12) p.69</t>
    </r>
  </si>
  <si>
    <t xml:space="preserve">ROVI Informe Financiero Semestral H1-2026 (CNMV filing; condensed consolidated interim FS at 30-Jun-26, IFRS, Spanish)
ROVI Consolidated Annual Accounts FY2025 (IFRS, English translation, incl. Consolidated Management Report)
ROVI Consolidated Annual Accounts FY2024 (IFRS, English translation)
ROVI Consolidated Annual Accounts FY2025 (IFRS, English translation, incl. Consolidated Management Report), Consolidated Management Report p.2 (2.1 Business performance)
ROVI Consolidated Annual Accounts FY2025 (IFRS, English translation, incl. Consolidated Management Report), Management Report p.2
ROVI Consolidated Annual Accounts FY2024 (IFRS, English translation), Management Report p.2</t>
  </si>
  <si>
    <t xml:space="preserve">Eurofins Half Year Report 2026 (interim condensed consolidated FS at 30-Jun-26, IFRS)
Eurofins Annual Report 2025 (IFRS)
Eurofins Annual Report 2024 (IFRS)
Eurofins Annual Report 2025 (IFRS) p.133 / Eurofins Annual Report 2024 (IFRS) p.247</t>
  </si>
  <si>
    <t xml:space="preserve">SGS 2026 Half Year Results Interim Report (condensed consolidated FS at 30-Jun-26, IFRS)
SGS 2025 Integrated Report
SGS 2024 Integrated Report</t>
  </si>
  <si>
    <t xml:space="preserve">Bureau Veritas 2026 Half-Year Financial Report (condensed consolidated FS at 30-Jun-26, IFRS)
Bureau Veritas 2025 Universal Registration Document (IFRS)
Bureau Veritas 2024 Universal Registration Document (IFRS)
Bureau Veritas 2025 Universal Registration Document (IFRS) p.406 / Bureau Veritas 2024 Universal Registration Document (IFRS) p.382</t>
  </si>
  <si>
    <t xml:space="preserve">Intertek 2026 Half-year Financial Report RNS (31-Jul-26; condensed consolidated interim FS at 30-Jun-26, IFRS)
EQT/Isotope Bidco Rule 2.7 Announcement (18-Jun-26), Appendix 2 (Sources and bases)
Intertek Annual Report &amp; Accounts 2025 (FCA NSM copy; Financial Report pages 3.xx)
Intertek 2024 Full Year Results RNS (4-Mar-25)
Intertek Annual Report &amp; Accounts 2025 (FCA NSM copy; Financial Report pages 3.xx) p.3.01 / Intertek 2024 Full Year Results RNS (4-Mar-25)</t>
  </si>
  <si>
    <t xml:space="preserve">Waters Form 10-Q, quarter ended 4-Jul-26
Waters Form 10-Q, quarter ended 4-Jul-26, cover page
Waters Form 10-K FY25 (YE 31-Dec-25)
Waters Form 10-K FY25 (YE 31-Dec-25) (standalone Waters, pre-BDS combination), FY2025 (2025-01-01 to 2025-12-31)
Waters Form 10-K FY25 (YE 31-Dec-25) (standalone Waters, pre-BDS combination), FY2024 (2024-01-01 to 2024-12-31)
Waters Form 10-K FY25 (YE 31-Dec-25) (standalone Waters, pre-BDS combination), FY2023 (2023-01-01 to 2023-12-31)
Waters Form 10-K FY25 (YE 31-Dec-25) (standalone Waters, pre-BDS combination), FY2025
Waters Form 10-K FY25 (YE 31-Dec-25) (standalone Waters, pre-BDS combination), FY2024</t>
  </si>
  <si>
    <t xml:space="preserve">Revvity Form 10-Q, quarter ended 5-Jul-26
Revvity Form 10-K FY25 (YE 28-Dec-25)
Revvity Form 10-Q, quarter ended 5-Jul-26, cover page
Revvity Form 10-K FY25 (YE 28-Dec-25), FY2025 (2024-12-30 to 2025-12-28)
Revvity Form 10-K FY25 (YE 28-Dec-25), FY2024 (2024-01-01 to 2024-12-29)
Revvity Form 10-K FY25 (YE 28-Dec-25), FY2023 (2023-01-02 to 2023-12-31)
Revvity Form 10-K FY25 (YE 28-Dec-25), FY2025
Revvity Form 10-K FY25 (YE 28-Dec-25), FY2024</t>
  </si>
  <si>
    <t xml:space="preserve">Thermo Fisher Form 10-Q, quarter ended 27-Jun-26
Thermo Fisher Form 10-K FY25 (YE 31-Dec-25)
Thermo Fisher Form 10-Q, quarter ended 27-Jun-26, cover page
Thermo Fisher Form 10-K FY25 (YE 31-Dec-25), FY2025 (2025-01-01 to 2025-12-31)
Thermo Fisher Form 10-K FY25 (YE 31-Dec-25), FY2024 (2024-01-01 to 2024-12-31)
Thermo Fisher Form 10-K FY25 (YE 31-Dec-25), FY2023 (2023-01-01 to 2023-12-31)
Thermo Fisher Form 10-K FY25 (YE 31-Dec-25), FY2025
Thermo Fisher Form 10-K FY25 (YE 31-Dec-25), FY2024</t>
  </si>
  <si>
    <t xml:space="preserve">Danaher Form 10-Q, quarter ended 26-Jun-26
Danaher Form 10-K FY25 (YE 31-Dec-25)
Danaher Form 10-Q, quarter ended 26-Jun-26, cover page
Danaher Form 10-K FY25 (YE 31-Dec-25), FY2025 (2025-01-01 to 2025-12-31)
Danaher Form 10-K FY25 (YE 31-Dec-25), FY2024 (2024-01-01 to 2024-12-31)
Danaher Form 10-K FY25 (YE 31-Dec-25), FY2023 (2023-01-01 to 2023-12-31)
Danaher Form 10-K FY25 (YE 31-Dec-25), FY2025
Danaher Form 10-K FY25 (YE 31-Dec-25), FY2024</t>
  </si>
  <si>
    <t xml:space="preserve">Agilent Form 10-Q, quarter ended 31-Jul-26 (Q3 FY26)
Agilent Form 10-K FY25 (YE 31-Oct-25)
Agilent Form 10-Q, quarter ended 31-Jul-26 (Q3 FY26), cover page
Revenue CY2025 (Agilent FY ends 31-Oct; calendarised as FY less Q1 (Nov-Jan) plus next FY Q1, i.e. Feb-Jan 12 months, closest available to Dec YE)
Revenue CY2024 (Agilent FY ends 31-Oct; calendarised as FY less Q1 (Nov-Jan) plus next FY Q1, i.e. Feb-Jan 12 months, closest available to Dec YE)
Revenue CY2023 (Agilent FY ends 31-Oct; calendarised as FY less Q1 (Nov-Jan) plus next FY Q1, i.e. Feb-Jan 12 months, closest available to Dec YE)
Gross profit CY2025 (Agilent FY ends 31-Oct; calendarised as FY less Q1 (Nov-Jan) plus next FY Q1, i.e. Feb-Jan 12 months, closest available to Dec YE)
Gross profit CY2024 (Agilent FY ends 31-Oct; calendarised as FY less Q1 (Nov-Jan) plus next FY Q1, i.e. Feb-Jan 12 months, closest available to Dec YE)</t>
  </si>
  <si>
    <t xml:space="preserve">WuXi Biologics 2026 Interim Results Announcement (HKEX, 25-Aug-26; condensed consolidated FS at 30-Jun-26, IFRS, RMB)
WuXi Biologics Annual Report 2025 (HKEX, IFRS, RMB)
WuXi Biologics Interim Report 2026 (HKEX, 22-Sep-26)
WuXi Biologics Annual Report 2024 (HKEX, IFRS, RMB)</t>
  </si>
  <si>
    <t xml:space="preserve">OXB Interim Results H1 2026 RNS (22-Sep-26; unaudited condensed consolidated FS at 30-Jun-26, IFRS)
OXB Annual Report and Accounts 2025 (printed page numbers)
OXB Total Voting Rights RNS (1-Oct-26)
OXB Preliminary Results FY2024 RNS (Apr-25)</t>
  </si>
  <si>
    <t xml:space="preserve">FX rates – USD per 1 unit of local currency</t>
  </si>
  <si>
    <t xml:space="preserve">Source: ECB euro foreign exchange reference rates (data-api.ecb.europa.eu, series EXR.D.&lt;CCY&gt;.EUR.SP00.A), crossed through EUR (USD per CCY = USD/EUR ÷ CCY/EUR). Averages = simple mean of all ECB daily fixings in the calendar year. Spot = ECB fixing on the date (or the last fixing before it).</t>
  </si>
  <si>
    <t xml:space="preserve">Avg 2023</t>
  </si>
  <si>
    <t xml:space="preserve">Avg 2024</t>
  </si>
  <si>
    <t xml:space="preserve">Avg 2025</t>
  </si>
  <si>
    <t xml:space="preserve">Spot 30-Jun-26 (balance sheet date)</t>
  </si>
  <si>
    <t xml:space="preserve">Spot 21-Sep-26 (pricing date)</t>
  </si>
  <si>
    <t xml:space="preserve">Spot 16-Jan-26 (QGEN pricing date)</t>
  </si>
  <si>
    <t xml:space="preserve">Spot 9-Apr-26 (ITRK pricing date)</t>
  </si>
  <si>
    <t xml:space="preserve">FactSet vs Hand spread – key lines (FactSet = frozen cached values from the original backup; Hand = live link to Spreads)</t>
  </si>
  <si>
    <t xml:space="preserve">Company</t>
  </si>
  <si>
    <t xml:space="preserve">Row</t>
  </si>
  <si>
    <t xml:space="preserve">Item</t>
  </si>
  <si>
    <t xml:space="preserve">FactSet</t>
  </si>
  <si>
    <t xml:space="preserve">Hand spread</t>
  </si>
  <si>
    <t xml:space="preserve">Difference</t>
  </si>
  <si>
    <t xml:space="preserve">Diff %</t>
  </si>
  <si>
    <t xml:space="preserve">Cash &amp; equivalents (local)</t>
  </si>
  <si>
    <t xml:space="preserve">ST investments (local)</t>
  </si>
  <si>
    <t xml:space="preserve">LT investments (local)</t>
  </si>
  <si>
    <t xml:space="preserve">Associates / JVs (local)</t>
  </si>
  <si>
    <t xml:space="preserve">ST debt (local)</t>
  </si>
  <si>
    <t xml:space="preserve">LT debt (local)</t>
  </si>
  <si>
    <t xml:space="preserve">Other debt / leases (local)</t>
  </si>
  <si>
    <t xml:space="preserve">IFRS 16 lease liabilities (local)</t>
  </si>
  <si>
    <t xml:space="preserve">Net pension deficit (local)</t>
  </si>
  <si>
    <t xml:space="preserve">Minority interest (local)</t>
  </si>
  <si>
    <t xml:space="preserve">Preferred (local)</t>
  </si>
  <si>
    <t xml:space="preserve">Equity (local)</t>
  </si>
  <si>
    <t xml:space="preserve">Basic shares (m)</t>
  </si>
  <si>
    <t xml:space="preserve">FDSO (m)</t>
  </si>
  <si>
    <t xml:space="preserve">Total cash (USD)</t>
  </si>
  <si>
    <t xml:space="preserve">Total debt (USD)</t>
  </si>
  <si>
    <t xml:space="preserve">Enterprise value (USD)</t>
  </si>
  <si>
    <t xml:space="preserve">Revenue 2025 (USD)</t>
  </si>
  <si>
    <t xml:space="preserve">EBIT 2025 (USD)</t>
  </si>
  <si>
    <t xml:space="preserve">EBITDA 2025 (USD)</t>
  </si>
  <si>
    <t xml:space="preserve">EBITDA 2025 pre-IFRS 16 (USD)</t>
  </si>
  <si>
    <t xml:space="preserve">Net income 2025 (USD)</t>
  </si>
  <si>
    <t xml:space="preserve">EPS 2025 (USD)</t>
  </si>
  <si>
    <t xml:space="preserve">CapEx 2025 (USD)</t>
  </si>
  <si>
    <t xml:space="preserve">LTM ROU depreciation (local)</t>
  </si>
  <si>
    <t xml:space="preserve">LTM lease interest (local)</t>
  </si>
</sst>
</file>

<file path=xl/styles.xml><?xml version="1.0" encoding="utf-8"?>
<styleSheet xmlns="http://schemas.openxmlformats.org/spreadsheetml/2006/main">
  <numFmts count="20">
    <numFmt numFmtId="164" formatCode="General"/>
    <numFmt numFmtId="165" formatCode="mm/dd/yyyy"/>
    <numFmt numFmtId="166" formatCode="m/d/yy"/>
    <numFmt numFmtId="167" formatCode="#,##0_);\(#,##0\);\-_);@_)"/>
    <numFmt numFmtId="168" formatCode="#,##0.00_);\(#,##0.00\);#,##0.00_);@_)"/>
    <numFmt numFmtId="169" formatCode="#,##0_);\(#,##0\);#,##0_);@_)"/>
    <numFmt numFmtId="170" formatCode="0.0%_);\(0.0%\);0.0%_);@_)"/>
    <numFmt numFmtId="171" formatCode="\$#,##0_);&quot;($&quot;#,##0\);\$#,##0_);@_)"/>
    <numFmt numFmtId="172" formatCode="0%_);\(0%\);0%_);@_)"/>
    <numFmt numFmtId="173" formatCode="&quot;YES&quot;_);\(#,##0.0\);&quot;NO&quot;_);@_)"/>
    <numFmt numFmtId="174" formatCode="#,##0.00_);\(#,##0.00\);\-_);@_)"/>
    <numFmt numFmtId="175" formatCode="yyyy"/>
    <numFmt numFmtId="176" formatCode="#,##0.00\x_);\(#,##0.00&quot;x)&quot;;#,##0.00\x_);@_)"/>
    <numFmt numFmtId="177" formatCode="#,##0.0%_);\(#,##0.0%\)"/>
    <numFmt numFmtId="178" formatCode="#,##0_);\(#,##0\)"/>
    <numFmt numFmtId="179" formatCode="#,##0.00_);\(#,##0.00\)"/>
    <numFmt numFmtId="180" formatCode="#,##0.0;\(#,##0.0\);\-"/>
    <numFmt numFmtId="181" formatCode="0.000000"/>
    <numFmt numFmtId="182" formatCode="#,##0.0;\(#,##0.0\);\-"/>
    <numFmt numFmtId="183" formatCode="0.0%;\(0.0%\);\-"/>
  </numFmts>
  <fonts count="51">
    <font>
      <sz val="11"/>
      <color theme="1"/>
      <name val="Aptos"/>
      <family val="2"/>
      <charset val="1"/>
    </font>
    <font>
      <sz val="10"/>
      <name val="Arial"/>
      <family val="0"/>
    </font>
    <font>
      <sz val="10"/>
      <name val="Arial"/>
      <family val="0"/>
    </font>
    <font>
      <sz val="10"/>
      <name val="Arial"/>
      <family val="0"/>
    </font>
    <font>
      <sz val="8"/>
      <color theme="1"/>
      <name val="Aptos"/>
      <family val="2"/>
      <charset val="1"/>
    </font>
    <font>
      <sz val="10"/>
      <name val="Times New Roman"/>
      <family val="1"/>
      <charset val="1"/>
    </font>
    <font>
      <sz val="10"/>
      <name val="Arial"/>
      <family val="2"/>
      <charset val="1"/>
    </font>
    <font>
      <sz val="10"/>
      <color theme="1"/>
      <name val="Aptos"/>
      <family val="2"/>
      <charset val="1"/>
    </font>
    <font>
      <sz val="8"/>
      <color theme="4"/>
      <name val="Aptos"/>
      <family val="2"/>
      <charset val="1"/>
    </font>
    <font>
      <b val="true"/>
      <i val="true"/>
      <sz val="10"/>
      <name val="Aptos"/>
      <family val="2"/>
      <charset val="1"/>
    </font>
    <font>
      <b val="true"/>
      <sz val="8"/>
      <color theme="0"/>
      <name val="Aptos"/>
      <family val="2"/>
      <charset val="1"/>
    </font>
    <font>
      <sz val="8"/>
      <color rgb="FF008000"/>
      <name val="Aptos"/>
      <family val="2"/>
      <charset val="1"/>
    </font>
    <font>
      <sz val="8"/>
      <color rgb="FF000000"/>
      <name val="Aptos"/>
      <family val="2"/>
      <charset val="1"/>
    </font>
    <font>
      <b val="true"/>
      <sz val="8"/>
      <color rgb="FF0000FF"/>
      <name val="Aptos"/>
      <family val="2"/>
      <charset val="1"/>
    </font>
    <font>
      <sz val="8"/>
      <color rgb="FF0000FF"/>
      <name val="Aptos"/>
      <family val="2"/>
      <charset val="1"/>
    </font>
    <font>
      <sz val="11"/>
      <color rgb="FF0000FF"/>
      <name val="Aptos"/>
      <family val="0"/>
      <charset val="1"/>
    </font>
    <font>
      <b val="true"/>
      <i val="true"/>
      <sz val="18"/>
      <color rgb="FFFF00FF"/>
      <name val="Aptos"/>
      <family val="2"/>
      <charset val="1"/>
    </font>
    <font>
      <b val="true"/>
      <sz val="8"/>
      <color theme="0"/>
      <name val="EB Garamond"/>
      <family val="1"/>
      <charset val="1"/>
    </font>
    <font>
      <sz val="8"/>
      <name val="Aptos"/>
      <family val="2"/>
      <charset val="1"/>
    </font>
    <font>
      <b val="true"/>
      <sz val="8"/>
      <color theme="1"/>
      <name val="Aptos"/>
      <family val="2"/>
      <charset val="1"/>
    </font>
    <font>
      <sz val="10"/>
      <color rgb="FF0000FF"/>
      <name val="Aptos"/>
      <family val="2"/>
      <charset val="1"/>
    </font>
    <font>
      <sz val="8"/>
      <color rgb="FF0000FF"/>
      <name val="Aptos"/>
      <family val="0"/>
      <charset val="1"/>
    </font>
    <font>
      <sz val="8"/>
      <color rgb="FF0000FF"/>
      <name val="WenQuanYi Zen Hei"/>
      <family val="2"/>
    </font>
    <font>
      <sz val="8"/>
      <color rgb="FFFF0000"/>
      <name val="Aptos"/>
      <family val="2"/>
      <charset val="1"/>
    </font>
    <font>
      <b val="true"/>
      <sz val="8"/>
      <color rgb="FFFF0000"/>
      <name val="Aptos"/>
      <family val="2"/>
      <charset val="1"/>
    </font>
    <font>
      <i val="true"/>
      <sz val="8"/>
      <name val="Aptos"/>
      <family val="2"/>
      <charset val="1"/>
    </font>
    <font>
      <i val="true"/>
      <sz val="8"/>
      <color theme="1"/>
      <name val="Aptos"/>
      <family val="2"/>
      <charset val="1"/>
    </font>
    <font>
      <i val="true"/>
      <sz val="8"/>
      <color rgb="FFFF0000"/>
      <name val="Aptos"/>
      <family val="2"/>
      <charset val="1"/>
    </font>
    <font>
      <sz val="8"/>
      <color rgb="FFFFFFFF"/>
      <name val="Aptos"/>
      <family val="2"/>
      <charset val="1"/>
    </font>
    <font>
      <i val="true"/>
      <u val="single"/>
      <sz val="8"/>
      <color theme="1"/>
      <name val="Aptos"/>
      <family val="2"/>
      <charset val="1"/>
    </font>
    <font>
      <sz val="8"/>
      <color rgb="FF000000"/>
      <name val="Aptos"/>
      <family val="0"/>
      <charset val="1"/>
    </font>
    <font>
      <b val="true"/>
      <sz val="8"/>
      <name val="Aptos"/>
      <family val="2"/>
      <charset val="1"/>
    </font>
    <font>
      <b val="true"/>
      <sz val="8"/>
      <color rgb="FF000000"/>
      <name val="Aptos"/>
      <family val="2"/>
      <charset val="1"/>
    </font>
    <font>
      <sz val="10"/>
      <color rgb="FF7030A0"/>
      <name val="Aptos"/>
      <family val="2"/>
      <charset val="1"/>
    </font>
    <font>
      <sz val="8"/>
      <color rgb="FF008000"/>
      <name val="Aptos"/>
      <family val="0"/>
      <charset val="1"/>
    </font>
    <font>
      <b val="true"/>
      <sz val="8"/>
      <color rgb="FF0000FF"/>
      <name val="Aptos"/>
      <family val="0"/>
      <charset val="1"/>
    </font>
    <font>
      <b val="true"/>
      <sz val="8"/>
      <color rgb="FFFFFFFF"/>
      <name val="Aptos"/>
      <family val="2"/>
      <charset val="1"/>
    </font>
    <font>
      <b val="true"/>
      <sz val="10"/>
      <color theme="1"/>
      <name val="Aptos"/>
      <family val="2"/>
      <charset val="1"/>
    </font>
    <font>
      <b val="true"/>
      <u val="single"/>
      <sz val="8"/>
      <color theme="1"/>
      <name val="Aptos"/>
      <family val="2"/>
      <charset val="1"/>
    </font>
    <font>
      <u val="single"/>
      <sz val="8"/>
      <color theme="1"/>
      <name val="Aptos"/>
      <family val="2"/>
      <charset val="1"/>
    </font>
    <font>
      <sz val="8"/>
      <color rgb="FFFF0000"/>
      <name val="Arial"/>
      <family val="2"/>
      <charset val="1"/>
    </font>
    <font>
      <sz val="8"/>
      <color rgb="FF008000"/>
      <name val="Arial"/>
      <family val="2"/>
      <charset val="1"/>
    </font>
    <font>
      <sz val="8"/>
      <color rgb="FF0000FF"/>
      <name val="Arial"/>
      <family val="0"/>
      <charset val="1"/>
    </font>
    <font>
      <sz val="8"/>
      <color rgb="FF000000"/>
      <name val="Arial"/>
      <family val="0"/>
      <charset val="1"/>
    </font>
    <font>
      <sz val="10"/>
      <name val="Arial"/>
      <family val="2"/>
    </font>
    <font>
      <sz val="10"/>
      <name val="WenQuanYi Zen Hei"/>
      <family val="2"/>
    </font>
    <font>
      <b val="true"/>
      <sz val="12"/>
      <name val="Aptos"/>
      <family val="0"/>
      <charset val="1"/>
    </font>
    <font>
      <sz val="11"/>
      <name val="Aptos"/>
      <family val="0"/>
      <charset val="1"/>
    </font>
    <font>
      <sz val="11"/>
      <name val="WenQuanYi Zen Hei"/>
      <family val="2"/>
    </font>
    <font>
      <b val="true"/>
      <sz val="11"/>
      <name val="Aptos"/>
      <family val="0"/>
      <charset val="1"/>
    </font>
    <font>
      <sz val="11"/>
      <color rgb="FF008000"/>
      <name val="Aptos"/>
      <family val="0"/>
      <charset val="1"/>
    </font>
  </fonts>
  <fills count="12">
    <fill>
      <patternFill patternType="none"/>
    </fill>
    <fill>
      <patternFill patternType="gray125"/>
    </fill>
    <fill>
      <patternFill patternType="solid">
        <fgColor rgb="FFFFFFFF"/>
        <bgColor rgb="FFF2F2F2"/>
      </patternFill>
    </fill>
    <fill>
      <patternFill patternType="solid">
        <fgColor theme="3"/>
        <bgColor rgb="FF008080"/>
      </patternFill>
    </fill>
    <fill>
      <patternFill patternType="solid">
        <fgColor theme="0" tint="-0.05"/>
        <bgColor rgb="FFF5ECDC"/>
      </patternFill>
    </fill>
    <fill>
      <patternFill patternType="solid">
        <fgColor theme="8" tint="0.7999"/>
        <bgColor rgb="FFF2F2F2"/>
      </patternFill>
    </fill>
    <fill>
      <patternFill patternType="solid">
        <fgColor rgb="FFFFFF00"/>
        <bgColor rgb="FFFFFF00"/>
      </patternFill>
    </fill>
    <fill>
      <patternFill patternType="solid">
        <fgColor rgb="FF00B050"/>
        <bgColor rgb="FF008080"/>
      </patternFill>
    </fill>
    <fill>
      <patternFill patternType="solid">
        <fgColor theme="8"/>
        <bgColor rgb="FFFF8080"/>
      </patternFill>
    </fill>
    <fill>
      <patternFill patternType="solid">
        <fgColor theme="4"/>
        <bgColor rgb="FF008080"/>
      </patternFill>
    </fill>
    <fill>
      <patternFill patternType="solid">
        <fgColor rgb="FFF9C7EF"/>
        <bgColor rgb="FFFFCC99"/>
      </patternFill>
    </fill>
    <fill>
      <patternFill patternType="solid">
        <fgColor theme="9"/>
        <bgColor rgb="FF808080"/>
      </patternFill>
    </fill>
  </fills>
  <borders count="11">
    <border diagonalUp="false" diagonalDown="false">
      <left/>
      <right/>
      <top/>
      <bottom/>
      <diagonal/>
    </border>
    <border diagonalUp="false" diagonalDown="false">
      <left/>
      <right/>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dashed"/>
      <right style="dashed"/>
      <top style="dashed"/>
      <bottom style="dashed"/>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style="hair"/>
      <right style="hair"/>
      <top style="hair"/>
      <bottom style="hair"/>
      <diagonal/>
    </border>
    <border diagonalUp="false" diagonalDown="false">
      <left style="dashed"/>
      <right style="dashed"/>
      <top/>
      <bottom style="dashed"/>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cellStyleXfs>
  <cellXfs count="1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20" applyFont="true" applyBorder="false" applyAlignment="false" applyProtection="false">
      <alignment horizontal="general" vertical="bottom" textRotation="0" wrapText="false" indent="0" shrinkToFit="false"/>
      <protection locked="true" hidden="false"/>
    </xf>
    <xf numFmtId="164" fontId="4" fillId="0" borderId="0" xfId="20" applyFont="true" applyBorder="false" applyAlignment="true" applyProtection="false">
      <alignment horizontal="general" vertical="center" textRotation="0" wrapText="false" indent="0" shrinkToFit="false"/>
      <protection locked="true" hidden="false"/>
    </xf>
    <xf numFmtId="164" fontId="4" fillId="0" borderId="0" xfId="20" applyFont="true" applyBorder="false" applyAlignment="true" applyProtection="false">
      <alignment horizontal="center" vertical="center" textRotation="0" wrapText="false" indent="0" shrinkToFit="false"/>
      <protection locked="true" hidden="false"/>
    </xf>
    <xf numFmtId="164" fontId="4" fillId="0" borderId="0" xfId="20" applyFont="true" applyBorder="false" applyAlignment="false" applyProtection="false">
      <alignment horizontal="general" vertical="bottom" textRotation="0" wrapText="false" indent="0" shrinkToFit="false"/>
      <protection locked="true" hidden="false"/>
    </xf>
    <xf numFmtId="164" fontId="7" fillId="0" borderId="0" xfId="20" applyFont="true" applyBorder="false" applyAlignment="false" applyProtection="false">
      <alignment horizontal="general" vertical="bottom" textRotation="0" wrapText="false" indent="0" shrinkToFit="false"/>
      <protection locked="true" hidden="false"/>
    </xf>
    <xf numFmtId="164" fontId="8" fillId="2" borderId="1" xfId="20" applyFont="true" applyBorder="true" applyAlignment="true" applyProtection="false">
      <alignment horizontal="general" vertical="center" textRotation="0" wrapText="false" indent="0" shrinkToFit="false"/>
      <protection locked="true" hidden="false"/>
    </xf>
    <xf numFmtId="164" fontId="9" fillId="2" borderId="1" xfId="20" applyFont="true" applyBorder="true" applyAlignment="true" applyProtection="false">
      <alignment horizontal="general" vertical="center" textRotation="0" wrapText="false" indent="0" shrinkToFit="false"/>
      <protection locked="true" hidden="false"/>
    </xf>
    <xf numFmtId="164" fontId="4" fillId="0" borderId="1" xfId="20" applyFont="true" applyBorder="true" applyAlignment="true" applyProtection="false">
      <alignment horizontal="general" vertical="center" textRotation="0" wrapText="false" indent="0" shrinkToFit="false"/>
      <protection locked="true" hidden="false"/>
    </xf>
    <xf numFmtId="164" fontId="4" fillId="0" borderId="1" xfId="20" applyFont="true" applyBorder="true" applyAlignment="false" applyProtection="false">
      <alignment horizontal="general" vertical="bottom" textRotation="0" wrapText="false" indent="0" shrinkToFit="false"/>
      <protection locked="true" hidden="false"/>
    </xf>
    <xf numFmtId="164" fontId="4" fillId="0" borderId="1" xfId="20" applyFont="true" applyBorder="true" applyAlignment="true" applyProtection="false">
      <alignment horizontal="center" vertical="center" textRotation="0" wrapText="false" indent="0" shrinkToFit="false"/>
      <protection locked="true" hidden="false"/>
    </xf>
    <xf numFmtId="164" fontId="7" fillId="0" borderId="1" xfId="20" applyFont="true" applyBorder="true" applyAlignment="false" applyProtection="false">
      <alignment horizontal="general" vertical="bottom" textRotation="0" wrapText="false" indent="0" shrinkToFit="false"/>
      <protection locked="true" hidden="false"/>
    </xf>
    <xf numFmtId="164" fontId="8" fillId="2" borderId="0" xfId="20" applyFont="true" applyBorder="false" applyAlignment="true" applyProtection="false">
      <alignment horizontal="general" vertical="center" textRotation="0" wrapText="false" indent="0" shrinkToFit="false"/>
      <protection locked="true" hidden="false"/>
    </xf>
    <xf numFmtId="164" fontId="9" fillId="2" borderId="0" xfId="20" applyFont="true" applyBorder="false" applyAlignment="true" applyProtection="false">
      <alignment horizontal="general" vertical="center" textRotation="0" wrapText="false" indent="0" shrinkToFit="false"/>
      <protection locked="true" hidden="false"/>
    </xf>
    <xf numFmtId="164" fontId="10" fillId="3" borderId="2" xfId="20" applyFont="true" applyBorder="true" applyAlignment="true" applyProtection="false">
      <alignment horizontal="center" vertical="center" textRotation="0" wrapText="false" indent="0" shrinkToFit="false"/>
      <protection locked="true" hidden="false"/>
    </xf>
    <xf numFmtId="165" fontId="11" fillId="4" borderId="3" xfId="20" applyFont="true" applyBorder="true" applyAlignment="true" applyProtection="false">
      <alignment horizontal="center" vertical="center" textRotation="0" wrapText="false" indent="0" shrinkToFit="false"/>
      <protection locked="true" hidden="false"/>
    </xf>
    <xf numFmtId="166" fontId="12" fillId="5" borderId="4" xfId="20" applyFont="true" applyBorder="true" applyAlignment="true" applyProtection="false">
      <alignment horizontal="center" vertical="center" textRotation="0" wrapText="false" indent="0" shrinkToFit="false"/>
      <protection locked="true" hidden="false"/>
    </xf>
    <xf numFmtId="166" fontId="13" fillId="6" borderId="4" xfId="20" applyFont="true" applyBorder="true" applyAlignment="true" applyProtection="false">
      <alignment horizontal="center" vertical="center" textRotation="0" wrapText="false" indent="0" shrinkToFit="false"/>
      <protection locked="true" hidden="false"/>
    </xf>
    <xf numFmtId="164" fontId="10" fillId="3" borderId="5" xfId="20" applyFont="true" applyBorder="true" applyAlignment="true" applyProtection="false">
      <alignment horizontal="center" vertical="center" textRotation="0" wrapText="false" indent="0" shrinkToFit="false"/>
      <protection locked="true" hidden="false"/>
    </xf>
    <xf numFmtId="166" fontId="14" fillId="4" borderId="6" xfId="20" applyFont="true" applyBorder="true" applyAlignment="true" applyProtection="false">
      <alignment horizontal="center" vertical="center" textRotation="0" wrapText="false" indent="0" shrinkToFit="false"/>
      <protection locked="true" hidden="false"/>
    </xf>
    <xf numFmtId="164" fontId="10" fillId="3" borderId="7" xfId="20" applyFont="true" applyBorder="true" applyAlignment="true" applyProtection="false">
      <alignment horizontal="center" vertical="center" textRotation="0" wrapText="false" indent="0" shrinkToFit="false"/>
      <protection locked="true" hidden="false"/>
    </xf>
    <xf numFmtId="166" fontId="14" fillId="4" borderId="8" xfId="20" applyFont="true" applyBorder="true" applyAlignment="true" applyProtection="false">
      <alignment horizontal="center" vertical="center" textRotation="0" wrapText="false" indent="0" shrinkToFit="false"/>
      <protection locked="true" hidden="false"/>
    </xf>
    <xf numFmtId="164" fontId="15" fillId="6" borderId="0" xfId="20" applyFont="true" applyBorder="false" applyAlignment="false" applyProtection="false">
      <alignment horizontal="general" vertical="bottom" textRotation="0" wrapText="false" indent="0" shrinkToFit="false"/>
      <protection locked="true" hidden="false"/>
    </xf>
    <xf numFmtId="164" fontId="16" fillId="2" borderId="0" xfId="20" applyFont="true" applyBorder="false" applyAlignment="true" applyProtection="false">
      <alignment horizontal="general" vertical="center" textRotation="0" wrapText="false" indent="0" shrinkToFit="false"/>
      <protection locked="true" hidden="false"/>
    </xf>
    <xf numFmtId="167" fontId="13" fillId="5" borderId="4" xfId="20" applyFont="true" applyBorder="true" applyAlignment="true" applyProtection="false">
      <alignment horizontal="center" vertical="center" textRotation="0" wrapText="false" indent="0" shrinkToFit="false"/>
      <protection locked="true" hidden="false"/>
    </xf>
    <xf numFmtId="167" fontId="13" fillId="7" borderId="4" xfId="20" applyFont="true" applyBorder="true" applyAlignment="true" applyProtection="false">
      <alignment horizontal="center" vertical="center" textRotation="0" wrapText="false" indent="0" shrinkToFit="false"/>
      <protection locked="true" hidden="false"/>
    </xf>
    <xf numFmtId="167" fontId="13" fillId="6" borderId="4" xfId="20" applyFont="true" applyBorder="true" applyAlignment="true" applyProtection="false">
      <alignment horizontal="center" vertical="center" textRotation="0" wrapText="false" indent="0" shrinkToFit="false"/>
      <protection locked="true" hidden="false"/>
    </xf>
    <xf numFmtId="167" fontId="13" fillId="8" borderId="4" xfId="20" applyFont="true" applyBorder="true" applyAlignment="true" applyProtection="false">
      <alignment horizontal="center" vertical="center" textRotation="0" wrapText="false" indent="0" shrinkToFit="false"/>
      <protection locked="true" hidden="false"/>
    </xf>
    <xf numFmtId="164" fontId="8" fillId="2" borderId="0" xfId="20" applyFont="true" applyBorder="false" applyAlignment="false" applyProtection="false">
      <alignment horizontal="general" vertical="bottom" textRotation="0" wrapText="false" indent="0" shrinkToFit="false"/>
      <protection locked="true" hidden="false"/>
    </xf>
    <xf numFmtId="164" fontId="17" fillId="9" borderId="0" xfId="20" applyFont="true" applyBorder="false" applyAlignment="true" applyProtection="false">
      <alignment horizontal="left" vertical="center" textRotation="0" wrapText="false" indent="0" shrinkToFit="false"/>
      <protection locked="true" hidden="false"/>
    </xf>
    <xf numFmtId="164" fontId="10" fillId="9" borderId="0" xfId="20" applyFont="true" applyBorder="false" applyAlignment="true" applyProtection="false">
      <alignment horizontal="left" vertical="center" textRotation="0" wrapText="false" indent="0" shrinkToFit="false"/>
      <protection locked="true" hidden="false"/>
    </xf>
    <xf numFmtId="164" fontId="18" fillId="2" borderId="0" xfId="20" applyFont="true" applyBorder="false" applyAlignment="false" applyProtection="false">
      <alignment horizontal="general" vertical="bottom" textRotation="0" wrapText="false" indent="0" shrinkToFit="false"/>
      <protection locked="true" hidden="false"/>
    </xf>
    <xf numFmtId="164" fontId="19" fillId="0" borderId="0" xfId="20" applyFont="true" applyBorder="false" applyAlignment="true" applyProtection="false">
      <alignment horizontal="center" vertical="center" textRotation="0" wrapText="false" indent="0" shrinkToFit="false"/>
      <protection locked="true" hidden="false"/>
    </xf>
    <xf numFmtId="164" fontId="20" fillId="4" borderId="9" xfId="0" applyFont="true" applyBorder="true" applyAlignment="true" applyProtection="false">
      <alignment horizontal="center" vertical="center" textRotation="0" wrapText="false" indent="0" shrinkToFit="false"/>
      <protection locked="true" hidden="false"/>
    </xf>
    <xf numFmtId="164" fontId="19" fillId="0" borderId="0" xfId="20" applyFont="true" applyBorder="false" applyAlignment="false" applyProtection="false">
      <alignment horizontal="general" vertical="bottom" textRotation="0" wrapText="false" indent="0" shrinkToFit="false"/>
      <protection locked="true" hidden="false"/>
    </xf>
    <xf numFmtId="167" fontId="14" fillId="5" borderId="4" xfId="20" applyFont="true" applyBorder="true" applyAlignment="true" applyProtection="false">
      <alignment horizontal="center" vertical="center" textRotation="0" wrapText="false" indent="0" shrinkToFit="false"/>
      <protection locked="true" hidden="false"/>
    </xf>
    <xf numFmtId="167" fontId="21" fillId="5" borderId="4" xfId="20" applyFont="true" applyBorder="true" applyAlignment="true" applyProtection="false">
      <alignment horizontal="center" vertical="center" textRotation="0" wrapText="false" indent="0" shrinkToFit="false"/>
      <protection locked="true" hidden="false"/>
    </xf>
    <xf numFmtId="164" fontId="14" fillId="0" borderId="0" xfId="20" applyFont="true" applyBorder="false" applyAlignment="true" applyProtection="false">
      <alignment horizontal="center" vertical="center" textRotation="0" wrapText="false" indent="0" shrinkToFit="false"/>
      <protection locked="true" hidden="false"/>
    </xf>
    <xf numFmtId="164" fontId="23" fillId="0" borderId="0" xfId="20" applyFont="true" applyBorder="false" applyAlignment="true" applyProtection="true">
      <alignment horizontal="center" vertical="center" textRotation="0" wrapText="false" indent="0" shrinkToFit="false"/>
      <protection locked="false" hidden="false"/>
    </xf>
    <xf numFmtId="164" fontId="23" fillId="0" borderId="0" xfId="20" applyFont="true" applyBorder="false" applyAlignment="true" applyProtection="false">
      <alignment horizontal="center" vertical="center" textRotation="0" wrapText="false" indent="0" shrinkToFit="false"/>
      <protection locked="true" hidden="false"/>
    </xf>
    <xf numFmtId="164" fontId="19" fillId="0" borderId="0" xfId="20" applyFont="true" applyBorder="false" applyAlignment="true" applyProtection="false">
      <alignment horizontal="left" vertical="center" textRotation="0" wrapText="false" indent="1" shrinkToFit="false"/>
      <protection locked="true" hidden="false"/>
    </xf>
    <xf numFmtId="168" fontId="24" fillId="0" borderId="0" xfId="20" applyFont="true" applyBorder="false" applyAlignment="true" applyProtection="false">
      <alignment horizontal="center" vertical="center" textRotation="0" wrapText="false" indent="0" shrinkToFit="false"/>
      <protection locked="true" hidden="false"/>
    </xf>
    <xf numFmtId="164" fontId="4" fillId="0" borderId="0" xfId="20" applyFont="true" applyBorder="false" applyAlignment="true" applyProtection="false">
      <alignment horizontal="left" vertical="center" textRotation="0" wrapText="false" indent="1" shrinkToFit="false"/>
      <protection locked="true" hidden="false"/>
    </xf>
    <xf numFmtId="169" fontId="18" fillId="0" borderId="0" xfId="20" applyFont="true" applyBorder="false" applyAlignment="true" applyProtection="false">
      <alignment horizontal="center" vertical="center" textRotation="0" wrapText="false" indent="0" shrinkToFit="false"/>
      <protection locked="true" hidden="false"/>
    </xf>
    <xf numFmtId="164" fontId="19" fillId="4" borderId="0" xfId="20" applyFont="true" applyBorder="false" applyAlignment="true" applyProtection="false">
      <alignment horizontal="general" vertical="center" textRotation="0" wrapText="false" indent="0" shrinkToFit="false"/>
      <protection locked="true" hidden="false"/>
    </xf>
    <xf numFmtId="164" fontId="4" fillId="4" borderId="0" xfId="20" applyFont="true" applyBorder="false" applyAlignment="true" applyProtection="false">
      <alignment horizontal="center" vertical="center" textRotation="0" wrapText="false" indent="0" shrinkToFit="false"/>
      <protection locked="true" hidden="false"/>
    </xf>
    <xf numFmtId="164" fontId="4" fillId="4" borderId="0" xfId="20" applyFont="true" applyBorder="false" applyAlignment="false" applyProtection="false">
      <alignment horizontal="general" vertical="bottom" textRotation="0" wrapText="false" indent="0" shrinkToFit="false"/>
      <protection locked="true" hidden="false"/>
    </xf>
    <xf numFmtId="169" fontId="19" fillId="4" borderId="1" xfId="20" applyFont="true" applyBorder="true" applyAlignment="true" applyProtection="false">
      <alignment horizontal="center" vertical="center" textRotation="0" wrapText="false" indent="0" shrinkToFit="false"/>
      <protection locked="true" hidden="false"/>
    </xf>
    <xf numFmtId="169" fontId="4" fillId="0" borderId="0" xfId="20" applyFont="true" applyBorder="false" applyAlignment="true" applyProtection="false">
      <alignment horizontal="center" vertical="center" textRotation="0" wrapText="false" indent="0" shrinkToFit="false"/>
      <protection locked="true" hidden="false"/>
    </xf>
    <xf numFmtId="164" fontId="25" fillId="2" borderId="0" xfId="20" applyFont="true" applyBorder="false" applyAlignment="false" applyProtection="false">
      <alignment horizontal="general" vertical="bottom" textRotation="0" wrapText="false" indent="0" shrinkToFit="false"/>
      <protection locked="true" hidden="false"/>
    </xf>
    <xf numFmtId="164" fontId="26" fillId="0" borderId="0" xfId="20" applyFont="true" applyBorder="false" applyAlignment="true" applyProtection="false">
      <alignment horizontal="left" vertical="center" textRotation="0" wrapText="false" indent="1" shrinkToFit="false"/>
      <protection locked="true" hidden="false"/>
    </xf>
    <xf numFmtId="169" fontId="27" fillId="0" borderId="0" xfId="20" applyFont="true" applyBorder="false" applyAlignment="true" applyProtection="false">
      <alignment horizontal="center" vertical="center" textRotation="0" wrapText="false" indent="0" shrinkToFit="false"/>
      <protection locked="true" hidden="false"/>
    </xf>
    <xf numFmtId="164" fontId="8" fillId="0" borderId="0" xfId="20" applyFont="true" applyBorder="false" applyAlignment="false" applyProtection="false">
      <alignment horizontal="general" vertical="bottom" textRotation="0" wrapText="false" indent="0" shrinkToFit="false"/>
      <protection locked="true" hidden="false"/>
    </xf>
    <xf numFmtId="164" fontId="10" fillId="0" borderId="0" xfId="20" applyFont="true" applyBorder="false" applyAlignment="true" applyProtection="false">
      <alignment horizontal="left" vertical="center" textRotation="0" wrapText="false" indent="0" shrinkToFit="false"/>
      <protection locked="true" hidden="false"/>
    </xf>
    <xf numFmtId="164" fontId="19" fillId="4" borderId="0" xfId="20" applyFont="true" applyBorder="false" applyAlignment="true" applyProtection="false">
      <alignment horizontal="center" vertical="center" textRotation="0" wrapText="false" indent="0" shrinkToFit="false"/>
      <protection locked="true" hidden="false"/>
    </xf>
    <xf numFmtId="164" fontId="19" fillId="4" borderId="0" xfId="20" applyFont="true" applyBorder="false" applyAlignment="false" applyProtection="false">
      <alignment horizontal="general" vertical="bottom" textRotation="0" wrapText="false" indent="0" shrinkToFit="false"/>
      <protection locked="true" hidden="false"/>
    </xf>
    <xf numFmtId="168" fontId="24" fillId="4" borderId="0" xfId="20" applyFont="true" applyBorder="false" applyAlignment="true" applyProtection="false">
      <alignment horizontal="center" vertical="center" textRotation="0" wrapText="false" indent="0" shrinkToFit="false"/>
      <protection locked="true" hidden="false"/>
    </xf>
    <xf numFmtId="164" fontId="26" fillId="0" borderId="0" xfId="20" applyFont="true" applyBorder="false" applyAlignment="true" applyProtection="false">
      <alignment horizontal="center" vertical="center" textRotation="0" wrapText="false" indent="0" shrinkToFit="false"/>
      <protection locked="true" hidden="false"/>
    </xf>
    <xf numFmtId="164" fontId="26" fillId="0" borderId="0" xfId="20" applyFont="true" applyBorder="false" applyAlignment="false" applyProtection="false">
      <alignment horizontal="general" vertical="bottom" textRotation="0" wrapText="false" indent="0" shrinkToFit="false"/>
      <protection locked="true" hidden="false"/>
    </xf>
    <xf numFmtId="170" fontId="26" fillId="0" borderId="0" xfId="20" applyFont="true" applyBorder="false" applyAlignment="true" applyProtection="false">
      <alignment horizontal="center" vertical="center" textRotation="0" wrapText="false" indent="0" shrinkToFit="false"/>
      <protection locked="true" hidden="false"/>
    </xf>
    <xf numFmtId="168" fontId="23" fillId="0" borderId="0" xfId="20" applyFont="true" applyBorder="false" applyAlignment="true" applyProtection="false">
      <alignment horizontal="center" vertical="center" textRotation="0" wrapText="false" indent="0" shrinkToFit="false"/>
      <protection locked="true" hidden="false"/>
    </xf>
    <xf numFmtId="168" fontId="27" fillId="0" borderId="0" xfId="20" applyFont="true" applyBorder="false" applyAlignment="true" applyProtection="false">
      <alignment horizontal="center" vertical="center" textRotation="0" wrapText="false" indent="0" shrinkToFit="false"/>
      <protection locked="true" hidden="false"/>
    </xf>
    <xf numFmtId="164" fontId="28" fillId="2" borderId="0" xfId="20" applyFont="true" applyBorder="false" applyAlignment="false" applyProtection="false">
      <alignment horizontal="general" vertical="bottom" textRotation="0" wrapText="false" indent="0" shrinkToFit="false"/>
      <protection locked="true" hidden="false"/>
    </xf>
    <xf numFmtId="169" fontId="23" fillId="5" borderId="4" xfId="20" applyFont="true" applyBorder="true" applyAlignment="true" applyProtection="false">
      <alignment horizontal="center" vertical="center" textRotation="0" wrapText="false" indent="0" shrinkToFit="false"/>
      <protection locked="true" hidden="false"/>
    </xf>
    <xf numFmtId="169" fontId="21" fillId="5" borderId="4" xfId="20" applyFont="true" applyBorder="true" applyAlignment="true" applyProtection="false">
      <alignment horizontal="center" vertical="center" textRotation="0" wrapText="false" indent="0" shrinkToFit="false"/>
      <protection locked="true" hidden="false"/>
    </xf>
    <xf numFmtId="167" fontId="23" fillId="5" borderId="4" xfId="20" applyFont="true" applyBorder="true" applyAlignment="true" applyProtection="false">
      <alignment horizontal="center" vertical="center" textRotation="0" wrapText="false" indent="0" shrinkToFit="false"/>
      <protection locked="true" hidden="false"/>
    </xf>
    <xf numFmtId="169" fontId="19" fillId="4" borderId="0" xfId="20" applyFont="true" applyBorder="false" applyAlignment="true" applyProtection="false">
      <alignment horizontal="center" vertical="center" textRotation="0" wrapText="false" indent="0" shrinkToFit="false"/>
      <protection locked="true" hidden="false"/>
    </xf>
    <xf numFmtId="171" fontId="4" fillId="0" borderId="0" xfId="20" applyFont="true" applyBorder="false" applyAlignment="true" applyProtection="false">
      <alignment horizontal="center" vertical="center" textRotation="0" wrapText="false" indent="0" shrinkToFit="false"/>
      <protection locked="true" hidden="false"/>
    </xf>
    <xf numFmtId="164" fontId="29" fillId="0" borderId="0" xfId="20" applyFont="true" applyBorder="false" applyAlignment="true" applyProtection="false">
      <alignment horizontal="left" vertical="center" textRotation="0" wrapText="false" indent="1" shrinkToFit="false"/>
      <protection locked="true" hidden="false"/>
    </xf>
    <xf numFmtId="164" fontId="19" fillId="4" borderId="0" xfId="20" applyFont="true" applyBorder="false" applyAlignment="true" applyProtection="false">
      <alignment horizontal="left" vertical="center" textRotation="0" wrapText="false" indent="1" shrinkToFit="false"/>
      <protection locked="true" hidden="false"/>
    </xf>
    <xf numFmtId="167" fontId="12" fillId="0" borderId="0" xfId="20" applyFont="true" applyBorder="false" applyAlignment="true" applyProtection="false">
      <alignment horizontal="center" vertical="center" textRotation="0" wrapText="false" indent="0" shrinkToFit="false"/>
      <protection locked="true" hidden="false"/>
    </xf>
    <xf numFmtId="167" fontId="12" fillId="0" borderId="4" xfId="20" applyFont="true" applyBorder="true" applyAlignment="true" applyProtection="false">
      <alignment horizontal="center" vertical="center" textRotation="0" wrapText="false" indent="0" shrinkToFit="false"/>
      <protection locked="true" hidden="false"/>
    </xf>
    <xf numFmtId="167" fontId="21" fillId="0" borderId="4" xfId="20" applyFont="true" applyBorder="true" applyAlignment="true" applyProtection="false">
      <alignment horizontal="center" vertical="center" textRotation="0" wrapText="false" indent="0" shrinkToFit="false"/>
      <protection locked="true" hidden="false"/>
    </xf>
    <xf numFmtId="167" fontId="30" fillId="0" borderId="4" xfId="20" applyFont="true" applyBorder="true" applyAlignment="true" applyProtection="false">
      <alignment horizontal="center" vertical="center" textRotation="0" wrapText="false" indent="0" shrinkToFit="false"/>
      <protection locked="true" hidden="false"/>
    </xf>
    <xf numFmtId="172" fontId="11" fillId="5" borderId="10" xfId="20" applyFont="true" applyBorder="true" applyAlignment="true" applyProtection="false">
      <alignment horizontal="center" vertical="center" textRotation="0" wrapText="false" indent="0" shrinkToFit="false"/>
      <protection locked="true" hidden="false"/>
    </xf>
    <xf numFmtId="172" fontId="21" fillId="5" borderId="10" xfId="20" applyFont="true" applyBorder="true" applyAlignment="true" applyProtection="false">
      <alignment horizontal="center" vertical="center" textRotation="0" wrapText="false" indent="0" shrinkToFit="false"/>
      <protection locked="true" hidden="false"/>
    </xf>
    <xf numFmtId="164" fontId="31" fillId="2" borderId="0" xfId="20" applyFont="true" applyBorder="false" applyAlignment="false" applyProtection="false">
      <alignment horizontal="general" vertical="bottom" textRotation="0" wrapText="false" indent="0" shrinkToFit="false"/>
      <protection locked="true" hidden="false"/>
    </xf>
    <xf numFmtId="167" fontId="23" fillId="0" borderId="0" xfId="20" applyFont="true" applyBorder="false" applyAlignment="true" applyProtection="false">
      <alignment horizontal="center" vertical="center" textRotation="0" wrapText="false" indent="0" shrinkToFit="false"/>
      <protection locked="true" hidden="false"/>
    </xf>
    <xf numFmtId="167" fontId="21" fillId="0" borderId="0" xfId="20" applyFont="true" applyBorder="false" applyAlignment="true" applyProtection="false">
      <alignment horizontal="center" vertical="center" textRotation="0" wrapText="false" indent="0" shrinkToFit="false"/>
      <protection locked="true" hidden="false"/>
    </xf>
    <xf numFmtId="167" fontId="32" fillId="4" borderId="0" xfId="20" applyFont="true" applyBorder="false" applyAlignment="true" applyProtection="false">
      <alignment horizontal="center" vertical="center" textRotation="0" wrapText="false" indent="0" shrinkToFit="false"/>
      <protection locked="true" hidden="false"/>
    </xf>
    <xf numFmtId="168" fontId="14" fillId="5" borderId="4" xfId="20" applyFont="true" applyBorder="true" applyAlignment="true" applyProtection="false">
      <alignment horizontal="center" vertical="center" textRotation="0" wrapText="false" indent="0" shrinkToFit="false"/>
      <protection locked="true" hidden="false"/>
    </xf>
    <xf numFmtId="168" fontId="21" fillId="5" borderId="4" xfId="20" applyFont="true" applyBorder="true" applyAlignment="true" applyProtection="false">
      <alignment horizontal="center" vertical="center" textRotation="0" wrapText="false" indent="0" shrinkToFit="false"/>
      <protection locked="true" hidden="false"/>
    </xf>
    <xf numFmtId="168" fontId="12" fillId="0" borderId="0" xfId="20" applyFont="true" applyBorder="false" applyAlignment="true" applyProtection="false">
      <alignment horizontal="center" vertical="center" textRotation="0" wrapText="false" indent="0" shrinkToFit="false"/>
      <protection locked="true" hidden="false"/>
    </xf>
    <xf numFmtId="173" fontId="4" fillId="0" borderId="0" xfId="20" applyFont="true" applyBorder="false" applyAlignment="true" applyProtection="false">
      <alignment horizontal="center" vertical="center" textRotation="0" wrapText="false" indent="0" shrinkToFit="false"/>
      <protection locked="true" hidden="false"/>
    </xf>
    <xf numFmtId="168" fontId="4" fillId="0" borderId="0" xfId="20" applyFont="true" applyBorder="false" applyAlignment="true" applyProtection="false">
      <alignment horizontal="center" vertical="center" textRotation="0" wrapText="false" indent="0" shrinkToFit="false"/>
      <protection locked="true" hidden="false"/>
    </xf>
    <xf numFmtId="164" fontId="33" fillId="0" borderId="0" xfId="20" applyFont="true" applyBorder="false" applyAlignment="false" applyProtection="false">
      <alignment horizontal="general" vertical="bottom" textRotation="0" wrapText="false" indent="0" shrinkToFit="false"/>
      <protection locked="true" hidden="false"/>
    </xf>
    <xf numFmtId="167" fontId="18" fillId="0" borderId="0" xfId="20" applyFont="true" applyBorder="false" applyAlignment="true" applyProtection="false">
      <alignment horizontal="center" vertical="center" textRotation="0" wrapText="false" indent="0" shrinkToFit="false"/>
      <protection locked="true" hidden="false"/>
    </xf>
    <xf numFmtId="168" fontId="19" fillId="4" borderId="0" xfId="20" applyFont="true" applyBorder="false" applyAlignment="true" applyProtection="false">
      <alignment horizontal="center" vertical="center" textRotation="0" wrapText="false" indent="0" shrinkToFit="false"/>
      <protection locked="true" hidden="false"/>
    </xf>
    <xf numFmtId="174" fontId="4" fillId="0" borderId="0" xfId="20" applyFont="true" applyBorder="false" applyAlignment="true" applyProtection="false">
      <alignment horizontal="center" vertical="center" textRotation="0" wrapText="false" indent="0" shrinkToFit="false"/>
      <protection locked="true" hidden="false"/>
    </xf>
    <xf numFmtId="164" fontId="0" fillId="2" borderId="0" xfId="20" applyFont="true" applyBorder="false" applyAlignment="false" applyProtection="false">
      <alignment horizontal="general" vertical="bottom" textRotation="0" wrapText="false" indent="0" shrinkToFit="false"/>
      <protection locked="true" hidden="false"/>
    </xf>
    <xf numFmtId="169" fontId="23" fillId="0" borderId="0" xfId="20" applyFont="true" applyBorder="false" applyAlignment="true" applyProtection="false">
      <alignment horizontal="center" vertical="center" textRotation="0" wrapText="false" indent="0" shrinkToFit="false"/>
      <protection locked="true" hidden="false"/>
    </xf>
    <xf numFmtId="169" fontId="21" fillId="0" borderId="0" xfId="20" applyFont="true" applyBorder="false" applyAlignment="true" applyProtection="false">
      <alignment horizontal="center" vertical="center" textRotation="0" wrapText="false" indent="0" shrinkToFit="false"/>
      <protection locked="true" hidden="false"/>
    </xf>
    <xf numFmtId="169" fontId="13" fillId="5" borderId="4" xfId="20" applyFont="true" applyBorder="true" applyAlignment="true" applyProtection="false">
      <alignment horizontal="center" vertical="center" textRotation="0" wrapText="false" indent="0" shrinkToFit="false"/>
      <protection locked="true" hidden="false"/>
    </xf>
    <xf numFmtId="164" fontId="19" fillId="10" borderId="0" xfId="20" applyFont="true" applyBorder="false" applyAlignment="true" applyProtection="false">
      <alignment horizontal="center" vertical="center" textRotation="0" wrapText="false" indent="0" shrinkToFit="false"/>
      <protection locked="true" hidden="false"/>
    </xf>
    <xf numFmtId="169" fontId="34" fillId="0" borderId="0" xfId="20" applyFont="true" applyBorder="false" applyAlignment="true" applyProtection="false">
      <alignment horizontal="center" vertical="center" textRotation="0" wrapText="false" indent="0" shrinkToFit="false"/>
      <protection locked="true" hidden="false"/>
    </xf>
    <xf numFmtId="164" fontId="17" fillId="11" borderId="0" xfId="20" applyFont="true" applyBorder="false" applyAlignment="true" applyProtection="false">
      <alignment horizontal="center" vertical="center" textRotation="0" wrapText="false" indent="0" shrinkToFit="false"/>
      <protection locked="true" hidden="false"/>
    </xf>
    <xf numFmtId="175" fontId="18" fillId="2" borderId="0" xfId="20" applyFont="true" applyBorder="false" applyAlignment="true" applyProtection="false">
      <alignment horizontal="left" vertical="center" textRotation="0" wrapText="false" indent="0" shrinkToFit="false"/>
      <protection locked="true" hidden="false"/>
    </xf>
    <xf numFmtId="164" fontId="4" fillId="0" borderId="0" xfId="20" applyFont="true" applyBorder="false" applyAlignment="true" applyProtection="false">
      <alignment horizontal="left" vertical="center" textRotation="0" wrapText="false" indent="0" shrinkToFit="false"/>
      <protection locked="true" hidden="false"/>
    </xf>
    <xf numFmtId="169" fontId="23" fillId="0" borderId="4" xfId="20" applyFont="true" applyBorder="true" applyAlignment="true" applyProtection="false">
      <alignment horizontal="center" vertical="center" textRotation="0" wrapText="false" indent="0" shrinkToFit="false"/>
      <protection locked="true" hidden="false"/>
    </xf>
    <xf numFmtId="175" fontId="24" fillId="2" borderId="0" xfId="20" applyFont="true" applyBorder="false" applyAlignment="true" applyProtection="false">
      <alignment horizontal="left" vertical="center" textRotation="0" wrapText="false" indent="0" shrinkToFit="false"/>
      <protection locked="true" hidden="false"/>
    </xf>
    <xf numFmtId="164" fontId="19" fillId="0" borderId="0" xfId="20" applyFont="true" applyBorder="false" applyAlignment="true" applyProtection="false">
      <alignment horizontal="left" vertical="center" textRotation="0" wrapText="false" indent="0" shrinkToFit="false"/>
      <protection locked="true" hidden="false"/>
    </xf>
    <xf numFmtId="169" fontId="24" fillId="5" borderId="4" xfId="20" applyFont="true" applyBorder="true" applyAlignment="true" applyProtection="false">
      <alignment horizontal="center" vertical="center" textRotation="0" wrapText="false" indent="0" shrinkToFit="false"/>
      <protection locked="true" hidden="false"/>
    </xf>
    <xf numFmtId="169" fontId="35" fillId="5" borderId="4" xfId="20" applyFont="true" applyBorder="true" applyAlignment="true" applyProtection="false">
      <alignment horizontal="center" vertical="center" textRotation="0" wrapText="false" indent="0" shrinkToFit="false"/>
      <protection locked="true" hidden="false"/>
    </xf>
    <xf numFmtId="164" fontId="36" fillId="2" borderId="0" xfId="20" applyFont="true" applyBorder="false" applyAlignment="false" applyProtection="false">
      <alignment horizontal="general" vertical="bottom" textRotation="0" wrapText="false" indent="0" shrinkToFit="false"/>
      <protection locked="true" hidden="false"/>
    </xf>
    <xf numFmtId="164" fontId="37" fillId="0" borderId="0" xfId="20" applyFont="true" applyBorder="false" applyAlignment="false" applyProtection="false">
      <alignment horizontal="general" vertical="bottom" textRotation="0" wrapText="false" indent="0" shrinkToFit="false"/>
      <protection locked="true" hidden="false"/>
    </xf>
    <xf numFmtId="168" fontId="23" fillId="5" borderId="4" xfId="20" applyFont="true" applyBorder="true" applyAlignment="true" applyProtection="false">
      <alignment horizontal="center" vertical="center" textRotation="0" wrapText="false" indent="0" shrinkToFit="false"/>
      <protection locked="true" hidden="false"/>
    </xf>
    <xf numFmtId="168" fontId="24" fillId="5" borderId="4" xfId="20" applyFont="true" applyBorder="true" applyAlignment="true" applyProtection="false">
      <alignment horizontal="center" vertical="center" textRotation="0" wrapText="false" indent="0" shrinkToFit="false"/>
      <protection locked="true" hidden="false"/>
    </xf>
    <xf numFmtId="168" fontId="35" fillId="5" borderId="4" xfId="20" applyFont="true" applyBorder="true" applyAlignment="true" applyProtection="false">
      <alignment horizontal="center" vertical="center" textRotation="0" wrapText="false" indent="0" shrinkToFit="false"/>
      <protection locked="true" hidden="false"/>
    </xf>
    <xf numFmtId="164" fontId="38" fillId="0" borderId="0" xfId="20" applyFont="true" applyBorder="false" applyAlignment="true" applyProtection="false">
      <alignment horizontal="general" vertical="center" textRotation="0" wrapText="false" indent="0" shrinkToFit="false"/>
      <protection locked="true" hidden="false"/>
    </xf>
    <xf numFmtId="164" fontId="4" fillId="5" borderId="4" xfId="20" applyFont="true" applyBorder="true" applyAlignment="true" applyProtection="false">
      <alignment horizontal="center" vertical="center" textRotation="0" wrapText="false" indent="0" shrinkToFit="false"/>
      <protection locked="true" hidden="false"/>
    </xf>
    <xf numFmtId="164" fontId="18" fillId="0" borderId="0" xfId="20" applyFont="true" applyBorder="false" applyAlignment="true" applyProtection="false">
      <alignment horizontal="left" vertical="center" textRotation="0" wrapText="false" indent="1" shrinkToFit="false"/>
      <protection locked="true" hidden="false"/>
    </xf>
    <xf numFmtId="164" fontId="18" fillId="0" borderId="0" xfId="20" applyFont="true" applyBorder="false" applyAlignment="true" applyProtection="false">
      <alignment horizontal="center" vertical="center" textRotation="0" wrapText="false" indent="0" shrinkToFit="false"/>
      <protection locked="true" hidden="false"/>
    </xf>
    <xf numFmtId="164" fontId="21" fillId="0" borderId="0" xfId="20" applyFont="true" applyBorder="false" applyAlignment="true" applyProtection="false">
      <alignment horizontal="center" vertical="center" textRotation="0" wrapText="false" indent="0" shrinkToFit="false"/>
      <protection locked="true" hidden="false"/>
    </xf>
    <xf numFmtId="164" fontId="18" fillId="0" borderId="0" xfId="20" applyFont="true" applyBorder="false" applyAlignment="true" applyProtection="false">
      <alignment horizontal="general" vertical="center" textRotation="0" wrapText="false" indent="0" shrinkToFit="false"/>
      <protection locked="true" hidden="false"/>
    </xf>
    <xf numFmtId="168" fontId="34" fillId="0" borderId="0" xfId="20" applyFont="true" applyBorder="false" applyAlignment="true" applyProtection="false">
      <alignment horizontal="center" vertical="center" textRotation="0" wrapText="false" indent="0" shrinkToFit="false"/>
      <protection locked="true" hidden="false"/>
    </xf>
    <xf numFmtId="176" fontId="23" fillId="0" borderId="0" xfId="20" applyFont="true" applyBorder="false" applyAlignment="true" applyProtection="false">
      <alignment horizontal="center" vertical="center" textRotation="0" wrapText="false" indent="0" shrinkToFit="false"/>
      <protection locked="true" hidden="false"/>
    </xf>
    <xf numFmtId="176" fontId="34" fillId="0" borderId="0" xfId="20" applyFont="true" applyBorder="false" applyAlignment="true" applyProtection="false">
      <alignment horizontal="center" vertical="center" textRotation="0" wrapText="false" indent="0" shrinkToFit="false"/>
      <protection locked="true" hidden="false"/>
    </xf>
    <xf numFmtId="164" fontId="39" fillId="0" borderId="0" xfId="20" applyFont="true" applyBorder="false" applyAlignment="true" applyProtection="false">
      <alignment horizontal="general" vertical="center" textRotation="0" wrapText="false" indent="0" shrinkToFit="false"/>
      <protection locked="true" hidden="false"/>
    </xf>
    <xf numFmtId="164" fontId="18" fillId="2" borderId="0" xfId="20" applyFont="true" applyBorder="false" applyAlignment="true" applyProtection="false">
      <alignment horizontal="general" vertical="center" textRotation="0" wrapText="false" indent="0" shrinkToFit="false"/>
      <protection locked="true" hidden="false"/>
    </xf>
    <xf numFmtId="177" fontId="40" fillId="0" borderId="0" xfId="22" applyFont="true" applyBorder="false" applyAlignment="true" applyProtection="true">
      <alignment horizontal="center" vertical="center" textRotation="0" wrapText="false" indent="0" shrinkToFit="false"/>
      <protection locked="false" hidden="false"/>
    </xf>
    <xf numFmtId="178" fontId="40" fillId="0" borderId="0" xfId="20" applyFont="true" applyBorder="false" applyAlignment="true" applyProtection="true">
      <alignment horizontal="center" vertical="center" textRotation="0" wrapText="false" indent="0" shrinkToFit="false"/>
      <protection locked="false" hidden="false"/>
    </xf>
    <xf numFmtId="179" fontId="40" fillId="0" borderId="0" xfId="21" applyFont="true" applyBorder="false" applyAlignment="true" applyProtection="true">
      <alignment horizontal="center" vertical="center" textRotation="0" wrapText="false" indent="0" shrinkToFit="false"/>
      <protection locked="false" hidden="false"/>
    </xf>
    <xf numFmtId="180" fontId="41" fillId="0" borderId="0" xfId="21" applyFont="true" applyBorder="false" applyAlignment="true" applyProtection="true">
      <alignment horizontal="center" vertical="center" textRotation="0" wrapText="false" indent="0" shrinkToFit="false"/>
      <protection locked="false" hidden="false"/>
    </xf>
    <xf numFmtId="180" fontId="42" fillId="6" borderId="0" xfId="21" applyFont="true" applyBorder="false" applyAlignment="true" applyProtection="true">
      <alignment horizontal="center" vertical="center" textRotation="0" wrapText="false" indent="0" shrinkToFit="false"/>
      <protection locked="false" hidden="false"/>
    </xf>
    <xf numFmtId="180" fontId="43" fillId="0" borderId="0" xfId="21" applyFont="true" applyBorder="false" applyAlignment="true" applyProtection="true">
      <alignment horizontal="center" vertical="center" textRotation="0" wrapText="false" indent="0" shrinkToFit="false"/>
      <protection locked="false" hidden="false"/>
    </xf>
    <xf numFmtId="164" fontId="46" fillId="0" borderId="0" xfId="0" applyFont="true" applyBorder="false" applyAlignment="fals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81" fontId="15" fillId="0" borderId="0" xfId="0" applyFont="true" applyBorder="false" applyAlignment="false" applyProtection="false">
      <alignment horizontal="general" vertical="bottom" textRotation="0" wrapText="false" indent="0" shrinkToFit="false"/>
      <protection locked="true" hidden="false"/>
    </xf>
    <xf numFmtId="182" fontId="0" fillId="0" borderId="0" xfId="0" applyFont="true" applyBorder="false" applyAlignment="false" applyProtection="false">
      <alignment horizontal="general" vertical="bottom" textRotation="0" wrapText="false" indent="0" shrinkToFit="false"/>
      <protection locked="true" hidden="false"/>
    </xf>
    <xf numFmtId="182" fontId="50" fillId="0" borderId="0" xfId="0" applyFont="true" applyBorder="false" applyAlignment="false" applyProtection="false">
      <alignment horizontal="general" vertical="bottom" textRotation="0" wrapText="false" indent="0" shrinkToFit="false"/>
      <protection locked="true" hidden="false"/>
    </xf>
    <xf numFmtId="183" fontId="0" fillId="0" borderId="0" xfId="0" applyFont="true" applyBorder="false" applyAlignment="false" applyProtection="fals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_BGEN" xfId="21"/>
    <cellStyle name="Normal_Model_v5" xfId="22"/>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582BE"/>
      <rgbColor rgb="FFC0C0C0"/>
      <rgbColor rgb="FF808080"/>
      <rgbColor rgb="FF9999FF"/>
      <rgbColor rgb="FF7030A0"/>
      <rgbColor rgb="FFF5ECDC"/>
      <rgbColor rgb="FFF2F2F2"/>
      <rgbColor rgb="FF660066"/>
      <rgbColor rgb="FFFF8080"/>
      <rgbColor rgb="FF03618E"/>
      <rgbColor rgb="FFF9C7E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CFA052"/>
      <rgbColor rgb="FFFF6600"/>
      <rgbColor rgb="FF666699"/>
      <rgbColor rgb="FF7AA778"/>
      <rgbColor rgb="FF003366"/>
      <rgbColor rgb="FF00B050"/>
      <rgbColor rgb="FF003300"/>
      <rgbColor rgb="FF333300"/>
      <rgbColor rgb="FF993300"/>
      <rgbColor rgb="FF993366"/>
      <rgbColor rgb="FF333399"/>
      <rgbColor rgb="FF23283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Laz new">
  <a:themeElements>
    <a:clrScheme name="Lazard 2023 Light">
      <a:dk1>
        <a:srgbClr val="23283c"/>
      </a:dk1>
      <a:lt1>
        <a:srgbClr val="ffffff"/>
      </a:lt1>
      <a:dk2>
        <a:srgbClr val="0582be"/>
      </a:dk2>
      <a:lt2>
        <a:srgbClr val="d7dcdc"/>
      </a:lt2>
      <a:accent1>
        <a:srgbClr val="03618e"/>
      </a:accent1>
      <a:accent2>
        <a:srgbClr val="a59b92"/>
      </a:accent2>
      <a:accent3>
        <a:srgbClr val="84c2f0"/>
      </a:accent3>
      <a:accent4>
        <a:srgbClr val="5f87a0"/>
      </a:accent4>
      <a:accent5>
        <a:srgbClr val="cfa052"/>
      </a:accent5>
      <a:accent6>
        <a:srgbClr val="7aa778"/>
      </a:accent6>
      <a:hlink>
        <a:srgbClr val="23283c"/>
      </a:hlink>
      <a:folHlink>
        <a:srgbClr val="23283c"/>
      </a:folHlink>
    </a:clrScheme>
    <a:fontScheme name="Lazard 2023">
      <a:majorFont>
        <a:latin typeface="EB Garamond"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35000"/>
              </a:schemeClr>
            </a:gs>
            <a:gs pos="30000">
              <a:schemeClr val="phClr">
                <a:tint val="38000"/>
              </a:schemeClr>
            </a:gs>
            <a:gs pos="75000">
              <a:schemeClr val="phClr">
                <a:tint val="55000"/>
              </a:schemeClr>
            </a:gs>
            <a:gs pos="100000">
              <a:schemeClr val="phClr">
                <a:tint val="70000"/>
              </a:schemeClr>
            </a:gs>
          </a:gsLst>
          <a:path path="circle">
            <a:fillToRect l="5000" t="100000" r="120000" b="10000"/>
          </a:path>
          <a:tileRect l="0" t="0" r="0" b="0"/>
        </a:gradFill>
        <a:gradFill>
          <a:gsLst>
            <a:gs pos="0">
              <a:schemeClr val="phClr">
                <a:shade val="63000"/>
              </a:schemeClr>
            </a:gs>
            <a:gs pos="30000">
              <a:schemeClr val="phClr">
                <a:shade val="58000"/>
              </a:schemeClr>
            </a:gs>
            <a:gs pos="75000">
              <a:schemeClr val="phClr">
                <a:shade val="30000"/>
              </a:schemeClr>
            </a:gs>
            <a:gs pos="100000">
              <a:schemeClr val="phClr">
                <a:shade val="15000"/>
              </a:schemeClr>
            </a:gs>
          </a:gsLst>
          <a:path path="circle">
            <a:fillToRect l="5000" t="100000" r="120000" b="10000"/>
          </a:path>
          <a:tileRect l="0" t="0" r="0" b="0"/>
        </a:gradFill>
      </a:fillStyleLst>
      <a:lnStyleLst>
        <a:ln w="12700" cap="flat" cmpd="sng" algn="ctr">
          <a:prstDash val="solid"/>
        </a:ln>
        <a:ln w="25400" cap="flat" cmpd="sng" algn="ctr">
          <a:prstDash val="solid"/>
        </a:ln>
        <a:ln w="34925"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582BE"/>
    <pageSetUpPr fitToPage="false"/>
  </sheetPr>
  <dimension ref="A1:AF342"/>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6" ySplit="6" topLeftCell="AC142" activePane="bottomRight" state="frozen"/>
      <selection pane="topLeft" activeCell="A1" activeCellId="0" sqref="A1"/>
      <selection pane="topRight" activeCell="AC1" activeCellId="0" sqref="AC1"/>
      <selection pane="bottomLeft" activeCell="A142" activeCellId="0" sqref="A142"/>
      <selection pane="bottomRight" activeCell="AW145" activeCellId="0" sqref="AW145"/>
    </sheetView>
  </sheetViews>
  <sheetFormatPr defaultColWidth="7.37890625" defaultRowHeight="15" zeroHeight="false" outlineLevelRow="1" outlineLevelCol="1"/>
  <cols>
    <col collapsed="false" customWidth="true" hidden="false" outlineLevel="0" max="2" min="1" style="1" width="1.63"/>
    <col collapsed="false" customWidth="true" hidden="true" outlineLevel="1" max="4" min="3" style="1" width="9.88"/>
    <col collapsed="false" customWidth="true" hidden="false" outlineLevel="0" max="5" min="5" style="2" width="12.38"/>
    <col collapsed="false" customWidth="true" hidden="false" outlineLevel="0" max="6" min="6" style="3" width="13.63"/>
    <col collapsed="false" customWidth="true" hidden="false" outlineLevel="0" max="7" min="7" style="4" width="9.88"/>
    <col collapsed="false" customWidth="true" hidden="false" outlineLevel="0" max="8" min="8" style="4" width="1.63"/>
    <col collapsed="false" customWidth="true" hidden="false" outlineLevel="0" max="10" min="9" style="4" width="1.38"/>
    <col collapsed="false" customWidth="true" hidden="false" outlineLevel="1" max="27" min="11" style="3" width="16.63"/>
    <col collapsed="false" customWidth="true" hidden="false" outlineLevel="0" max="28" min="28" style="3" width="16.63"/>
    <col collapsed="false" customWidth="true" hidden="false" outlineLevel="1" max="29" min="29" style="3" width="16.63"/>
    <col collapsed="false" customWidth="true" hidden="false" outlineLevel="0" max="30" min="30" style="3" width="16.63"/>
    <col collapsed="false" customWidth="true" hidden="false" outlineLevel="0" max="31" min="31" style="5" width="21.38"/>
    <col collapsed="false" customWidth="true" hidden="false" outlineLevel="0" max="32" min="32" style="5" width="16.63"/>
    <col collapsed="false" customWidth="false" hidden="false" outlineLevel="0" max="37" min="33" style="5" width="7.38"/>
    <col collapsed="false" customWidth="true" hidden="false" outlineLevel="0" max="38" min="38" style="5" width="24.25"/>
    <col collapsed="false" customWidth="false" hidden="false" outlineLevel="0" max="16384" min="39" style="5" width="7.38"/>
  </cols>
  <sheetData>
    <row r="1" s="11" customFormat="true" ht="15" hidden="false" customHeight="false" outlineLevel="0" collapsed="false">
      <c r="A1" s="6"/>
      <c r="B1" s="7"/>
      <c r="C1" s="7"/>
      <c r="D1" s="7"/>
      <c r="E1" s="8"/>
      <c r="F1" s="8"/>
      <c r="G1" s="9"/>
      <c r="H1" s="9"/>
      <c r="I1" s="9"/>
      <c r="J1" s="9"/>
      <c r="K1" s="10"/>
      <c r="L1" s="10"/>
      <c r="M1" s="10"/>
      <c r="N1" s="10"/>
      <c r="O1" s="10"/>
      <c r="P1" s="10"/>
      <c r="Q1" s="10"/>
      <c r="R1" s="10"/>
      <c r="S1" s="10"/>
      <c r="T1" s="10"/>
      <c r="U1" s="10"/>
      <c r="V1" s="10"/>
      <c r="W1" s="10"/>
      <c r="X1" s="10"/>
      <c r="Y1" s="10"/>
      <c r="Z1" s="10"/>
      <c r="AA1" s="10"/>
      <c r="AB1" s="10"/>
      <c r="AC1" s="10"/>
      <c r="AD1" s="10"/>
      <c r="AE1" s="10"/>
      <c r="AF1" s="10"/>
    </row>
    <row r="2" customFormat="false" ht="12" hidden="false" customHeight="true" outlineLevel="0" collapsed="false">
      <c r="A2" s="12"/>
      <c r="B2" s="13"/>
      <c r="C2" s="13"/>
      <c r="D2" s="13"/>
      <c r="E2" s="14" t="s">
        <v>0</v>
      </c>
      <c r="F2" s="15" t="n">
        <v>46286</v>
      </c>
      <c r="K2" s="16" t="n">
        <f aca="false">+$F$2</f>
        <v>46286</v>
      </c>
      <c r="L2" s="17" t="n">
        <v>46038</v>
      </c>
      <c r="M2" s="16" t="n">
        <f aca="false">+$F$2</f>
        <v>46286</v>
      </c>
      <c r="N2" s="16" t="n">
        <f aca="false">+$F$2</f>
        <v>46286</v>
      </c>
      <c r="O2" s="16" t="n">
        <f aca="false">+$F$2</f>
        <v>46286</v>
      </c>
      <c r="P2" s="16" t="n">
        <f aca="false">+$F$2</f>
        <v>46286</v>
      </c>
      <c r="Q2" s="16" t="n">
        <f aca="false">+$F$2</f>
        <v>46286</v>
      </c>
      <c r="R2" s="16" t="n">
        <f aca="false">+$F$2</f>
        <v>46286</v>
      </c>
      <c r="S2" s="16" t="n">
        <f aca="false">+$F$2</f>
        <v>46286</v>
      </c>
      <c r="T2" s="16" t="n">
        <f aca="false">+$F$2</f>
        <v>46286</v>
      </c>
      <c r="U2" s="16" t="n">
        <f aca="false">+$F$2</f>
        <v>46286</v>
      </c>
      <c r="V2" s="16" t="n">
        <f aca="false">+$F$2</f>
        <v>46286</v>
      </c>
      <c r="W2" s="16" t="n">
        <f aca="false">+$F$2</f>
        <v>46286</v>
      </c>
      <c r="X2" s="16" t="n">
        <f aca="false">+$F$2</f>
        <v>46286</v>
      </c>
      <c r="Y2" s="17" t="n">
        <v>46121</v>
      </c>
      <c r="Z2" s="16" t="n">
        <f aca="false">+$F$2</f>
        <v>46286</v>
      </c>
      <c r="AA2" s="16" t="n">
        <f aca="false">+$F$2</f>
        <v>46286</v>
      </c>
      <c r="AB2" s="16" t="n">
        <f aca="false">+$F$2</f>
        <v>46286</v>
      </c>
      <c r="AC2" s="16" t="n">
        <f aca="false">+$F$2</f>
        <v>46286</v>
      </c>
      <c r="AD2" s="16" t="n">
        <f aca="false">+$F$2</f>
        <v>46286</v>
      </c>
      <c r="AE2" s="16" t="n">
        <f aca="false">+$F$2</f>
        <v>46286</v>
      </c>
      <c r="AF2" s="17" t="n">
        <f aca="false">+$F$2</f>
        <v>46286</v>
      </c>
    </row>
    <row r="3" customFormat="false" ht="12" hidden="false" customHeight="true" outlineLevel="0" collapsed="false">
      <c r="A3" s="12"/>
      <c r="B3" s="13"/>
      <c r="C3" s="13"/>
      <c r="D3" s="13"/>
      <c r="E3" s="18" t="s">
        <v>1</v>
      </c>
      <c r="F3" s="19" t="n">
        <v>46022</v>
      </c>
      <c r="AE3" s="3"/>
      <c r="AF3" s="3"/>
    </row>
    <row r="4" customFormat="false" ht="10.5" hidden="false" customHeight="true" outlineLevel="0" collapsed="false">
      <c r="A4" s="12"/>
      <c r="B4" s="13"/>
      <c r="C4" s="13"/>
      <c r="D4" s="13"/>
      <c r="E4" s="20" t="s">
        <v>2</v>
      </c>
      <c r="F4" s="21" t="s">
        <v>3</v>
      </c>
      <c r="AE4" s="3"/>
      <c r="AF4" s="3"/>
    </row>
    <row r="5" customFormat="false" ht="10.5" hidden="false" customHeight="true" outlineLevel="0" collapsed="false">
      <c r="A5" s="4"/>
      <c r="B5" s="4"/>
      <c r="C5" s="4"/>
      <c r="D5" s="4"/>
      <c r="E5" s="2" t="s">
        <v>4</v>
      </c>
      <c r="F5" s="22" t="n">
        <v>1</v>
      </c>
      <c r="AE5" s="3"/>
      <c r="AF5" s="3"/>
    </row>
    <row r="6" customFormat="false" ht="10.5" hidden="false" customHeight="true" outlineLevel="0" collapsed="false">
      <c r="A6" s="4"/>
      <c r="B6" s="23"/>
      <c r="C6" s="23"/>
      <c r="D6" s="23"/>
      <c r="E6" s="2" t="s">
        <v>5</v>
      </c>
      <c r="K6" s="24" t="s">
        <v>6</v>
      </c>
      <c r="L6" s="25" t="s">
        <v>7</v>
      </c>
      <c r="M6" s="26" t="s">
        <v>8</v>
      </c>
      <c r="N6" s="26" t="s">
        <v>9</v>
      </c>
      <c r="O6" s="26" t="s">
        <v>10</v>
      </c>
      <c r="P6" s="26" t="s">
        <v>11</v>
      </c>
      <c r="Q6" s="26" t="s">
        <v>12</v>
      </c>
      <c r="R6" s="26" t="s">
        <v>13</v>
      </c>
      <c r="S6" s="26" t="s">
        <v>14</v>
      </c>
      <c r="T6" s="26" t="s">
        <v>15</v>
      </c>
      <c r="U6" s="26" t="s">
        <v>16</v>
      </c>
      <c r="V6" s="26" t="s">
        <v>17</v>
      </c>
      <c r="W6" s="26" t="s">
        <v>18</v>
      </c>
      <c r="X6" s="26" t="s">
        <v>19</v>
      </c>
      <c r="Y6" s="26" t="s">
        <v>20</v>
      </c>
      <c r="Z6" s="26" t="s">
        <v>21</v>
      </c>
      <c r="AA6" s="27" t="s">
        <v>22</v>
      </c>
      <c r="AB6" s="26" t="s">
        <v>23</v>
      </c>
      <c r="AC6" s="26" t="s">
        <v>24</v>
      </c>
      <c r="AD6" s="26" t="s">
        <v>25</v>
      </c>
      <c r="AE6" s="24" t="s">
        <v>26</v>
      </c>
      <c r="AF6" s="26" t="s">
        <v>27</v>
      </c>
    </row>
    <row r="7" customFormat="false" ht="10.5" hidden="false" customHeight="true" outlineLevel="0" collapsed="false">
      <c r="A7" s="4"/>
      <c r="B7" s="23"/>
      <c r="C7" s="23"/>
      <c r="D7" s="23"/>
      <c r="AE7" s="3"/>
      <c r="AF7" s="3"/>
    </row>
    <row r="8" customFormat="false" ht="10.5" hidden="false" customHeight="true" outlineLevel="0" collapsed="false">
      <c r="A8" s="28" t="s">
        <v>28</v>
      </c>
      <c r="B8" s="28" t="s">
        <v>28</v>
      </c>
      <c r="C8" s="23"/>
      <c r="D8" s="23"/>
      <c r="E8" s="29" t="s">
        <v>29</v>
      </c>
      <c r="F8" s="30"/>
      <c r="G8" s="30"/>
      <c r="H8" s="30"/>
      <c r="I8" s="30"/>
      <c r="J8" s="30"/>
      <c r="K8" s="30"/>
      <c r="L8" s="30"/>
      <c r="M8" s="30"/>
      <c r="N8" s="30"/>
      <c r="O8" s="30"/>
      <c r="P8" s="30"/>
      <c r="Q8" s="30"/>
      <c r="R8" s="30"/>
      <c r="S8" s="30"/>
      <c r="T8" s="30"/>
      <c r="U8" s="30"/>
      <c r="V8" s="30"/>
      <c r="W8" s="30"/>
      <c r="X8" s="30"/>
      <c r="Y8" s="30"/>
      <c r="Z8" s="30"/>
      <c r="AA8" s="30"/>
      <c r="AB8" s="30"/>
      <c r="AC8" s="30"/>
      <c r="AD8" s="30"/>
      <c r="AE8" s="30"/>
      <c r="AF8" s="30"/>
    </row>
    <row r="9" s="4" customFormat="true" ht="10.5" hidden="false" customHeight="true" outlineLevel="0" collapsed="false"/>
    <row r="10" customFormat="false" ht="10.5" hidden="false" customHeight="true" outlineLevel="0" collapsed="false">
      <c r="A10" s="31"/>
      <c r="B10" s="31"/>
      <c r="C10" s="31"/>
      <c r="D10" s="31"/>
      <c r="E10" s="2" t="s">
        <v>30</v>
      </c>
      <c r="F10" s="32"/>
      <c r="G10" s="33" t="s">
        <v>31</v>
      </c>
      <c r="H10" s="34"/>
      <c r="I10" s="34"/>
      <c r="J10" s="34"/>
      <c r="K10" s="35" t="s">
        <v>6</v>
      </c>
      <c r="L10" s="35" t="s">
        <v>32</v>
      </c>
      <c r="M10" s="35" t="s">
        <v>33</v>
      </c>
      <c r="N10" s="35" t="s">
        <v>34</v>
      </c>
      <c r="O10" s="35" t="s">
        <v>35</v>
      </c>
      <c r="P10" s="35" t="s">
        <v>36</v>
      </c>
      <c r="Q10" s="35" t="s">
        <v>37</v>
      </c>
      <c r="R10" s="35" t="s">
        <v>38</v>
      </c>
      <c r="S10" s="35" t="s">
        <v>39</v>
      </c>
      <c r="T10" s="35" t="s">
        <v>40</v>
      </c>
      <c r="U10" s="35" t="s">
        <v>41</v>
      </c>
      <c r="V10" s="35" t="s">
        <v>42</v>
      </c>
      <c r="W10" s="35" t="s">
        <v>43</v>
      </c>
      <c r="X10" s="35" t="s">
        <v>44</v>
      </c>
      <c r="Y10" s="35" t="s">
        <v>45</v>
      </c>
      <c r="Z10" s="35" t="s">
        <v>46</v>
      </c>
      <c r="AA10" s="35" t="s">
        <v>47</v>
      </c>
      <c r="AB10" s="35" t="s">
        <v>48</v>
      </c>
      <c r="AC10" s="35" t="s">
        <v>49</v>
      </c>
      <c r="AD10" s="35" t="s">
        <v>50</v>
      </c>
      <c r="AE10" s="35" t="s">
        <v>51</v>
      </c>
      <c r="AF10" s="35" t="s">
        <v>52</v>
      </c>
    </row>
    <row r="11" customFormat="false" ht="10.5" hidden="false" customHeight="true" outlineLevel="0" collapsed="false">
      <c r="A11" s="31"/>
      <c r="B11" s="31"/>
      <c r="C11" s="31"/>
      <c r="D11" s="31"/>
      <c r="E11" s="2" t="s">
        <v>53</v>
      </c>
      <c r="K11" s="35" t="s">
        <v>54</v>
      </c>
      <c r="L11" s="36" t="s">
        <v>55</v>
      </c>
      <c r="M11" s="36" t="s">
        <v>55</v>
      </c>
      <c r="N11" s="36" t="s">
        <v>55</v>
      </c>
      <c r="O11" s="36" t="s">
        <v>55</v>
      </c>
      <c r="P11" s="36" t="s">
        <v>55</v>
      </c>
      <c r="Q11" s="36" t="s">
        <v>55</v>
      </c>
      <c r="R11" s="36" t="s">
        <v>55</v>
      </c>
      <c r="S11" s="36" t="s">
        <v>55</v>
      </c>
      <c r="T11" s="36" t="s">
        <v>55</v>
      </c>
      <c r="U11" s="36" t="s">
        <v>55</v>
      </c>
      <c r="V11" s="36" t="s">
        <v>55</v>
      </c>
      <c r="W11" s="36" t="s">
        <v>55</v>
      </c>
      <c r="X11" s="36" t="s">
        <v>55</v>
      </c>
      <c r="Y11" s="36" t="s">
        <v>55</v>
      </c>
      <c r="Z11" s="36" t="s">
        <v>55</v>
      </c>
      <c r="AA11" s="36" t="s">
        <v>55</v>
      </c>
      <c r="AB11" s="36" t="s">
        <v>55</v>
      </c>
      <c r="AC11" s="36" t="s">
        <v>55</v>
      </c>
      <c r="AD11" s="36" t="s">
        <v>55</v>
      </c>
      <c r="AE11" s="36" t="s">
        <v>55</v>
      </c>
      <c r="AF11" s="36" t="s">
        <v>55</v>
      </c>
    </row>
    <row r="12" customFormat="false" ht="10.5" hidden="false" customHeight="true" outlineLevel="0" collapsed="false">
      <c r="A12" s="31"/>
      <c r="B12" s="31"/>
      <c r="C12" s="31"/>
      <c r="D12" s="31"/>
      <c r="E12" s="2" t="s">
        <v>56</v>
      </c>
      <c r="K12" s="35" t="s">
        <v>54</v>
      </c>
      <c r="L12" s="35" t="s">
        <v>57</v>
      </c>
      <c r="M12" s="35" t="s">
        <v>57</v>
      </c>
      <c r="N12" s="35" t="s">
        <v>57</v>
      </c>
      <c r="O12" s="35" t="s">
        <v>57</v>
      </c>
      <c r="P12" s="35" t="s">
        <v>57</v>
      </c>
      <c r="Q12" s="35" t="s">
        <v>57</v>
      </c>
      <c r="R12" s="35" t="s">
        <v>57</v>
      </c>
      <c r="S12" s="35" t="s">
        <v>57</v>
      </c>
      <c r="T12" s="35" t="s">
        <v>57</v>
      </c>
      <c r="U12" s="35" t="s">
        <v>57</v>
      </c>
      <c r="V12" s="35" t="s">
        <v>57</v>
      </c>
      <c r="W12" s="35" t="s">
        <v>57</v>
      </c>
      <c r="X12" s="35" t="s">
        <v>57</v>
      </c>
      <c r="Y12" s="35" t="s">
        <v>57</v>
      </c>
      <c r="Z12" s="35" t="s">
        <v>57</v>
      </c>
      <c r="AA12" s="35" t="s">
        <v>57</v>
      </c>
      <c r="AB12" s="35" t="s">
        <v>57</v>
      </c>
      <c r="AC12" s="35" t="s">
        <v>57</v>
      </c>
      <c r="AD12" s="35" t="s">
        <v>57</v>
      </c>
      <c r="AE12" s="35" t="s">
        <v>54</v>
      </c>
      <c r="AF12" s="35" t="s">
        <v>57</v>
      </c>
    </row>
    <row r="13" customFormat="false" ht="10.5" hidden="false" customHeight="true" outlineLevel="0" collapsed="false">
      <c r="A13" s="31"/>
      <c r="B13" s="31"/>
      <c r="C13" s="31"/>
      <c r="D13" s="31"/>
      <c r="E13" s="2" t="s">
        <v>58</v>
      </c>
      <c r="K13" s="35" t="s">
        <v>57</v>
      </c>
      <c r="L13" s="36" t="s">
        <v>59</v>
      </c>
      <c r="M13" s="36" t="s">
        <v>60</v>
      </c>
      <c r="N13" s="36" t="s">
        <v>61</v>
      </c>
      <c r="O13" s="36" t="s">
        <v>62</v>
      </c>
      <c r="P13" s="36" t="s">
        <v>63</v>
      </c>
      <c r="Q13" s="36" t="s">
        <v>64</v>
      </c>
      <c r="R13" s="36" t="s">
        <v>65</v>
      </c>
      <c r="S13" s="36" t="s">
        <v>66</v>
      </c>
      <c r="T13" s="36" t="s">
        <v>67</v>
      </c>
      <c r="U13" s="36" t="s">
        <v>68</v>
      </c>
      <c r="V13" s="36" t="s">
        <v>69</v>
      </c>
      <c r="W13" s="36" t="s">
        <v>70</v>
      </c>
      <c r="X13" s="36" t="s">
        <v>71</v>
      </c>
      <c r="Y13" s="36" t="s">
        <v>72</v>
      </c>
      <c r="Z13" s="36" t="s">
        <v>73</v>
      </c>
      <c r="AA13" s="36" t="s">
        <v>74</v>
      </c>
      <c r="AB13" s="36" t="s">
        <v>75</v>
      </c>
      <c r="AC13" s="36" t="s">
        <v>76</v>
      </c>
      <c r="AD13" s="36" t="s">
        <v>77</v>
      </c>
      <c r="AE13" s="36" t="s">
        <v>78</v>
      </c>
      <c r="AF13" s="36" t="s">
        <v>79</v>
      </c>
    </row>
    <row r="14" customFormat="false" ht="10.5" hidden="false" customHeight="true" outlineLevel="0" collapsed="false">
      <c r="A14" s="31"/>
      <c r="B14" s="31"/>
      <c r="C14" s="31"/>
      <c r="D14" s="31"/>
      <c r="K14" s="37"/>
      <c r="L14" s="37"/>
      <c r="M14" s="37"/>
      <c r="N14" s="37"/>
      <c r="O14" s="37"/>
      <c r="P14" s="37"/>
      <c r="Q14" s="37"/>
      <c r="R14" s="37"/>
      <c r="S14" s="37"/>
      <c r="T14" s="37"/>
      <c r="U14" s="37"/>
      <c r="V14" s="37"/>
      <c r="W14" s="37"/>
      <c r="X14" s="37"/>
      <c r="Y14" s="37"/>
      <c r="Z14" s="37"/>
      <c r="AA14" s="37"/>
      <c r="AB14" s="37"/>
      <c r="AC14" s="37"/>
      <c r="AD14" s="37"/>
      <c r="AE14" s="37"/>
      <c r="AF14" s="37"/>
    </row>
    <row r="15" customFormat="false" ht="10.5" hidden="false" customHeight="true" outlineLevel="0" collapsed="false">
      <c r="A15" s="31"/>
      <c r="B15" s="31"/>
      <c r="C15" s="31"/>
      <c r="D15" s="31"/>
      <c r="E15" s="29" t="s">
        <v>80</v>
      </c>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row>
    <row r="16" s="4" customFormat="true" ht="10.5" hidden="false" customHeight="true" outlineLevel="0" collapsed="false"/>
    <row r="17" customFormat="false" ht="10.5" hidden="false" customHeight="true" outlineLevel="0" collapsed="false">
      <c r="E17" s="2" t="s">
        <v>81</v>
      </c>
      <c r="K17" s="38"/>
      <c r="L17" s="38" t="s">
        <v>82</v>
      </c>
      <c r="M17" s="38" t="s">
        <v>83</v>
      </c>
      <c r="N17" s="38" t="s">
        <v>84</v>
      </c>
      <c r="O17" s="38" t="s">
        <v>85</v>
      </c>
      <c r="P17" s="38" t="s">
        <v>86</v>
      </c>
      <c r="Q17" s="38" t="s">
        <v>87</v>
      </c>
      <c r="R17" s="38" t="s">
        <v>88</v>
      </c>
      <c r="S17" s="38" t="s">
        <v>89</v>
      </c>
      <c r="T17" s="38" t="s">
        <v>90</v>
      </c>
      <c r="U17" s="38" t="s">
        <v>91</v>
      </c>
      <c r="V17" s="38" t="s">
        <v>92</v>
      </c>
      <c r="W17" s="38" t="s">
        <v>93</v>
      </c>
      <c r="X17" s="38" t="s">
        <v>94</v>
      </c>
      <c r="Y17" s="38" t="s">
        <v>95</v>
      </c>
      <c r="Z17" s="38" t="s">
        <v>96</v>
      </c>
      <c r="AA17" s="38" t="s">
        <v>97</v>
      </c>
      <c r="AB17" s="38" t="s">
        <v>98</v>
      </c>
      <c r="AC17" s="38" t="s">
        <v>99</v>
      </c>
      <c r="AD17" s="38" t="s">
        <v>100</v>
      </c>
      <c r="AE17" s="38" t="s">
        <v>101</v>
      </c>
      <c r="AF17" s="38" t="s">
        <v>102</v>
      </c>
    </row>
    <row r="18" customFormat="false" ht="10.5" hidden="false" customHeight="true" outlineLevel="0" collapsed="false">
      <c r="A18" s="31"/>
      <c r="B18" s="31"/>
      <c r="C18" s="31"/>
      <c r="D18" s="31"/>
      <c r="E18" s="2" t="s">
        <v>103</v>
      </c>
      <c r="K18" s="39" t="s">
        <v>104</v>
      </c>
      <c r="L18" s="39" t="s">
        <v>105</v>
      </c>
      <c r="M18" s="39" t="s">
        <v>105</v>
      </c>
      <c r="N18" s="39" t="s">
        <v>106</v>
      </c>
      <c r="O18" s="39" t="s">
        <v>106</v>
      </c>
      <c r="P18" s="39" t="s">
        <v>107</v>
      </c>
      <c r="Q18" s="39" t="s">
        <v>107</v>
      </c>
      <c r="R18" s="39" t="s">
        <v>107</v>
      </c>
      <c r="S18" s="39" t="s">
        <v>108</v>
      </c>
      <c r="T18" s="39" t="s">
        <v>108</v>
      </c>
      <c r="U18" s="39" t="s">
        <v>109</v>
      </c>
      <c r="V18" s="39" t="s">
        <v>110</v>
      </c>
      <c r="W18" s="39" t="s">
        <v>107</v>
      </c>
      <c r="X18" s="39" t="s">
        <v>110</v>
      </c>
      <c r="Y18" s="39" t="s">
        <v>111</v>
      </c>
      <c r="Z18" s="39" t="s">
        <v>105</v>
      </c>
      <c r="AA18" s="39" t="s">
        <v>105</v>
      </c>
      <c r="AB18" s="39" t="s">
        <v>105</v>
      </c>
      <c r="AC18" s="39" t="s">
        <v>105</v>
      </c>
      <c r="AD18" s="39" t="s">
        <v>105</v>
      </c>
      <c r="AE18" s="39" t="s">
        <v>112</v>
      </c>
      <c r="AF18" s="39" t="s">
        <v>111</v>
      </c>
    </row>
    <row r="19" customFormat="false" ht="10.5" hidden="false" customHeight="true" outlineLevel="0" collapsed="false">
      <c r="A19" s="31"/>
      <c r="B19" s="31"/>
      <c r="C19" s="31"/>
      <c r="D19" s="31"/>
      <c r="E19" s="2" t="s">
        <v>113</v>
      </c>
      <c r="K19" s="39" t="s">
        <v>104</v>
      </c>
      <c r="L19" s="39" t="s">
        <v>114</v>
      </c>
      <c r="M19" s="39" t="s">
        <v>115</v>
      </c>
      <c r="N19" s="39" t="s">
        <v>115</v>
      </c>
      <c r="O19" s="39" t="s">
        <v>115</v>
      </c>
      <c r="P19" s="39" t="s">
        <v>116</v>
      </c>
      <c r="Q19" s="39" t="s">
        <v>116</v>
      </c>
      <c r="R19" s="39" t="s">
        <v>116</v>
      </c>
      <c r="S19" s="39" t="s">
        <v>117</v>
      </c>
      <c r="T19" s="39" t="s">
        <v>117</v>
      </c>
      <c r="U19" s="39" t="s">
        <v>118</v>
      </c>
      <c r="V19" s="39" t="s">
        <v>119</v>
      </c>
      <c r="W19" s="39" t="s">
        <v>116</v>
      </c>
      <c r="X19" s="39" t="s">
        <v>120</v>
      </c>
      <c r="Y19" s="39" t="s">
        <v>121</v>
      </c>
      <c r="Z19" s="39" t="s">
        <v>115</v>
      </c>
      <c r="AA19" s="39" t="s">
        <v>115</v>
      </c>
      <c r="AB19" s="39" t="s">
        <v>115</v>
      </c>
      <c r="AC19" s="39" t="s">
        <v>115</v>
      </c>
      <c r="AD19" s="39" t="s">
        <v>115</v>
      </c>
      <c r="AE19" s="39" t="s">
        <v>122</v>
      </c>
      <c r="AF19" s="39" t="s">
        <v>121</v>
      </c>
    </row>
    <row r="20" customFormat="false" ht="10.5" hidden="false" customHeight="true" outlineLevel="0" collapsed="false">
      <c r="A20" s="31"/>
      <c r="B20" s="31"/>
      <c r="C20" s="31"/>
      <c r="D20" s="31"/>
      <c r="E20" s="40" t="str">
        <f aca="false">"Closing Price - "&amp;$F$4&amp;" ("&amp;TEXT(F2,"mm/dd/yy")&amp;")"</f>
        <v>Closing Price - USD (09/21/26)</v>
      </c>
      <c r="F20" s="32"/>
      <c r="G20" s="34"/>
      <c r="H20" s="34"/>
      <c r="I20" s="34"/>
      <c r="J20" s="34"/>
      <c r="K20" s="41"/>
      <c r="L20" s="41" t="n">
        <v>47.57</v>
      </c>
      <c r="M20" s="41" t="n">
        <v>377.33</v>
      </c>
      <c r="N20" s="41" t="n">
        <v>13.61</v>
      </c>
      <c r="O20" s="41" t="n">
        <v>7.17</v>
      </c>
      <c r="P20" s="41" t="n">
        <v>98.42856</v>
      </c>
      <c r="Q20" s="41" t="n">
        <v>88.439514</v>
      </c>
      <c r="R20" s="41" t="n">
        <v>668.53455</v>
      </c>
      <c r="S20" s="41" t="n">
        <v>1014.94916</v>
      </c>
      <c r="T20" s="41" t="n">
        <v>65.87759</v>
      </c>
      <c r="U20" s="41" t="n">
        <v>67.5186</v>
      </c>
      <c r="V20" s="41" t="n">
        <v>89.558235</v>
      </c>
      <c r="W20" s="41" t="n">
        <v>115.09319</v>
      </c>
      <c r="X20" s="41" t="n">
        <v>31.149195</v>
      </c>
      <c r="Y20" s="41" t="n">
        <v>50.574547</v>
      </c>
      <c r="Z20" s="41" t="n">
        <v>423.92</v>
      </c>
      <c r="AA20" s="41" t="n">
        <v>143.59</v>
      </c>
      <c r="AB20" s="41" t="n">
        <v>658.76</v>
      </c>
      <c r="AC20" s="41" t="n">
        <v>215.84</v>
      </c>
      <c r="AD20" s="41" t="n">
        <v>161.94</v>
      </c>
      <c r="AE20" s="41" t="n">
        <v>6.7551637</v>
      </c>
      <c r="AF20" s="41" t="n">
        <v>6.2186775</v>
      </c>
    </row>
    <row r="21" customFormat="false" ht="10.5" hidden="false" customHeight="true" outlineLevel="0" collapsed="false">
      <c r="A21" s="31"/>
      <c r="B21" s="31"/>
      <c r="C21" s="31"/>
      <c r="D21" s="31"/>
      <c r="E21" s="42" t="s">
        <v>123</v>
      </c>
      <c r="K21" s="43" t="n">
        <f aca="false">+K145</f>
        <v>0</v>
      </c>
      <c r="L21" s="43" t="n">
        <f aca="false">+L145</f>
        <v>209.581</v>
      </c>
      <c r="M21" s="43" t="n">
        <f aca="false">+M145</f>
        <v>27.2510580480481</v>
      </c>
      <c r="N21" s="43" t="n">
        <f aca="false">+N145</f>
        <v>222.470123274063</v>
      </c>
      <c r="O21" s="43" t="n">
        <f aca="false">+O145</f>
        <v>271.282625</v>
      </c>
      <c r="P21" s="43" t="n">
        <f aca="false">+P145</f>
        <v>74.93554</v>
      </c>
      <c r="Q21" s="43" t="n">
        <f aca="false">+Q145</f>
        <v>44.04206</v>
      </c>
      <c r="R21" s="43" t="n">
        <f aca="false">+R145</f>
        <v>70.091729</v>
      </c>
      <c r="S21" s="43" t="n">
        <f aca="false">+S145</f>
        <v>48.509518</v>
      </c>
      <c r="T21" s="43" t="n">
        <f aca="false">+T145</f>
        <v>21.1472160433909</v>
      </c>
      <c r="U21" s="43" t="n">
        <f aca="false">+U145</f>
        <v>51.142998</v>
      </c>
      <c r="V21" s="43" t="n">
        <f aca="false">+V145</f>
        <v>176.223330604535</v>
      </c>
      <c r="W21" s="43" t="n">
        <f aca="false">+W145</f>
        <v>198.512217</v>
      </c>
      <c r="X21" s="43" t="n">
        <f aca="false">+X145</f>
        <v>449.599651055617</v>
      </c>
      <c r="Y21" s="43" t="n">
        <f aca="false">+Y145</f>
        <v>155.154696</v>
      </c>
      <c r="Z21" s="43" t="n">
        <f aca="false">+Z145</f>
        <v>98.8122103111908</v>
      </c>
      <c r="AA21" s="43" t="n">
        <f aca="false">+AA145</f>
        <v>112.10142189282</v>
      </c>
      <c r="AB21" s="43" t="n">
        <f aca="false">+AB145</f>
        <v>371.534035347258</v>
      </c>
      <c r="AC21" s="43" t="n">
        <f aca="false">+AC145</f>
        <v>707.700583280949</v>
      </c>
      <c r="AD21" s="43" t="n">
        <f aca="false">+AD145</f>
        <v>284.126549195752</v>
      </c>
      <c r="AE21" s="43" t="n">
        <f aca="false">+AE145</f>
        <v>4232.37919728642</v>
      </c>
      <c r="AF21" s="43" t="n">
        <f aca="false">+AF145</f>
        <v>126.613524279355</v>
      </c>
    </row>
    <row r="22" customFormat="false" ht="10.5" hidden="false" customHeight="true" outlineLevel="0" collapsed="false">
      <c r="A22" s="31"/>
      <c r="B22" s="31"/>
      <c r="C22" s="31"/>
      <c r="D22" s="31"/>
      <c r="E22" s="44" t="s">
        <v>124</v>
      </c>
      <c r="F22" s="45"/>
      <c r="G22" s="33" t="s">
        <v>125</v>
      </c>
      <c r="H22" s="46"/>
      <c r="I22" s="46"/>
      <c r="J22" s="46"/>
      <c r="K22" s="47" t="n">
        <f aca="false">+K20*K21</f>
        <v>0</v>
      </c>
      <c r="L22" s="47" t="n">
        <f aca="false">+L20*L21</f>
        <v>9969.76817</v>
      </c>
      <c r="M22" s="47" t="n">
        <f aca="false">+M20*M21</f>
        <v>10282.64173327</v>
      </c>
      <c r="N22" s="47" t="n">
        <f aca="false">+N20*N21</f>
        <v>3027.81837776</v>
      </c>
      <c r="O22" s="47" t="n">
        <f aca="false">+O20*O21</f>
        <v>1945.09642125</v>
      </c>
      <c r="P22" s="47" t="n">
        <f aca="false">+P20*P21</f>
        <v>7375.7972950224</v>
      </c>
      <c r="Q22" s="47" t="n">
        <f aca="false">+Q20*Q21</f>
        <v>3895.05838195884</v>
      </c>
      <c r="R22" s="47" t="n">
        <f aca="false">+R20*R21</f>
        <v>46858.742505737</v>
      </c>
      <c r="S22" s="47" t="n">
        <f aca="false">+S20*S21</f>
        <v>49234.6945461049</v>
      </c>
      <c r="T22" s="47" t="n">
        <f aca="false">+T20*T21</f>
        <v>1393.12762814793</v>
      </c>
      <c r="U22" s="47" t="n">
        <f aca="false">+U20*U21</f>
        <v>3453.1036247628</v>
      </c>
      <c r="V22" s="47" t="n">
        <f aca="false">+V20*V21</f>
        <v>15782.2504547636</v>
      </c>
      <c r="W22" s="47" t="n">
        <f aca="false">+W20*W21</f>
        <v>22847.4043085022</v>
      </c>
      <c r="X22" s="47" t="n">
        <f aca="false">+X20*X21</f>
        <v>14004.6672026634</v>
      </c>
      <c r="Y22" s="47" t="n">
        <f aca="false">+Y20*Y21</f>
        <v>7846.87846512271</v>
      </c>
      <c r="Z22" s="47" t="n">
        <f aca="false">+Z20*Z21</f>
        <v>41888.47219512</v>
      </c>
      <c r="AA22" s="47" t="n">
        <f aca="false">+AA20*AA21</f>
        <v>16096.64316959</v>
      </c>
      <c r="AB22" s="47" t="n">
        <f aca="false">+AB20*AB21</f>
        <v>244751.76112536</v>
      </c>
      <c r="AC22" s="47" t="n">
        <f aca="false">+AC20*AC21</f>
        <v>152750.09389536</v>
      </c>
      <c r="AD22" s="47" t="n">
        <f aca="false">+AD20*AD21</f>
        <v>46011.45337676</v>
      </c>
      <c r="AE22" s="47" t="n">
        <f aca="false">+AE20*AE21</f>
        <v>28590.4143181443</v>
      </c>
      <c r="AF22" s="47" t="n">
        <f aca="false">+AF20*AF21</f>
        <v>787.368674631728</v>
      </c>
    </row>
    <row r="23" customFormat="false" ht="10.5" hidden="false" customHeight="true" outlineLevel="0" collapsed="false">
      <c r="A23" s="31"/>
      <c r="B23" s="31"/>
      <c r="C23" s="31"/>
      <c r="D23" s="31"/>
      <c r="E23" s="42" t="s">
        <v>126</v>
      </c>
      <c r="K23" s="48" t="n">
        <f aca="false">+K65</f>
        <v>0</v>
      </c>
      <c r="L23" s="48" t="n">
        <f aca="false">+L65</f>
        <v>1661.8144</v>
      </c>
      <c r="M23" s="48" t="n">
        <f aca="false">+M65</f>
        <v>1249.204</v>
      </c>
      <c r="N23" s="48" t="n">
        <f aca="false">+N65</f>
        <v>793.7</v>
      </c>
      <c r="O23" s="48" t="n">
        <f aca="false">+O65</f>
        <v>176.696</v>
      </c>
      <c r="P23" s="48" t="n">
        <f aca="false">+P65</f>
        <v>257.06044815255</v>
      </c>
      <c r="Q23" s="48" t="n">
        <f aca="false">+Q65</f>
        <v>1237.12198024475</v>
      </c>
      <c r="R23" s="48" t="n">
        <f aca="false">+R65</f>
        <v>5010.5790798395</v>
      </c>
      <c r="S23" s="48" t="n">
        <f aca="false">+S65</f>
        <v>622.456135647883</v>
      </c>
      <c r="T23" s="48" t="n">
        <f aca="false">+T65</f>
        <v>20.1069999775881</v>
      </c>
      <c r="U23" s="48" t="n">
        <f aca="false">+U65</f>
        <v>108.1883088</v>
      </c>
      <c r="V23" s="48" t="n">
        <f aca="false">+V65</f>
        <v>4692.80369264102</v>
      </c>
      <c r="W23" s="48" t="n">
        <f aca="false">+W65</f>
        <v>5800.19626032817</v>
      </c>
      <c r="X23" s="48" t="n">
        <f aca="false">+X65</f>
        <v>3132.6217775568</v>
      </c>
      <c r="Y23" s="48" t="n">
        <f aca="false">+Y65</f>
        <v>2056.26165099917</v>
      </c>
      <c r="Z23" s="48" t="n">
        <f aca="false">+Z65</f>
        <v>5132.61</v>
      </c>
      <c r="AA23" s="48" t="n">
        <f aca="false">+AA65</f>
        <v>3308.85534</v>
      </c>
      <c r="AB23" s="48" t="n">
        <f aca="false">+AB65</f>
        <v>42807.33</v>
      </c>
      <c r="AC23" s="48" t="n">
        <f aca="false">+AC65</f>
        <v>26737.33</v>
      </c>
      <c r="AD23" s="48" t="n">
        <f aca="false">+AD65</f>
        <v>3740.44</v>
      </c>
      <c r="AE23" s="48" t="n">
        <f aca="false">+AE65</f>
        <v>99.59072811765</v>
      </c>
      <c r="AF23" s="48" t="n">
        <f aca="false">+AF65</f>
        <v>71.1910149071</v>
      </c>
    </row>
    <row r="24" customFormat="false" ht="10.5" hidden="false" customHeight="true" outlineLevel="0" collapsed="false">
      <c r="A24" s="31"/>
      <c r="B24" s="31"/>
      <c r="C24" s="31"/>
      <c r="D24" s="31"/>
      <c r="E24" s="42" t="s">
        <v>127</v>
      </c>
      <c r="K24" s="48" t="n">
        <f aca="false">K75</f>
        <v>0</v>
      </c>
      <c r="L24" s="48" t="n">
        <f aca="false">L75</f>
        <v>0</v>
      </c>
      <c r="M24" s="48" t="n">
        <f aca="false">M75</f>
        <v>0</v>
      </c>
      <c r="N24" s="48" t="n">
        <f aca="false">N75</f>
        <v>0</v>
      </c>
      <c r="O24" s="48" t="n">
        <f aca="false">O75</f>
        <v>0</v>
      </c>
      <c r="P24" s="48" t="n">
        <f aca="false">P75</f>
        <v>0</v>
      </c>
      <c r="Q24" s="48" t="n">
        <f aca="false">Q75</f>
        <v>-0.95732328375</v>
      </c>
      <c r="R24" s="48" t="n">
        <f aca="false">R75</f>
        <v>39.5281872</v>
      </c>
      <c r="S24" s="48" t="n">
        <f aca="false">S75</f>
        <v>0</v>
      </c>
      <c r="T24" s="48" t="n">
        <f aca="false">T75</f>
        <v>-0.2617028194305</v>
      </c>
      <c r="U24" s="48" t="n">
        <f aca="false">U75</f>
        <v>18.7248996</v>
      </c>
      <c r="V24" s="48" t="n">
        <f aca="false">V75</f>
        <v>36.23292</v>
      </c>
      <c r="W24" s="48" t="n">
        <f aca="false">W75</f>
        <v>143.2896786</v>
      </c>
      <c r="X24" s="48" t="n">
        <f aca="false">X75</f>
        <v>52.4124</v>
      </c>
      <c r="Y24" s="48" t="n">
        <f aca="false">Y75</f>
        <v>54.736893252</v>
      </c>
      <c r="Z24" s="48" t="n">
        <f aca="false">Z75</f>
        <v>0</v>
      </c>
      <c r="AA24" s="48" t="n">
        <f aca="false">AA75</f>
        <v>0</v>
      </c>
      <c r="AB24" s="48" t="n">
        <f aca="false">AB75</f>
        <v>128</v>
      </c>
      <c r="AC24" s="48" t="n">
        <f aca="false">AC75</f>
        <v>11</v>
      </c>
      <c r="AD24" s="48" t="n">
        <f aca="false">AD75</f>
        <v>0</v>
      </c>
      <c r="AE24" s="48" t="n">
        <f aca="false">AE75</f>
        <v>950.6021528916</v>
      </c>
      <c r="AF24" s="48" t="n">
        <f aca="false">AF75</f>
        <v>0</v>
      </c>
    </row>
    <row r="25" customFormat="false" ht="10.5" hidden="false" customHeight="true" outlineLevel="0" collapsed="false">
      <c r="A25" s="31"/>
      <c r="B25" s="31"/>
      <c r="C25" s="31"/>
      <c r="D25" s="31"/>
      <c r="E25" s="42" t="s">
        <v>128</v>
      </c>
      <c r="K25" s="48" t="n">
        <f aca="false">+K79</f>
        <v>0</v>
      </c>
      <c r="L25" s="48" t="n">
        <f aca="false">+L79</f>
        <v>0</v>
      </c>
      <c r="M25" s="48" t="n">
        <f aca="false">+M79</f>
        <v>0</v>
      </c>
      <c r="N25" s="48" t="n">
        <f aca="false">+N79</f>
        <v>0</v>
      </c>
      <c r="O25" s="48" t="n">
        <f aca="false">+O79</f>
        <v>0</v>
      </c>
      <c r="P25" s="48" t="n">
        <f aca="false">+P79</f>
        <v>0</v>
      </c>
      <c r="Q25" s="48" t="n">
        <f aca="false">+Q79</f>
        <v>0</v>
      </c>
      <c r="R25" s="48" t="n">
        <f aca="false">+R79</f>
        <v>0</v>
      </c>
      <c r="S25" s="48" t="n">
        <f aca="false">+S79</f>
        <v>0</v>
      </c>
      <c r="T25" s="48" t="n">
        <f aca="false">+T79</f>
        <v>0</v>
      </c>
      <c r="U25" s="48" t="n">
        <f aca="false">+U79</f>
        <v>0</v>
      </c>
      <c r="V25" s="48" t="n">
        <f aca="false">+V79</f>
        <v>1139.4</v>
      </c>
      <c r="W25" s="48" t="n">
        <f aca="false">+W79</f>
        <v>0</v>
      </c>
      <c r="X25" s="48" t="n">
        <f aca="false">+X79</f>
        <v>0</v>
      </c>
      <c r="Y25" s="48" t="n">
        <f aca="false">+Y79</f>
        <v>0</v>
      </c>
      <c r="Z25" s="48" t="n">
        <f aca="false">+Z79</f>
        <v>0</v>
      </c>
      <c r="AA25" s="48" t="n">
        <f aca="false">+AA79</f>
        <v>0</v>
      </c>
      <c r="AB25" s="48" t="n">
        <f aca="false">+AB79</f>
        <v>0</v>
      </c>
      <c r="AC25" s="48" t="n">
        <f aca="false">+AC79</f>
        <v>0</v>
      </c>
      <c r="AD25" s="48" t="n">
        <f aca="false">+AD79</f>
        <v>0</v>
      </c>
      <c r="AE25" s="48" t="n">
        <f aca="false">+AE79</f>
        <v>0</v>
      </c>
      <c r="AF25" s="48" t="n">
        <f aca="false">+AF79</f>
        <v>0</v>
      </c>
    </row>
    <row r="26" customFormat="false" ht="10.5" hidden="false" customHeight="true" outlineLevel="0" collapsed="false">
      <c r="A26" s="31"/>
      <c r="B26" s="31"/>
      <c r="C26" s="31"/>
      <c r="D26" s="31"/>
      <c r="E26" s="42" t="s">
        <v>129</v>
      </c>
      <c r="K26" s="48" t="n">
        <f aca="false">-K50</f>
        <v>-0</v>
      </c>
      <c r="L26" s="48" t="n">
        <f aca="false">-L50</f>
        <v>-810.5</v>
      </c>
      <c r="M26" s="48" t="n">
        <f aca="false">-M50</f>
        <v>-6947.6</v>
      </c>
      <c r="N26" s="48" t="n">
        <f aca="false">-N50</f>
        <v>-185.5</v>
      </c>
      <c r="O26" s="48" t="n">
        <f aca="false">-O50</f>
        <v>-70.091</v>
      </c>
      <c r="P26" s="48" t="n">
        <f aca="false">-P50</f>
        <v>-63.7070852079</v>
      </c>
      <c r="Q26" s="48" t="n">
        <f aca="false">-Q50</f>
        <v>-129.899505186</v>
      </c>
      <c r="R26" s="48" t="n">
        <f aca="false">-R50</f>
        <v>-3245.01711795</v>
      </c>
      <c r="S26" s="48" t="n">
        <f aca="false">-S50</f>
        <v>-3379.63717928854</v>
      </c>
      <c r="T26" s="48" t="n">
        <f aca="false">-T50</f>
        <v>-86.8301167730809</v>
      </c>
      <c r="U26" s="48" t="n">
        <f aca="false">-U50</f>
        <v>-167.8609656</v>
      </c>
      <c r="V26" s="48" t="n">
        <f aca="false">-V50</f>
        <v>-710.30196</v>
      </c>
      <c r="W26" s="48" t="n">
        <f aca="false">-W50</f>
        <v>-1613.2441401</v>
      </c>
      <c r="X26" s="48" t="n">
        <f aca="false">-X50</f>
        <v>-1073.42874</v>
      </c>
      <c r="Y26" s="48" t="n">
        <f aca="false">-Y50</f>
        <v>-579.893753148</v>
      </c>
      <c r="Z26" s="48" t="n">
        <f aca="false">-Z50</f>
        <v>-539</v>
      </c>
      <c r="AA26" s="48" t="n">
        <f aca="false">-AA50</f>
        <v>-1022.943</v>
      </c>
      <c r="AB26" s="48" t="n">
        <f aca="false">-AB50</f>
        <v>-4242</v>
      </c>
      <c r="AC26" s="48" t="n">
        <f aca="false">-AC50</f>
        <v>-4348</v>
      </c>
      <c r="AD26" s="48" t="n">
        <f aca="false">-AD50</f>
        <v>-1758</v>
      </c>
      <c r="AE26" s="48" t="n">
        <f aca="false">-AE50</f>
        <v>-2098.45944888195</v>
      </c>
      <c r="AF26" s="48" t="n">
        <f aca="false">-AF50</f>
        <v>-99.53520615194</v>
      </c>
    </row>
    <row r="27" customFormat="false" ht="10.5" hidden="false" customHeight="true" outlineLevel="0" collapsed="false">
      <c r="A27" s="31"/>
      <c r="B27" s="31"/>
      <c r="C27" s="31"/>
      <c r="D27" s="31"/>
      <c r="E27" s="44" t="s">
        <v>130</v>
      </c>
      <c r="F27" s="45"/>
      <c r="G27" s="33" t="s">
        <v>131</v>
      </c>
      <c r="H27" s="46"/>
      <c r="I27" s="46"/>
      <c r="J27" s="46"/>
      <c r="K27" s="47" t="n">
        <f aca="false">SUM(K22:K26)</f>
        <v>0</v>
      </c>
      <c r="L27" s="47" t="n">
        <f aca="false">SUM(L22:L26)</f>
        <v>10821.08257</v>
      </c>
      <c r="M27" s="47" t="n">
        <f aca="false">SUM(M22:M26)</f>
        <v>4584.24573327</v>
      </c>
      <c r="N27" s="47" t="n">
        <f aca="false">SUM(N22:N26)</f>
        <v>3636.01837776</v>
      </c>
      <c r="O27" s="47" t="n">
        <f aca="false">SUM(O22:O26)</f>
        <v>2051.70142125</v>
      </c>
      <c r="P27" s="47" t="n">
        <f aca="false">SUM(P22:P26)</f>
        <v>7569.15065796705</v>
      </c>
      <c r="Q27" s="47" t="n">
        <f aca="false">SUM(Q22:Q26)</f>
        <v>5001.32353373384</v>
      </c>
      <c r="R27" s="47" t="n">
        <f aca="false">SUM(R22:R26)</f>
        <v>48663.8326548264</v>
      </c>
      <c r="S27" s="47" t="n">
        <f aca="false">SUM(S22:S26)</f>
        <v>46477.5135024642</v>
      </c>
      <c r="T27" s="47" t="n">
        <f aca="false">SUM(T22:T26)</f>
        <v>1326.14280853301</v>
      </c>
      <c r="U27" s="47" t="n">
        <f aca="false">SUM(U22:U26)</f>
        <v>3412.1558675628</v>
      </c>
      <c r="V27" s="47" t="n">
        <f aca="false">SUM(V22:V26)</f>
        <v>20940.3851074047</v>
      </c>
      <c r="W27" s="47" t="n">
        <f aca="false">SUM(W22:W26)</f>
        <v>27177.6461073304</v>
      </c>
      <c r="X27" s="47" t="n">
        <f aca="false">SUM(X22:X26)</f>
        <v>16116.2726402202</v>
      </c>
      <c r="Y27" s="47" t="n">
        <f aca="false">SUM(Y22:Y26)</f>
        <v>9377.98325622589</v>
      </c>
      <c r="Z27" s="47" t="n">
        <f aca="false">SUM(Z22:Z26)</f>
        <v>46482.08219512</v>
      </c>
      <c r="AA27" s="47" t="n">
        <f aca="false">SUM(AA22:AA26)</f>
        <v>18382.55550959</v>
      </c>
      <c r="AB27" s="47" t="n">
        <f aca="false">SUM(AB22:AB26)</f>
        <v>283445.09112536</v>
      </c>
      <c r="AC27" s="47" t="n">
        <f aca="false">SUM(AC22:AC26)</f>
        <v>175150.42389536</v>
      </c>
      <c r="AD27" s="47" t="n">
        <f aca="false">SUM(AD22:AD26)</f>
        <v>47993.89337676</v>
      </c>
      <c r="AE27" s="47" t="n">
        <f aca="false">SUM(AE22:AE26)</f>
        <v>27542.1477502716</v>
      </c>
      <c r="AF27" s="47" t="n">
        <f aca="false">SUM(AF22:AF26)</f>
        <v>759.024483386888</v>
      </c>
    </row>
    <row r="28" customFormat="false" ht="10.5" hidden="false" customHeight="true" outlineLevel="0" collapsed="false">
      <c r="A28" s="49"/>
      <c r="B28" s="49"/>
      <c r="C28" s="49"/>
      <c r="D28" s="49"/>
      <c r="E28" s="50" t="str">
        <f aca="false">+"Check: FactSet EV - "&amp;F4</f>
        <v>Check: FactSet EV - USD</v>
      </c>
      <c r="K28" s="51"/>
      <c r="L28" s="51" t="n">
        <v>10604.9658445211</v>
      </c>
      <c r="M28" s="51" t="n">
        <v>9868.02662</v>
      </c>
      <c r="N28" s="51" t="n">
        <v>3586.675</v>
      </c>
      <c r="O28" s="51" t="n">
        <v>1318.21232</v>
      </c>
      <c r="P28" s="51" t="n">
        <v>7569.84552497474</v>
      </c>
      <c r="Q28" s="51" t="n">
        <v>4900.24458469033</v>
      </c>
      <c r="R28" s="51" t="n">
        <v>51359.6083505158</v>
      </c>
      <c r="S28" s="51" t="n">
        <v>46319.3218821708</v>
      </c>
      <c r="T28" s="51" t="n">
        <v>1304.94734467887</v>
      </c>
      <c r="U28" s="51" t="n">
        <v>3448.68666765246</v>
      </c>
      <c r="V28" s="51" t="n">
        <v>22037.5539429199</v>
      </c>
      <c r="W28" s="51" t="n">
        <v>27556.7157710059</v>
      </c>
      <c r="X28" s="51" t="n">
        <v>16397.3653594997</v>
      </c>
      <c r="Y28" s="51" t="n">
        <v>9875.46312204976</v>
      </c>
      <c r="Z28" s="51" t="n">
        <v>26213.82052</v>
      </c>
      <c r="AA28" s="51" t="n">
        <v>18346.66811</v>
      </c>
      <c r="AB28" s="51" t="n">
        <v>283001.96</v>
      </c>
      <c r="AC28" s="51" t="n">
        <v>176249.384</v>
      </c>
      <c r="AD28" s="51" t="n">
        <v>48020.02</v>
      </c>
      <c r="AE28" s="51" t="n">
        <v>27673.2850311907</v>
      </c>
      <c r="AF28" s="51" t="n">
        <v>863.140232843553</v>
      </c>
    </row>
    <row r="29" customFormat="false" ht="10.5" hidden="false" customHeight="true" outlineLevel="0" collapsed="false">
      <c r="A29" s="31"/>
      <c r="B29" s="31"/>
      <c r="C29" s="31"/>
      <c r="D29" s="31"/>
      <c r="E29" s="42" t="s">
        <v>132</v>
      </c>
      <c r="K29" s="48" t="n">
        <f aca="false">+K23+K26</f>
        <v>0</v>
      </c>
      <c r="L29" s="48" t="n">
        <f aca="false">+L23+L26</f>
        <v>851.3144</v>
      </c>
      <c r="M29" s="48" t="n">
        <f aca="false">+M23+M26</f>
        <v>-5698.396</v>
      </c>
      <c r="N29" s="48" t="n">
        <f aca="false">+N23+N26</f>
        <v>608.2</v>
      </c>
      <c r="O29" s="48" t="n">
        <f aca="false">+O23+O26</f>
        <v>106.605</v>
      </c>
      <c r="P29" s="48" t="n">
        <f aca="false">+P23+P26</f>
        <v>193.35336294465</v>
      </c>
      <c r="Q29" s="48" t="n">
        <f aca="false">+Q23+Q26</f>
        <v>1107.22247505875</v>
      </c>
      <c r="R29" s="48" t="n">
        <f aca="false">+R23+R26</f>
        <v>1765.5619618895</v>
      </c>
      <c r="S29" s="48" t="n">
        <f aca="false">+S23+S26</f>
        <v>-2757.18104364066</v>
      </c>
      <c r="T29" s="48" t="n">
        <f aca="false">+T23+T26</f>
        <v>-66.7231167954928</v>
      </c>
      <c r="U29" s="48" t="n">
        <f aca="false">+U23+U26</f>
        <v>-59.6726568</v>
      </c>
      <c r="V29" s="48" t="n">
        <f aca="false">+V23+V26</f>
        <v>3982.50173264102</v>
      </c>
      <c r="W29" s="48" t="n">
        <f aca="false">+W23+W26</f>
        <v>4186.95212022818</v>
      </c>
      <c r="X29" s="48" t="n">
        <f aca="false">+X23+X26</f>
        <v>2059.1930375568</v>
      </c>
      <c r="Y29" s="48" t="n">
        <f aca="false">+Y23+Y26</f>
        <v>1476.36789785117</v>
      </c>
      <c r="Z29" s="48" t="n">
        <f aca="false">+Z23+Z26</f>
        <v>4593.61</v>
      </c>
      <c r="AA29" s="48" t="n">
        <f aca="false">+AA23+AA26</f>
        <v>2285.91234</v>
      </c>
      <c r="AB29" s="48" t="n">
        <f aca="false">+AB23+AB26</f>
        <v>38565.33</v>
      </c>
      <c r="AC29" s="48" t="n">
        <f aca="false">+AC23+AC26</f>
        <v>22389.33</v>
      </c>
      <c r="AD29" s="48" t="n">
        <f aca="false">+AD23+AD26</f>
        <v>1982.44</v>
      </c>
      <c r="AE29" s="48" t="n">
        <f aca="false">+AE23+AE26</f>
        <v>-1998.8687207643</v>
      </c>
      <c r="AF29" s="48" t="n">
        <f aca="false">+AF23+AF26</f>
        <v>-28.34419124484</v>
      </c>
    </row>
    <row r="30" customFormat="false" ht="10.5" hidden="false" customHeight="true" outlineLevel="0" collapsed="false">
      <c r="A30" s="31"/>
      <c r="B30" s="31"/>
      <c r="C30" s="31"/>
      <c r="D30" s="31"/>
      <c r="AE30" s="3"/>
      <c r="AF30" s="3"/>
    </row>
    <row r="31" customFormat="false" ht="10.5" hidden="false" customHeight="true" outlineLevel="0" collapsed="false">
      <c r="A31" s="28" t="s">
        <v>28</v>
      </c>
      <c r="B31" s="28" t="s">
        <v>28</v>
      </c>
      <c r="C31" s="28"/>
      <c r="D31" s="28"/>
      <c r="E31" s="29" t="str">
        <f aca="false">+"MARKET DATA - "&amp;F4</f>
        <v>MARKET DATA - USD</v>
      </c>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row>
    <row r="32" customFormat="false" ht="10.5" hidden="false" customHeight="true" outlineLevel="0" collapsed="false">
      <c r="A32" s="52"/>
      <c r="B32" s="52"/>
      <c r="C32" s="52"/>
      <c r="D32" s="52"/>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row>
    <row r="33" customFormat="false" ht="10.5" hidden="false" customHeight="true" outlineLevel="0" collapsed="false">
      <c r="A33" s="31"/>
      <c r="B33" s="31"/>
      <c r="C33" s="31"/>
      <c r="D33" s="31"/>
      <c r="E33" s="44" t="s">
        <v>133</v>
      </c>
      <c r="F33" s="54"/>
      <c r="G33" s="55"/>
      <c r="H33" s="55"/>
      <c r="I33" s="55"/>
      <c r="J33" s="55"/>
      <c r="K33" s="56"/>
      <c r="L33" s="56" t="n">
        <v>54.515812</v>
      </c>
      <c r="M33" s="56" t="n">
        <v>390.34</v>
      </c>
      <c r="N33" s="56" t="n">
        <v>13.61</v>
      </c>
      <c r="O33" s="56" t="n">
        <v>9</v>
      </c>
      <c r="P33" s="56" t="n">
        <v>105.38852</v>
      </c>
      <c r="Q33" s="56" t="n">
        <v>130.24225</v>
      </c>
      <c r="R33" s="56" t="n">
        <v>739.6612</v>
      </c>
      <c r="S33" s="56" t="n">
        <v>1336.8712</v>
      </c>
      <c r="T33" s="56" t="n">
        <v>114.48543</v>
      </c>
      <c r="U33" s="56" t="n">
        <v>100.705185</v>
      </c>
      <c r="V33" s="56" t="n">
        <v>89.558235</v>
      </c>
      <c r="W33" s="56" t="n">
        <v>126.485</v>
      </c>
      <c r="X33" s="56" t="n">
        <v>34.736195</v>
      </c>
      <c r="Y33" s="56" t="n">
        <v>67.77288</v>
      </c>
      <c r="Z33" s="56" t="n">
        <v>429.72</v>
      </c>
      <c r="AA33" s="56" t="n">
        <v>146.73</v>
      </c>
      <c r="AB33" s="56" t="n">
        <v>658.76</v>
      </c>
      <c r="AC33" s="56" t="n">
        <v>242.05</v>
      </c>
      <c r="AD33" s="56" t="n">
        <v>161.94</v>
      </c>
      <c r="AE33" s="56" t="n">
        <v>6.7551637</v>
      </c>
      <c r="AF33" s="56" t="n">
        <v>12.220962</v>
      </c>
    </row>
    <row r="34" customFormat="false" ht="10.5" hidden="false" customHeight="true" outlineLevel="0" collapsed="false">
      <c r="A34" s="31"/>
      <c r="B34" s="31"/>
      <c r="C34" s="31"/>
      <c r="D34" s="31"/>
      <c r="E34" s="50" t="s">
        <v>134</v>
      </c>
      <c r="F34" s="57"/>
      <c r="G34" s="58"/>
      <c r="H34" s="58"/>
      <c r="I34" s="58"/>
      <c r="J34" s="58"/>
      <c r="K34" s="59" t="n">
        <f aca="false">IFERROR(MIN(K20/K33,1),0)</f>
        <v>0</v>
      </c>
      <c r="L34" s="59" t="n">
        <f aca="false">MIN(L20/L33,1)</f>
        <v>0.872590873268108</v>
      </c>
      <c r="M34" s="59" t="n">
        <f aca="false">MIN(M20/M33,1)</f>
        <v>0.966670082492186</v>
      </c>
      <c r="N34" s="59" t="n">
        <f aca="false">MIN(N20/N33,1)</f>
        <v>1</v>
      </c>
      <c r="O34" s="59" t="n">
        <f aca="false">MIN(O20/O33,1)</f>
        <v>0.796666666666667</v>
      </c>
      <c r="P34" s="59" t="n">
        <f aca="false">MIN(P20/P33,1)</f>
        <v>0.933959030831821</v>
      </c>
      <c r="Q34" s="59" t="n">
        <f aca="false">MIN(Q20/Q33,1)</f>
        <v>0.679038591547674</v>
      </c>
      <c r="R34" s="59" t="n">
        <f aca="false">MIN(R20/R33,1)</f>
        <v>0.903838879205777</v>
      </c>
      <c r="S34" s="59" t="n">
        <f aca="false">MIN(S20/S33,1)</f>
        <v>0.759197415577507</v>
      </c>
      <c r="T34" s="59" t="n">
        <f aca="false">MIN(T20/T33,1)</f>
        <v>0.575423352997844</v>
      </c>
      <c r="U34" s="59" t="n">
        <f aca="false">MIN(U20/U33,1)</f>
        <v>0.670458030537355</v>
      </c>
      <c r="V34" s="59" t="n">
        <f aca="false">MIN(V20/V33,1)</f>
        <v>1</v>
      </c>
      <c r="W34" s="59" t="n">
        <f aca="false">MIN(W20/W33,1)</f>
        <v>0.909935486421315</v>
      </c>
      <c r="X34" s="59" t="n">
        <f aca="false">MIN(X20/X33,1)</f>
        <v>0.896735955103891</v>
      </c>
      <c r="Y34" s="59" t="n">
        <f aca="false">MIN(Y20/Y33,1)</f>
        <v>0.746235765692708</v>
      </c>
      <c r="Z34" s="59" t="n">
        <f aca="false">MIN(Z20/Z33,1)</f>
        <v>0.986502839057991</v>
      </c>
      <c r="AA34" s="59" t="n">
        <f aca="false">MIN(AA20/AA33,1)</f>
        <v>0.978600149935255</v>
      </c>
      <c r="AB34" s="59" t="n">
        <f aca="false">MIN(AB20/AB33,1)</f>
        <v>1</v>
      </c>
      <c r="AC34" s="59" t="n">
        <f aca="false">MIN(AC20/AC33,1)</f>
        <v>0.891716587481925</v>
      </c>
      <c r="AD34" s="59" t="n">
        <f aca="false">MIN(AD20/AD33,1)</f>
        <v>1</v>
      </c>
      <c r="AE34" s="59" t="n">
        <f aca="false">MIN(AE20/AE33,1)</f>
        <v>1</v>
      </c>
      <c r="AF34" s="59" t="n">
        <f aca="false">MIN(AF20/AF33,1)</f>
        <v>0.50885335377035</v>
      </c>
    </row>
    <row r="35" customFormat="false" ht="10.5" hidden="false" customHeight="true" outlineLevel="0" collapsed="false">
      <c r="A35" s="31"/>
      <c r="B35" s="31"/>
      <c r="C35" s="31"/>
      <c r="D35" s="31"/>
      <c r="E35" s="2" t="s">
        <v>135</v>
      </c>
      <c r="K35" s="60"/>
      <c r="L35" s="60" t="n">
        <v>39.81053</v>
      </c>
      <c r="M35" s="60" t="n">
        <v>241.71</v>
      </c>
      <c r="N35" s="60" t="n">
        <v>5.36</v>
      </c>
      <c r="O35" s="60" t="n">
        <v>2.69</v>
      </c>
      <c r="P35" s="60" t="n">
        <v>60.555595</v>
      </c>
      <c r="Q35" s="60" t="n">
        <v>83.51511</v>
      </c>
      <c r="R35" s="60" t="n">
        <v>591.5457</v>
      </c>
      <c r="S35" s="60" t="n">
        <v>809.95667</v>
      </c>
      <c r="T35" s="60" t="n">
        <v>58.919685</v>
      </c>
      <c r="U35" s="60" t="n">
        <v>61.39975</v>
      </c>
      <c r="V35" s="60" t="n">
        <v>65.98295</v>
      </c>
      <c r="W35" s="60" t="n">
        <v>100.83088</v>
      </c>
      <c r="X35" s="60" t="n">
        <v>28.841074</v>
      </c>
      <c r="Y35" s="60" t="n">
        <v>47.78617</v>
      </c>
      <c r="Z35" s="60" t="n">
        <v>283.32</v>
      </c>
      <c r="AA35" s="60" t="n">
        <v>82.26</v>
      </c>
      <c r="AB35" s="60" t="n">
        <v>438.34</v>
      </c>
      <c r="AC35" s="60" t="n">
        <v>161.91</v>
      </c>
      <c r="AD35" s="60" t="n">
        <v>110.24</v>
      </c>
      <c r="AE35" s="60" t="n">
        <v>3.789667</v>
      </c>
      <c r="AF35" s="60" t="n">
        <v>5.7261195</v>
      </c>
    </row>
    <row r="36" customFormat="false" ht="10.5" hidden="false" customHeight="true" outlineLevel="0" collapsed="false">
      <c r="A36" s="31"/>
      <c r="B36" s="31"/>
      <c r="C36" s="31"/>
      <c r="D36" s="31"/>
      <c r="E36" s="2" t="s">
        <v>136</v>
      </c>
      <c r="K36" s="60"/>
      <c r="L36" s="60" t="n">
        <v>49.696228</v>
      </c>
      <c r="M36" s="60" t="n">
        <v>284.07</v>
      </c>
      <c r="N36" s="60" t="n">
        <v>5.61</v>
      </c>
      <c r="O36" s="60" t="n">
        <v>2.7</v>
      </c>
      <c r="P36" s="60" t="n">
        <v>83.00321</v>
      </c>
      <c r="Q36" s="60" t="n">
        <v>105.76621</v>
      </c>
      <c r="R36" s="60" t="n">
        <v>683.1416</v>
      </c>
      <c r="S36" s="60" t="n">
        <v>1081.02</v>
      </c>
      <c r="T36" s="60" t="n">
        <v>67.426285</v>
      </c>
      <c r="U36" s="60" t="n">
        <v>69.54857</v>
      </c>
      <c r="V36" s="60" t="n">
        <v>73.558044</v>
      </c>
      <c r="W36" s="60" t="n">
        <v>102.79822</v>
      </c>
      <c r="X36" s="60" t="n">
        <v>30.359156</v>
      </c>
      <c r="Y36" s="60" t="n">
        <v>51.842415</v>
      </c>
      <c r="Z36" s="60" t="n">
        <v>300.87</v>
      </c>
      <c r="AA36" s="60" t="n">
        <v>86.72</v>
      </c>
      <c r="AB36" s="60" t="n">
        <v>479.58</v>
      </c>
      <c r="AC36" s="60" t="n">
        <v>193.29</v>
      </c>
      <c r="AD36" s="60" t="n">
        <v>126.32</v>
      </c>
      <c r="AE36" s="60" t="n">
        <v>4.8589454</v>
      </c>
      <c r="AF36" s="60" t="n">
        <v>7.981936</v>
      </c>
    </row>
    <row r="37" customFormat="false" ht="10.5" hidden="false" customHeight="true" outlineLevel="0" collapsed="false">
      <c r="A37" s="31"/>
      <c r="B37" s="31"/>
      <c r="C37" s="31"/>
      <c r="D37" s="31"/>
      <c r="E37" s="2" t="s">
        <v>137</v>
      </c>
      <c r="K37" s="60"/>
      <c r="L37" s="60" t="n">
        <v>47.33686</v>
      </c>
      <c r="M37" s="60" t="n">
        <v>302.99</v>
      </c>
      <c r="N37" s="60" t="n">
        <v>6.99</v>
      </c>
      <c r="O37" s="60" t="n">
        <v>3.25</v>
      </c>
      <c r="P37" s="60" t="n">
        <v>75.73171</v>
      </c>
      <c r="Q37" s="60" t="n">
        <v>94.316956</v>
      </c>
      <c r="R37" s="60" t="n">
        <v>679.9418</v>
      </c>
      <c r="S37" s="60" t="n">
        <v>1176.6339</v>
      </c>
      <c r="T37" s="60" t="n">
        <v>82.74617</v>
      </c>
      <c r="U37" s="60" t="n">
        <v>74.577576</v>
      </c>
      <c r="V37" s="60" t="n">
        <v>73.28568</v>
      </c>
      <c r="W37" s="60" t="n">
        <v>114.87451</v>
      </c>
      <c r="X37" s="60" t="n">
        <v>31.921553</v>
      </c>
      <c r="Y37" s="60" t="n">
        <v>62.22201</v>
      </c>
      <c r="Z37" s="60" t="n">
        <v>379.83</v>
      </c>
      <c r="AA37" s="60" t="n">
        <v>96.75</v>
      </c>
      <c r="AB37" s="60" t="n">
        <v>579.45</v>
      </c>
      <c r="AC37" s="60" t="n">
        <v>228.92</v>
      </c>
      <c r="AD37" s="60" t="n">
        <v>136.07</v>
      </c>
      <c r="AE37" s="60" t="n">
        <v>4.039314</v>
      </c>
      <c r="AF37" s="60" t="n">
        <v>8.298959</v>
      </c>
    </row>
    <row r="38" customFormat="false" ht="10.5" hidden="false" customHeight="true" outlineLevel="0" collapsed="false">
      <c r="A38" s="31"/>
      <c r="B38" s="31"/>
      <c r="C38" s="31"/>
      <c r="D38" s="31"/>
      <c r="E38" s="50" t="str">
        <f aca="false">+"Local Price - Not Necessarily "&amp;F4</f>
        <v>Local Price - Not Necessarily USD</v>
      </c>
      <c r="F38" s="57"/>
      <c r="G38" s="58"/>
      <c r="H38" s="58"/>
      <c r="I38" s="58"/>
      <c r="J38" s="58"/>
      <c r="K38" s="61"/>
      <c r="L38" s="61" t="n">
        <v>47.57</v>
      </c>
      <c r="M38" s="61" t="n">
        <v>377.33</v>
      </c>
      <c r="N38" s="61" t="n">
        <v>13.61</v>
      </c>
      <c r="O38" s="61" t="n">
        <v>7.17</v>
      </c>
      <c r="P38" s="61" t="n">
        <v>80.8</v>
      </c>
      <c r="Q38" s="61" t="n">
        <v>72.6</v>
      </c>
      <c r="R38" s="61" t="n">
        <v>548.8</v>
      </c>
      <c r="S38" s="61" t="n">
        <v>1402000</v>
      </c>
      <c r="T38" s="61" t="n">
        <v>91000</v>
      </c>
      <c r="U38" s="61" t="n">
        <v>58.85</v>
      </c>
      <c r="V38" s="61" t="n">
        <v>78.06</v>
      </c>
      <c r="W38" s="61" t="n">
        <v>94.48</v>
      </c>
      <c r="X38" s="61" t="n">
        <v>27.15</v>
      </c>
      <c r="Y38" s="61" t="n">
        <v>37.7</v>
      </c>
      <c r="Z38" s="61" t="n">
        <v>423.92</v>
      </c>
      <c r="AA38" s="61" t="n">
        <v>143.59</v>
      </c>
      <c r="AB38" s="61" t="n">
        <v>658.76</v>
      </c>
      <c r="AC38" s="61" t="n">
        <v>215.84</v>
      </c>
      <c r="AD38" s="61" t="n">
        <v>161.94</v>
      </c>
      <c r="AE38" s="61" t="n">
        <v>53</v>
      </c>
      <c r="AF38" s="61" t="n">
        <v>4.65</v>
      </c>
    </row>
    <row r="39" customFormat="false" ht="10.5" hidden="false" customHeight="true" outlineLevel="0" collapsed="false">
      <c r="A39" s="31"/>
      <c r="B39" s="31"/>
      <c r="C39" s="31"/>
      <c r="D39" s="31"/>
      <c r="E39" s="44" t="s">
        <v>138</v>
      </c>
      <c r="F39" s="54"/>
      <c r="G39" s="55"/>
      <c r="H39" s="55"/>
      <c r="I39" s="55"/>
      <c r="J39" s="55"/>
      <c r="K39" s="56"/>
      <c r="L39" s="56" t="n">
        <v>66.50475</v>
      </c>
      <c r="M39" s="56" t="n">
        <v>825.77</v>
      </c>
      <c r="N39" s="56" t="n">
        <v>48.335</v>
      </c>
      <c r="O39" s="56" t="n">
        <v>60.62</v>
      </c>
      <c r="P39" s="56" t="n">
        <v>167.6</v>
      </c>
      <c r="Q39" s="56" t="n">
        <v>118.200005</v>
      </c>
      <c r="R39" s="56" t="n">
        <v>784.6</v>
      </c>
      <c r="S39" s="56" t="n">
        <v>1965000</v>
      </c>
      <c r="T39" s="56" t="n">
        <v>168700</v>
      </c>
      <c r="U39" s="56" t="n">
        <v>91.5</v>
      </c>
      <c r="V39" s="56" t="n">
        <v>126.44</v>
      </c>
      <c r="W39" s="56" t="n">
        <v>122.36</v>
      </c>
      <c r="X39" s="56" t="n">
        <v>31.3</v>
      </c>
      <c r="Y39" s="56" t="n">
        <v>64.4</v>
      </c>
      <c r="Z39" s="56" t="n">
        <v>429.72</v>
      </c>
      <c r="AA39" s="56" t="n">
        <v>201.06</v>
      </c>
      <c r="AB39" s="56" t="n">
        <v>667.24</v>
      </c>
      <c r="AC39" s="56" t="n">
        <v>332.43</v>
      </c>
      <c r="AD39" s="56" t="n">
        <v>179.28</v>
      </c>
      <c r="AE39" s="56" t="n">
        <v>145.6</v>
      </c>
      <c r="AF39" s="56" t="n">
        <v>54.096256</v>
      </c>
    </row>
    <row r="40" customFormat="false" ht="10.5" hidden="false" customHeight="true" outlineLevel="0" collapsed="false">
      <c r="A40" s="31"/>
      <c r="B40" s="31"/>
      <c r="C40" s="31"/>
      <c r="D40" s="31"/>
      <c r="AE40" s="3"/>
      <c r="AF40" s="3"/>
    </row>
    <row r="41" customFormat="false" ht="10.5" hidden="false" customHeight="true" outlineLevel="0" collapsed="false">
      <c r="A41" s="28" t="s">
        <v>28</v>
      </c>
      <c r="B41" s="28" t="s">
        <v>28</v>
      </c>
      <c r="C41" s="28"/>
      <c r="D41" s="28"/>
      <c r="E41" s="29" t="s">
        <v>139</v>
      </c>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row>
    <row r="42" customFormat="false" ht="10.5" hidden="false" customHeight="true" outlineLevel="0" collapsed="false">
      <c r="A42" s="62"/>
      <c r="B42" s="62"/>
      <c r="C42" s="62"/>
      <c r="D42" s="62"/>
      <c r="AE42" s="3"/>
      <c r="AF42" s="3"/>
    </row>
    <row r="43" customFormat="false" ht="10.5" hidden="false" customHeight="true" outlineLevel="0" collapsed="false">
      <c r="A43" s="31"/>
      <c r="B43" s="31"/>
      <c r="C43" s="31"/>
      <c r="D43" s="31"/>
      <c r="E43" s="2" t="s">
        <v>140</v>
      </c>
      <c r="K43" s="63"/>
      <c r="L43" s="64" t="n">
        <v>768.5</v>
      </c>
      <c r="M43" s="64" t="n">
        <v>517</v>
      </c>
      <c r="N43" s="64" t="n">
        <v>185.5</v>
      </c>
      <c r="O43" s="64" t="n">
        <v>70.091</v>
      </c>
      <c r="P43" s="64" t="n">
        <v>51.574</v>
      </c>
      <c r="Q43" s="64" t="n">
        <v>104.672</v>
      </c>
      <c r="R43" s="64" t="n">
        <v>487</v>
      </c>
      <c r="S43" s="64" t="n">
        <v>288575.631853</v>
      </c>
      <c r="T43" s="64" t="n">
        <v>53834.180234</v>
      </c>
      <c r="U43" s="64" t="n">
        <v>126.969</v>
      </c>
      <c r="V43" s="64" t="n">
        <v>617.8</v>
      </c>
      <c r="W43" s="64" t="n">
        <v>1300</v>
      </c>
      <c r="X43" s="64" t="n">
        <v>942.1</v>
      </c>
      <c r="Y43" s="64" t="n">
        <v>438.6</v>
      </c>
      <c r="Z43" s="64" t="n">
        <v>539</v>
      </c>
      <c r="AA43" s="64" t="n">
        <v>1022.943</v>
      </c>
      <c r="AB43" s="64" t="n">
        <v>4064</v>
      </c>
      <c r="AC43" s="64" t="n">
        <v>4348</v>
      </c>
      <c r="AD43" s="64" t="n">
        <v>1758</v>
      </c>
      <c r="AE43" s="64" t="n">
        <v>8904.44</v>
      </c>
      <c r="AF43" s="64" t="n">
        <v>75.283</v>
      </c>
    </row>
    <row r="44" customFormat="false" ht="10.5" hidden="false" customHeight="true" outlineLevel="0" collapsed="false">
      <c r="A44" s="31"/>
      <c r="B44" s="31"/>
      <c r="C44" s="31"/>
      <c r="D44" s="31"/>
      <c r="E44" s="2" t="s">
        <v>141</v>
      </c>
      <c r="K44" s="35"/>
      <c r="L44" s="36" t="n">
        <v>25</v>
      </c>
      <c r="M44" s="36" t="n">
        <v>1101.5</v>
      </c>
      <c r="N44" s="36" t="n">
        <v>0</v>
      </c>
      <c r="O44" s="36" t="n">
        <v>0</v>
      </c>
      <c r="P44" s="36" t="n">
        <v>0</v>
      </c>
      <c r="Q44" s="36" t="n">
        <v>0.488</v>
      </c>
      <c r="R44" s="36" t="n">
        <v>0</v>
      </c>
      <c r="S44" s="36" t="n">
        <v>1900000</v>
      </c>
      <c r="T44" s="36" t="n">
        <v>110830</v>
      </c>
      <c r="U44" s="36" t="n">
        <v>1.103</v>
      </c>
      <c r="V44" s="36" t="n">
        <v>0</v>
      </c>
      <c r="W44" s="36" t="n">
        <v>0</v>
      </c>
      <c r="X44" s="36" t="n">
        <v>0</v>
      </c>
      <c r="Y44" s="36" t="n">
        <v>0</v>
      </c>
      <c r="Z44" s="36" t="n">
        <v>0</v>
      </c>
      <c r="AA44" s="36" t="n">
        <v>0</v>
      </c>
      <c r="AB44" s="36" t="n">
        <v>0</v>
      </c>
      <c r="AC44" s="36" t="n">
        <v>0</v>
      </c>
      <c r="AD44" s="36" t="n">
        <v>0</v>
      </c>
      <c r="AE44" s="36" t="n">
        <v>4123.839</v>
      </c>
      <c r="AF44" s="36" t="n">
        <v>0</v>
      </c>
    </row>
    <row r="45" customFormat="false" ht="10.5" hidden="false" customHeight="true" outlineLevel="0" collapsed="false">
      <c r="A45" s="31"/>
      <c r="B45" s="31"/>
      <c r="C45" s="31"/>
      <c r="D45" s="31"/>
      <c r="E45" s="2" t="s">
        <v>142</v>
      </c>
      <c r="K45" s="35"/>
      <c r="L45" s="35"/>
      <c r="M45" s="36" t="n">
        <v>5295.2</v>
      </c>
      <c r="N45" s="35"/>
      <c r="O45" s="35"/>
      <c r="P45" s="35"/>
      <c r="Q45" s="35"/>
      <c r="R45" s="35"/>
      <c r="S45" s="36" t="n">
        <v>0.006</v>
      </c>
      <c r="T45" s="35"/>
      <c r="U45" s="35"/>
      <c r="V45" s="35"/>
      <c r="W45" s="35"/>
      <c r="X45" s="35"/>
      <c r="Y45" s="35"/>
      <c r="Z45" s="35"/>
      <c r="AA45" s="35"/>
      <c r="AB45" s="35"/>
      <c r="AC45" s="35"/>
      <c r="AD45" s="35"/>
      <c r="AE45" s="35"/>
      <c r="AF45" s="35"/>
    </row>
    <row r="46" customFormat="false" ht="10.5" hidden="false" customHeight="true" outlineLevel="0" collapsed="false">
      <c r="A46" s="31"/>
      <c r="B46" s="31"/>
      <c r="C46" s="31"/>
      <c r="D46" s="31"/>
      <c r="E46" s="2" t="s">
        <v>143</v>
      </c>
      <c r="K46" s="65" t="n">
        <v>0</v>
      </c>
      <c r="L46" s="36" t="n">
        <v>17</v>
      </c>
      <c r="M46" s="36" t="n">
        <v>33.9</v>
      </c>
      <c r="N46" s="36" t="n">
        <v>0</v>
      </c>
      <c r="O46" s="36" t="n">
        <v>0</v>
      </c>
      <c r="P46" s="36" t="n">
        <v>0</v>
      </c>
      <c r="Q46" s="36" t="n">
        <v>0</v>
      </c>
      <c r="R46" s="36" t="n">
        <v>33</v>
      </c>
      <c r="S46" s="36" t="n">
        <v>51938.44687</v>
      </c>
      <c r="T46" s="36" t="n">
        <v>0</v>
      </c>
      <c r="U46" s="36" t="n">
        <v>19.252</v>
      </c>
      <c r="V46" s="36" t="n">
        <v>5.6</v>
      </c>
      <c r="W46" s="36" t="n">
        <v>6</v>
      </c>
      <c r="X46" s="36" t="n">
        <v>0</v>
      </c>
      <c r="Y46" s="36" t="n">
        <v>0</v>
      </c>
      <c r="Z46" s="36" t="n">
        <v>0</v>
      </c>
      <c r="AA46" s="36" t="n">
        <v>0</v>
      </c>
      <c r="AB46" s="36" t="n">
        <v>178</v>
      </c>
      <c r="AC46" s="36" t="n">
        <v>0</v>
      </c>
      <c r="AD46" s="36" t="n">
        <v>0</v>
      </c>
      <c r="AE46" s="36" t="n">
        <v>1210.82</v>
      </c>
      <c r="AF46" s="36" t="n">
        <v>0</v>
      </c>
    </row>
    <row r="47" customFormat="false" ht="10.5" hidden="false" customHeight="true" outlineLevel="0" collapsed="false">
      <c r="A47" s="31"/>
      <c r="B47" s="31"/>
      <c r="C47" s="31"/>
      <c r="D47" s="31"/>
      <c r="E47" s="2" t="s">
        <v>144</v>
      </c>
      <c r="K47" s="35"/>
      <c r="L47" s="35"/>
      <c r="M47" s="35"/>
      <c r="N47" s="35"/>
      <c r="O47" s="35"/>
      <c r="P47" s="35"/>
      <c r="Q47" s="35"/>
      <c r="R47" s="36" t="n">
        <v>2107</v>
      </c>
      <c r="S47" s="36" t="n">
        <v>3000940</v>
      </c>
      <c r="T47" s="35"/>
      <c r="U47" s="35"/>
      <c r="V47" s="35"/>
      <c r="W47" s="35"/>
      <c r="X47" s="35"/>
      <c r="Y47" s="35"/>
      <c r="Z47" s="35"/>
      <c r="AA47" s="35"/>
      <c r="AB47" s="35"/>
      <c r="AC47" s="35"/>
      <c r="AD47" s="35"/>
      <c r="AE47" s="35"/>
      <c r="AF47" s="35"/>
    </row>
    <row r="48" customFormat="false" ht="10.5" hidden="false" customHeight="true" outlineLevel="0" collapsed="false">
      <c r="A48" s="31"/>
      <c r="B48" s="31"/>
      <c r="C48" s="31"/>
      <c r="D48" s="31"/>
      <c r="E48" s="2" t="s">
        <v>144</v>
      </c>
      <c r="K48" s="35"/>
      <c r="L48" s="35"/>
      <c r="M48" s="35"/>
      <c r="N48" s="35"/>
      <c r="O48" s="35"/>
      <c r="P48" s="35"/>
      <c r="Q48" s="35"/>
      <c r="R48" s="35"/>
      <c r="S48" s="35"/>
      <c r="T48" s="36" t="n">
        <v>-30000</v>
      </c>
      <c r="U48" s="35"/>
      <c r="V48" s="35"/>
      <c r="W48" s="35"/>
      <c r="X48" s="35"/>
      <c r="Y48" s="35"/>
      <c r="Z48" s="35"/>
      <c r="AA48" s="35"/>
      <c r="AB48" s="35"/>
      <c r="AC48" s="35"/>
      <c r="AD48" s="35"/>
      <c r="AE48" s="35"/>
      <c r="AF48" s="35"/>
    </row>
    <row r="49" customFormat="false" ht="10.5" hidden="false" customHeight="true" outlineLevel="0" collapsed="false">
      <c r="A49" s="31"/>
      <c r="B49" s="31"/>
      <c r="C49" s="31"/>
      <c r="D49" s="31"/>
      <c r="E49" s="2" t="s">
        <v>144</v>
      </c>
      <c r="K49" s="35"/>
      <c r="L49" s="35"/>
      <c r="M49" s="35"/>
      <c r="N49" s="35"/>
      <c r="O49" s="35"/>
      <c r="P49" s="35"/>
      <c r="Q49" s="35"/>
      <c r="R49" s="35"/>
      <c r="S49" s="35"/>
      <c r="T49" s="35"/>
      <c r="U49" s="35"/>
      <c r="V49" s="35"/>
      <c r="W49" s="35"/>
      <c r="X49" s="35"/>
      <c r="Y49" s="35"/>
      <c r="Z49" s="35"/>
      <c r="AA49" s="35"/>
      <c r="AB49" s="35"/>
      <c r="AC49" s="35"/>
      <c r="AD49" s="35"/>
      <c r="AE49" s="35"/>
      <c r="AF49" s="35"/>
    </row>
    <row r="50" customFormat="false" ht="10.5" hidden="false" customHeight="true" outlineLevel="0" collapsed="false">
      <c r="A50" s="62"/>
      <c r="B50" s="28" t="s">
        <v>28</v>
      </c>
      <c r="C50" s="62"/>
      <c r="D50" s="62"/>
      <c r="E50" s="44" t="str">
        <f aca="false">"Total Cash ("&amp;$F$4&amp;")"</f>
        <v>Total Cash (USD)</v>
      </c>
      <c r="F50" s="54"/>
      <c r="G50" s="55"/>
      <c r="H50" s="55"/>
      <c r="I50" s="55"/>
      <c r="J50" s="55"/>
      <c r="K50" s="66" t="n">
        <f aca="false">SUM(K43:K49)*K$316</f>
        <v>0</v>
      </c>
      <c r="L50" s="66" t="n">
        <f aca="false">SUM(L43:L49)*L$316</f>
        <v>810.5</v>
      </c>
      <c r="M50" s="66" t="n">
        <f aca="false">SUM(M43:M49)*M$316</f>
        <v>6947.6</v>
      </c>
      <c r="N50" s="66" t="n">
        <f aca="false">SUM(N43:N49)*N$316</f>
        <v>185.5</v>
      </c>
      <c r="O50" s="66" t="n">
        <f aca="false">SUM(O43:O49)*O$316</f>
        <v>70.091</v>
      </c>
      <c r="P50" s="66" t="n">
        <f aca="false">SUM(P43:P49)*P$316</f>
        <v>63.7070852079</v>
      </c>
      <c r="Q50" s="66" t="n">
        <f aca="false">SUM(Q43:Q49)*Q$316</f>
        <v>129.899505186</v>
      </c>
      <c r="R50" s="66" t="n">
        <f aca="false">SUM(R43:R49)*R$316</f>
        <v>3245.01711795</v>
      </c>
      <c r="S50" s="66" t="n">
        <f aca="false">SUM(S43:S49)*S$316</f>
        <v>3379.63717928854</v>
      </c>
      <c r="T50" s="66" t="n">
        <f aca="false">SUM(T43:T49)*T$316</f>
        <v>86.8301167730809</v>
      </c>
      <c r="U50" s="66" t="n">
        <f aca="false">SUM(U43:U49)*U$316</f>
        <v>167.8609656</v>
      </c>
      <c r="V50" s="66" t="n">
        <f aca="false">SUM(V43:V49)*V$316</f>
        <v>710.30196</v>
      </c>
      <c r="W50" s="66" t="n">
        <f aca="false">SUM(W43:W49)*W$316</f>
        <v>1613.2441401</v>
      </c>
      <c r="X50" s="66" t="n">
        <f aca="false">SUM(X43:X49)*X$316</f>
        <v>1073.42874</v>
      </c>
      <c r="Y50" s="66" t="n">
        <f aca="false">SUM(Y43:Y49)*Y$316</f>
        <v>579.893753148</v>
      </c>
      <c r="Z50" s="66" t="n">
        <f aca="false">SUM(Z43:Z49)*Z$316</f>
        <v>539</v>
      </c>
      <c r="AA50" s="66" t="n">
        <f aca="false">SUM(AA43:AA49)*AA$316</f>
        <v>1022.943</v>
      </c>
      <c r="AB50" s="66" t="n">
        <f aca="false">SUM(AB43:AB49)*AB$316</f>
        <v>4242</v>
      </c>
      <c r="AC50" s="66" t="n">
        <f aca="false">SUM(AC43:AC49)*AC$316</f>
        <v>4348</v>
      </c>
      <c r="AD50" s="66" t="n">
        <f aca="false">SUM(AD43:AD49)*AD$316</f>
        <v>1758</v>
      </c>
      <c r="AE50" s="66" t="n">
        <f aca="false">SUM(AE43:AE49)*AE$316</f>
        <v>2098.45944888195</v>
      </c>
      <c r="AF50" s="66" t="n">
        <f aca="false">SUM(AF43:AF49)*AF$316</f>
        <v>99.53520615194</v>
      </c>
    </row>
    <row r="51" customFormat="false" ht="10.5" hidden="false" customHeight="true" outlineLevel="0" collapsed="false">
      <c r="A51" s="31"/>
      <c r="B51" s="31"/>
      <c r="C51" s="31"/>
      <c r="D51" s="31"/>
      <c r="K51" s="67"/>
      <c r="L51" s="67"/>
      <c r="M51" s="67"/>
      <c r="N51" s="67"/>
      <c r="O51" s="67"/>
      <c r="P51" s="67"/>
      <c r="Q51" s="67"/>
      <c r="R51" s="67"/>
      <c r="S51" s="67"/>
      <c r="T51" s="67"/>
      <c r="U51" s="67"/>
      <c r="V51" s="67"/>
      <c r="W51" s="67"/>
      <c r="X51" s="67"/>
      <c r="Y51" s="67"/>
      <c r="Z51" s="67"/>
      <c r="AA51" s="67"/>
      <c r="AB51" s="67"/>
      <c r="AC51" s="67"/>
      <c r="AD51" s="67"/>
      <c r="AE51" s="67"/>
      <c r="AF51" s="67"/>
    </row>
    <row r="52" customFormat="false" ht="10.5" hidden="false" customHeight="true" outlineLevel="0" collapsed="false">
      <c r="A52" s="31"/>
      <c r="B52" s="31"/>
      <c r="C52" s="31"/>
      <c r="D52" s="31"/>
      <c r="E52" s="68" t="s">
        <v>145</v>
      </c>
      <c r="K52" s="67"/>
      <c r="L52" s="67"/>
      <c r="M52" s="67"/>
      <c r="N52" s="67"/>
      <c r="O52" s="67"/>
      <c r="P52" s="67"/>
      <c r="Q52" s="67"/>
      <c r="R52" s="67"/>
      <c r="S52" s="67"/>
      <c r="T52" s="67"/>
      <c r="U52" s="67"/>
      <c r="V52" s="67"/>
      <c r="W52" s="67"/>
      <c r="X52" s="67"/>
      <c r="Y52" s="67"/>
      <c r="Z52" s="67"/>
      <c r="AA52" s="67"/>
      <c r="AB52" s="67"/>
      <c r="AC52" s="67"/>
      <c r="AD52" s="67"/>
      <c r="AE52" s="67"/>
      <c r="AF52" s="67"/>
    </row>
    <row r="53" customFormat="false" ht="10.5" hidden="false" customHeight="true" outlineLevel="0" collapsed="false">
      <c r="A53" s="31"/>
      <c r="B53" s="31"/>
      <c r="C53" s="31"/>
      <c r="D53" s="31"/>
      <c r="E53" s="69" t="str">
        <f aca="false">+"Total Cash w/o JVs ("&amp;$F$4&amp;")"</f>
        <v>Total Cash w/o JVs (USD)</v>
      </c>
      <c r="F53" s="45"/>
      <c r="G53" s="46"/>
      <c r="H53" s="46"/>
      <c r="I53" s="46"/>
      <c r="J53" s="46"/>
      <c r="K53" s="66" t="n">
        <f aca="false">SUM(K43:K45,K47:K49)*K$316</f>
        <v>0</v>
      </c>
      <c r="L53" s="66" t="n">
        <f aca="false">SUM(L43:L45,L47:L49)*L$316</f>
        <v>793.5</v>
      </c>
      <c r="M53" s="66" t="n">
        <f aca="false">SUM(M43:M45,M47:M49)*M$316</f>
        <v>6913.7</v>
      </c>
      <c r="N53" s="66" t="n">
        <f aca="false">SUM(N43:N45,N47:N49)*N$316</f>
        <v>185.5</v>
      </c>
      <c r="O53" s="66" t="n">
        <f aca="false">SUM(O43:O45,O47:O49)*O$316</f>
        <v>70.091</v>
      </c>
      <c r="P53" s="66" t="n">
        <f aca="false">SUM(P43:P45,P47:P49)*P$316</f>
        <v>63.7070852079</v>
      </c>
      <c r="Q53" s="66" t="n">
        <f aca="false">SUM(Q43:Q45,Q47:Q49)*Q$316</f>
        <v>129.899505186</v>
      </c>
      <c r="R53" s="66" t="n">
        <f aca="false">SUM(R43:R45,R47:R49)*R$316</f>
        <v>3204.2536749</v>
      </c>
      <c r="S53" s="66" t="n">
        <f aca="false">SUM(S43:S45,S47:S49)*S$316</f>
        <v>3346.14778813124</v>
      </c>
      <c r="T53" s="66" t="n">
        <f aca="false">SUM(T43:T45,T47:T49)*T$316</f>
        <v>86.8301167730809</v>
      </c>
      <c r="U53" s="66" t="n">
        <f aca="false">SUM(U43:U45,U47:U49)*U$316</f>
        <v>145.9252368</v>
      </c>
      <c r="V53" s="66" t="n">
        <f aca="false">SUM(V43:V45,V47:V49)*V$316</f>
        <v>703.92132</v>
      </c>
      <c r="W53" s="66" t="n">
        <f aca="false">SUM(W43:W45,W47:W49)*W$316</f>
        <v>1605.832605</v>
      </c>
      <c r="X53" s="66" t="n">
        <f aca="false">SUM(X43:X45,X47:X49)*X$316</f>
        <v>1073.42874</v>
      </c>
      <c r="Y53" s="66" t="n">
        <f aca="false">SUM(Y43:Y45,Y47:Y49)*Y$316</f>
        <v>579.893753148</v>
      </c>
      <c r="Z53" s="66" t="n">
        <f aca="false">SUM(Z43:Z45,Z47:Z49)*Z$316</f>
        <v>539</v>
      </c>
      <c r="AA53" s="66" t="n">
        <f aca="false">SUM(AA43:AA45,AA47:AA49)*AA$316</f>
        <v>1022.943</v>
      </c>
      <c r="AB53" s="66" t="n">
        <f aca="false">SUM(AB43:AB45,AB47:AB49)*AB$316</f>
        <v>4064</v>
      </c>
      <c r="AC53" s="66" t="n">
        <f aca="false">SUM(AC43:AC45,AC47:AC49)*AC$316</f>
        <v>4348</v>
      </c>
      <c r="AD53" s="66" t="n">
        <f aca="false">SUM(AD43:AD45,AD47:AD49)*AD$316</f>
        <v>1758</v>
      </c>
      <c r="AE53" s="66" t="n">
        <f aca="false">SUM(AE43:AE45,AE47:AE49)*AE$316</f>
        <v>1920.01721248095</v>
      </c>
      <c r="AF53" s="66" t="n">
        <f aca="false">SUM(AF43:AF45,AF47:AF49)*AF$316</f>
        <v>99.53520615194</v>
      </c>
    </row>
    <row r="54" customFormat="false" ht="10.5" hidden="false" customHeight="true" outlineLevel="0" collapsed="false">
      <c r="A54" s="31"/>
      <c r="B54" s="31"/>
      <c r="C54" s="31"/>
      <c r="D54" s="31"/>
      <c r="K54" s="67"/>
      <c r="L54" s="67"/>
      <c r="M54" s="67"/>
      <c r="N54" s="67"/>
      <c r="O54" s="67"/>
      <c r="P54" s="67"/>
      <c r="Q54" s="67"/>
      <c r="R54" s="67"/>
      <c r="S54" s="67"/>
      <c r="T54" s="67"/>
      <c r="U54" s="67"/>
      <c r="V54" s="67"/>
      <c r="W54" s="67"/>
      <c r="X54" s="67"/>
      <c r="Y54" s="67"/>
      <c r="Z54" s="67"/>
      <c r="AA54" s="67"/>
      <c r="AB54" s="67"/>
      <c r="AC54" s="67"/>
      <c r="AD54" s="67"/>
      <c r="AE54" s="67"/>
      <c r="AF54" s="67"/>
    </row>
    <row r="55" customFormat="false" ht="10.5" hidden="false" customHeight="true" outlineLevel="0" collapsed="false">
      <c r="A55" s="31"/>
      <c r="B55" s="31"/>
      <c r="C55" s="31"/>
      <c r="D55" s="31"/>
      <c r="E55" s="2" t="s">
        <v>146</v>
      </c>
      <c r="K55" s="63"/>
      <c r="L55" s="64" t="n">
        <v>16.517</v>
      </c>
      <c r="M55" s="64" t="n">
        <v>400.7</v>
      </c>
      <c r="N55" s="64" t="n">
        <v>0</v>
      </c>
      <c r="O55" s="64" t="n">
        <v>1.125</v>
      </c>
      <c r="P55" s="64" t="n">
        <v>208.064</v>
      </c>
      <c r="Q55" s="64" t="n">
        <v>0</v>
      </c>
      <c r="R55" s="64" t="n">
        <v>774</v>
      </c>
      <c r="S55" s="64" t="n">
        <v>366131.648789</v>
      </c>
      <c r="T55" s="64" t="n">
        <v>72766.898219</v>
      </c>
      <c r="U55" s="64" t="n">
        <v>27.146</v>
      </c>
      <c r="V55" s="64" t="n">
        <v>771.6</v>
      </c>
      <c r="W55" s="64" t="n">
        <v>1363</v>
      </c>
      <c r="X55" s="64" t="n">
        <v>740.3</v>
      </c>
      <c r="Y55" s="64" t="n">
        <v>276.7</v>
      </c>
      <c r="Z55" s="64" t="n">
        <v>200</v>
      </c>
      <c r="AA55" s="64" t="n">
        <v>572.156</v>
      </c>
      <c r="AB55" s="64" t="n">
        <v>3368</v>
      </c>
      <c r="AC55" s="64" t="n">
        <v>1411</v>
      </c>
      <c r="AD55" s="64" t="n">
        <v>304</v>
      </c>
      <c r="AE55" s="64" t="n">
        <v>225.492</v>
      </c>
      <c r="AF55" s="64" t="n">
        <v>0</v>
      </c>
    </row>
    <row r="56" customFormat="false" ht="10.5" hidden="false" customHeight="true" outlineLevel="0" collapsed="false">
      <c r="A56" s="31"/>
      <c r="B56" s="31"/>
      <c r="C56" s="31"/>
      <c r="D56" s="31"/>
      <c r="E56" s="2" t="s">
        <v>147</v>
      </c>
      <c r="K56" s="63"/>
      <c r="L56" s="64" t="n">
        <v>1627.105</v>
      </c>
      <c r="M56" s="64" t="n">
        <v>803</v>
      </c>
      <c r="N56" s="64" t="n">
        <v>793.7</v>
      </c>
      <c r="O56" s="64" t="n">
        <v>145.98</v>
      </c>
      <c r="P56" s="64" t="n">
        <v>0.039</v>
      </c>
      <c r="Q56" s="64" t="n">
        <v>925.2</v>
      </c>
      <c r="R56" s="64" t="n">
        <v>3393</v>
      </c>
      <c r="S56" s="64" t="n">
        <v>599227.527623</v>
      </c>
      <c r="T56" s="64" t="n">
        <v>0</v>
      </c>
      <c r="U56" s="64" t="n">
        <v>80.544</v>
      </c>
      <c r="V56" s="64" t="n">
        <v>3700</v>
      </c>
      <c r="W56" s="64" t="n">
        <v>3263</v>
      </c>
      <c r="X56" s="64" t="n">
        <v>1890.7</v>
      </c>
      <c r="Y56" s="64" t="n">
        <v>1307.4</v>
      </c>
      <c r="Z56" s="64" t="n">
        <v>4886</v>
      </c>
      <c r="AA56" s="64" t="n">
        <v>2633.094</v>
      </c>
      <c r="AB56" s="64" t="n">
        <v>39181</v>
      </c>
      <c r="AC56" s="64" t="n">
        <v>25147</v>
      </c>
      <c r="AD56" s="64" t="n">
        <v>3645</v>
      </c>
      <c r="AE56" s="64" t="n">
        <v>450.281</v>
      </c>
      <c r="AF56" s="64" t="n">
        <v>53.845</v>
      </c>
    </row>
    <row r="57" customFormat="false" ht="10.5" hidden="false" customHeight="true" outlineLevel="0" collapsed="false">
      <c r="A57" s="31"/>
      <c r="B57" s="31"/>
      <c r="C57" s="31"/>
      <c r="D57" s="31"/>
      <c r="E57" s="2" t="s">
        <v>148</v>
      </c>
      <c r="K57" s="70" t="n">
        <f aca="false">+K72</f>
        <v>0</v>
      </c>
      <c r="L57" s="70" t="n">
        <f aca="false">+L72</f>
        <v>6.8264</v>
      </c>
      <c r="M57" s="70" t="n">
        <f aca="false">+M72</f>
        <v>45.504</v>
      </c>
      <c r="N57" s="70" t="n">
        <f aca="false">+N72</f>
        <v>0</v>
      </c>
      <c r="O57" s="70" t="n">
        <f aca="false">+O72</f>
        <v>0</v>
      </c>
      <c r="P57" s="70" t="n">
        <f aca="false">+P72</f>
        <v>0</v>
      </c>
      <c r="Q57" s="70" t="n">
        <f aca="false">+Q72</f>
        <v>76.3107236648548</v>
      </c>
      <c r="R57" s="70" t="n">
        <f aca="false">+R72</f>
        <v>-110.6912767185</v>
      </c>
      <c r="S57" s="70" t="n">
        <f aca="false">+S72</f>
        <v>3.40000494597106</v>
      </c>
      <c r="T57" s="70" t="n">
        <f aca="false">+T72</f>
        <v>-0.965937002378142</v>
      </c>
      <c r="U57" s="70" t="n">
        <f aca="false">+U72</f>
        <v>0</v>
      </c>
      <c r="V57" s="70" t="n">
        <f aca="false">+V72</f>
        <v>55.862184168</v>
      </c>
      <c r="W57" s="70" t="n">
        <f aca="false">+W72</f>
        <v>69.5424338433</v>
      </c>
      <c r="X57" s="70" t="n">
        <f aca="false">+X72</f>
        <v>118.360872</v>
      </c>
      <c r="Y57" s="70" t="n">
        <f aca="false">+Y72</f>
        <v>-28.8558622035</v>
      </c>
      <c r="Z57" s="70" t="n">
        <f aca="false">+Z72</f>
        <v>46.61</v>
      </c>
      <c r="AA57" s="70" t="n">
        <f aca="false">+AA72</f>
        <v>103.60534</v>
      </c>
      <c r="AB57" s="70" t="n">
        <f aca="false">+AB72</f>
        <v>258.33</v>
      </c>
      <c r="AC57" s="70" t="n">
        <f aca="false">+AC72</f>
        <v>179.33</v>
      </c>
      <c r="AD57" s="70" t="n">
        <f aca="false">+AD72</f>
        <v>-208.56</v>
      </c>
      <c r="AE57" s="70" t="n">
        <f aca="false">+AE72</f>
        <v>0</v>
      </c>
      <c r="AF57" s="70" t="n">
        <f aca="false">+AF72</f>
        <v>0</v>
      </c>
    </row>
    <row r="58" customFormat="false" ht="10.5" hidden="false" customHeight="true" outlineLevel="0" collapsed="false">
      <c r="A58" s="31"/>
      <c r="B58" s="31"/>
      <c r="C58" s="31"/>
      <c r="D58" s="31"/>
      <c r="E58" s="2" t="s">
        <v>149</v>
      </c>
      <c r="K58" s="35"/>
      <c r="L58" s="36" t="n">
        <v>0</v>
      </c>
      <c r="M58" s="36" t="n">
        <v>0</v>
      </c>
      <c r="N58" s="36" t="n">
        <v>0</v>
      </c>
      <c r="O58" s="36" t="n">
        <v>29.591</v>
      </c>
      <c r="P58" s="36" t="n">
        <v>0</v>
      </c>
      <c r="Q58" s="36" t="n">
        <v>0</v>
      </c>
      <c r="R58" s="36" t="n">
        <v>355</v>
      </c>
      <c r="S58" s="36" t="n">
        <v>275915.417174</v>
      </c>
      <c r="T58" s="36" t="n">
        <v>2048.048903</v>
      </c>
      <c r="U58" s="36" t="n">
        <v>0</v>
      </c>
      <c r="V58" s="36" t="n">
        <v>0</v>
      </c>
      <c r="W58" s="36" t="n">
        <v>590</v>
      </c>
      <c r="X58" s="36" t="n">
        <v>411.1</v>
      </c>
      <c r="Y58" s="36" t="n">
        <v>319.3</v>
      </c>
      <c r="Z58" s="36" t="n">
        <v>0</v>
      </c>
      <c r="AA58" s="36" t="n">
        <v>0</v>
      </c>
      <c r="AB58" s="36" t="n">
        <v>0</v>
      </c>
      <c r="AC58" s="36" t="n">
        <v>0</v>
      </c>
      <c r="AD58" s="36" t="n">
        <v>0</v>
      </c>
      <c r="AE58" s="36" t="n">
        <v>2049.911</v>
      </c>
      <c r="AF58" s="36" t="n">
        <v>104.798</v>
      </c>
    </row>
    <row r="59" customFormat="false" ht="10.5" hidden="false" customHeight="true" outlineLevel="0" collapsed="false">
      <c r="A59" s="31"/>
      <c r="B59" s="31"/>
      <c r="C59" s="31"/>
      <c r="D59" s="31"/>
      <c r="E59" s="2" t="s">
        <v>150</v>
      </c>
      <c r="K59" s="35"/>
      <c r="L59" s="35"/>
      <c r="M59" s="35"/>
      <c r="N59" s="35"/>
      <c r="O59" s="35"/>
      <c r="P59" s="35"/>
      <c r="Q59" s="35"/>
      <c r="R59" s="35"/>
      <c r="S59" s="35"/>
      <c r="T59" s="36" t="n">
        <v>-24198.6398180443</v>
      </c>
      <c r="U59" s="35"/>
      <c r="V59" s="35"/>
      <c r="W59" s="35"/>
      <c r="X59" s="35"/>
      <c r="Y59" s="35"/>
      <c r="Z59" s="35"/>
      <c r="AA59" s="35"/>
      <c r="AB59" s="35"/>
      <c r="AC59" s="35"/>
      <c r="AD59" s="35"/>
      <c r="AE59" s="35"/>
      <c r="AF59" s="35"/>
    </row>
    <row r="60" customFormat="false" ht="10.5" hidden="false" customHeight="true" outlineLevel="0" collapsed="false">
      <c r="A60" s="31"/>
      <c r="B60" s="31"/>
      <c r="C60" s="31"/>
      <c r="D60" s="31"/>
      <c r="E60" s="2" t="s">
        <v>150</v>
      </c>
      <c r="K60" s="71"/>
      <c r="L60" s="71"/>
      <c r="M60" s="71"/>
      <c r="N60" s="71"/>
      <c r="O60" s="71"/>
      <c r="P60" s="71"/>
      <c r="Q60" s="71"/>
      <c r="R60" s="71"/>
      <c r="S60" s="71"/>
      <c r="T60" s="71"/>
      <c r="U60" s="71"/>
      <c r="V60" s="71"/>
      <c r="W60" s="71"/>
      <c r="X60" s="71"/>
      <c r="Y60" s="71"/>
      <c r="Z60" s="71"/>
      <c r="AA60" s="71"/>
      <c r="AB60" s="71"/>
      <c r="AC60" s="71"/>
      <c r="AD60" s="71"/>
      <c r="AE60" s="71"/>
      <c r="AF60" s="71"/>
    </row>
    <row r="61" customFormat="false" ht="10.5" hidden="false" customHeight="true" outlineLevel="0" collapsed="false">
      <c r="A61" s="31"/>
      <c r="B61" s="31"/>
      <c r="C61" s="31"/>
      <c r="D61" s="31"/>
      <c r="E61" s="2" t="s">
        <v>150</v>
      </c>
      <c r="K61" s="71"/>
      <c r="L61" s="71"/>
      <c r="M61" s="71"/>
      <c r="N61" s="71"/>
      <c r="O61" s="71"/>
      <c r="P61" s="71"/>
      <c r="Q61" s="71"/>
      <c r="R61" s="71"/>
      <c r="S61" s="71"/>
      <c r="T61" s="71"/>
      <c r="U61" s="71"/>
      <c r="V61" s="71"/>
      <c r="W61" s="71"/>
      <c r="X61" s="71"/>
      <c r="Y61" s="71"/>
      <c r="Z61" s="71"/>
      <c r="AA61" s="71"/>
      <c r="AB61" s="71"/>
      <c r="AC61" s="71"/>
      <c r="AD61" s="71"/>
      <c r="AE61" s="71"/>
      <c r="AF61" s="71"/>
    </row>
    <row r="62" customFormat="false" ht="10.5" hidden="false" customHeight="true" outlineLevel="0" collapsed="false">
      <c r="A62" s="31"/>
      <c r="B62" s="31"/>
      <c r="C62" s="31"/>
      <c r="D62" s="31"/>
      <c r="E62" s="2" t="s">
        <v>151</v>
      </c>
      <c r="K62" s="71" t="n">
        <v>0</v>
      </c>
      <c r="L62" s="72" t="n">
        <v>0</v>
      </c>
      <c r="M62" s="72" t="n">
        <v>0</v>
      </c>
      <c r="N62" s="72" t="n">
        <v>0</v>
      </c>
      <c r="O62" s="72" t="n">
        <v>0</v>
      </c>
      <c r="P62" s="72" t="n">
        <v>0</v>
      </c>
      <c r="Q62" s="72" t="n">
        <v>0</v>
      </c>
      <c r="R62" s="73" t="n">
        <f aca="false">+R58</f>
        <v>355</v>
      </c>
      <c r="S62" s="73" t="n">
        <f aca="false">+S58</f>
        <v>275915.417174</v>
      </c>
      <c r="T62" s="73" t="n">
        <f aca="false">+T58</f>
        <v>2048.048903</v>
      </c>
      <c r="U62" s="72" t="n">
        <v>12.738</v>
      </c>
      <c r="V62" s="72" t="n">
        <v>408.8</v>
      </c>
      <c r="W62" s="73" t="n">
        <f aca="false">+W58</f>
        <v>590</v>
      </c>
      <c r="X62" s="73" t="n">
        <f aca="false">+X58</f>
        <v>411.1</v>
      </c>
      <c r="Y62" s="73" t="n">
        <f aca="false">+Y58</f>
        <v>319.3</v>
      </c>
      <c r="Z62" s="72" t="n">
        <v>0</v>
      </c>
      <c r="AA62" s="72" t="n">
        <v>0</v>
      </c>
      <c r="AB62" s="72" t="n">
        <v>0</v>
      </c>
      <c r="AC62" s="72" t="n">
        <v>0</v>
      </c>
      <c r="AD62" s="72" t="n">
        <v>0</v>
      </c>
      <c r="AE62" s="73" t="n">
        <f aca="false">+AE58</f>
        <v>2049.911</v>
      </c>
      <c r="AF62" s="73" t="n">
        <f aca="false">+AF58</f>
        <v>104.798</v>
      </c>
    </row>
    <row r="63" customFormat="false" ht="10.5" hidden="false" customHeight="true" outlineLevel="0" collapsed="false">
      <c r="A63" s="31"/>
      <c r="B63" s="31"/>
      <c r="C63" s="31"/>
      <c r="D63" s="31"/>
      <c r="E63" s="2" t="s">
        <v>152</v>
      </c>
      <c r="K63" s="73" t="n">
        <f aca="false">-$F$5*K62</f>
        <v>-0</v>
      </c>
      <c r="L63" s="73" t="n">
        <f aca="false">-$F$5*L62</f>
        <v>-0</v>
      </c>
      <c r="M63" s="73" t="n">
        <f aca="false">-$F$5*M62</f>
        <v>-0</v>
      </c>
      <c r="N63" s="73" t="n">
        <f aca="false">-$F$5*N62</f>
        <v>-0</v>
      </c>
      <c r="O63" s="73" t="n">
        <f aca="false">-$F$5*O62</f>
        <v>-0</v>
      </c>
      <c r="P63" s="73" t="n">
        <f aca="false">-$F$5*P62</f>
        <v>-0</v>
      </c>
      <c r="Q63" s="73" t="n">
        <f aca="false">-$F$5*Q62</f>
        <v>-0</v>
      </c>
      <c r="R63" s="73" t="n">
        <f aca="false">-$F$5*R62</f>
        <v>-355</v>
      </c>
      <c r="S63" s="73" t="n">
        <f aca="false">-$F$5*S62</f>
        <v>-275915.417174</v>
      </c>
      <c r="T63" s="73" t="n">
        <f aca="false">-$F$5*T62</f>
        <v>-2048.048903</v>
      </c>
      <c r="U63" s="73" t="n">
        <f aca="false">-$F$5*U62</f>
        <v>-12.738</v>
      </c>
      <c r="V63" s="73" t="n">
        <f aca="false">-$F$5*V62</f>
        <v>-408.8</v>
      </c>
      <c r="W63" s="73" t="n">
        <f aca="false">-$F$5*W62</f>
        <v>-590</v>
      </c>
      <c r="X63" s="73" t="n">
        <f aca="false">-$F$5*X62</f>
        <v>-411.1</v>
      </c>
      <c r="Y63" s="73" t="n">
        <f aca="false">-$F$5*Y62</f>
        <v>-319.3</v>
      </c>
      <c r="Z63" s="73" t="n">
        <f aca="false">-$F$5*Z62</f>
        <v>-0</v>
      </c>
      <c r="AA63" s="73" t="n">
        <f aca="false">-$F$5*AA62</f>
        <v>-0</v>
      </c>
      <c r="AB63" s="73" t="n">
        <f aca="false">-$F$5*AB62</f>
        <v>-0</v>
      </c>
      <c r="AC63" s="73" t="n">
        <f aca="false">-$F$5*AC62</f>
        <v>-0</v>
      </c>
      <c r="AD63" s="73" t="n">
        <f aca="false">-$F$5*AD62</f>
        <v>-0</v>
      </c>
      <c r="AE63" s="73" t="n">
        <f aca="false">-$F$5*AE62</f>
        <v>-2049.911</v>
      </c>
      <c r="AF63" s="73" t="n">
        <f aca="false">-$F$5*AF62</f>
        <v>-104.798</v>
      </c>
    </row>
    <row r="64" customFormat="false" ht="10.5" hidden="false" customHeight="true" outlineLevel="0" collapsed="false">
      <c r="A64" s="31"/>
      <c r="B64" s="31"/>
      <c r="C64" s="31"/>
      <c r="D64" s="31"/>
      <c r="E64" s="2" t="s">
        <v>153</v>
      </c>
      <c r="K64" s="70" t="n">
        <f aca="false">+K95+K104+K113</f>
        <v>0</v>
      </c>
      <c r="L64" s="70" t="n">
        <f aca="false">+L95+L104+L113</f>
        <v>11.366</v>
      </c>
      <c r="M64" s="70" t="n">
        <f aca="false">+M95+M104+M113</f>
        <v>-0</v>
      </c>
      <c r="N64" s="70" t="n">
        <f aca="false">+N95+N104+N113</f>
        <v>-0</v>
      </c>
      <c r="O64" s="70" t="n">
        <f aca="false">+O95+O104+O113</f>
        <v>-0</v>
      </c>
      <c r="P64" s="70" t="n">
        <f aca="false">+P95+P104+P113</f>
        <v>-0</v>
      </c>
      <c r="Q64" s="70" t="n">
        <f aca="false">+Q95+Q104+Q113</f>
        <v>-0</v>
      </c>
      <c r="R64" s="70" t="n">
        <f aca="false">+R95+R104+R113</f>
        <v>-0</v>
      </c>
      <c r="S64" s="70" t="n">
        <f aca="false">+S95+S104+S113</f>
        <v>-0</v>
      </c>
      <c r="T64" s="70" t="n">
        <f aca="false">+T95+T104+T113</f>
        <v>-17383.4962239557</v>
      </c>
      <c r="U64" s="70" t="n">
        <f aca="false">+U95+U104+U113</f>
        <v>-0</v>
      </c>
      <c r="V64" s="70" t="n">
        <f aca="false">+V95+V104+V113</f>
        <v>-0</v>
      </c>
      <c r="W64" s="70" t="n">
        <f aca="false">+W95+W104+W113</f>
        <v>-0</v>
      </c>
      <c r="X64" s="70" t="n">
        <f aca="false">+X95+X104+X113</f>
        <v>-0</v>
      </c>
      <c r="Y64" s="70" t="n">
        <f aca="false">+Y95+Y104+Y113</f>
        <v>-0</v>
      </c>
      <c r="Z64" s="70" t="n">
        <f aca="false">+Z95+Z104+Z113</f>
        <v>-0</v>
      </c>
      <c r="AA64" s="70" t="n">
        <f aca="false">+AA95+AA104+AA113</f>
        <v>-0</v>
      </c>
      <c r="AB64" s="70" t="n">
        <f aca="false">+AB95+AB104+AB113</f>
        <v>-0</v>
      </c>
      <c r="AC64" s="70" t="n">
        <f aca="false">+AC95+AC104+AC113</f>
        <v>-0</v>
      </c>
      <c r="AD64" s="70" t="n">
        <f aca="false">+AD95+AD104+AD113</f>
        <v>-0</v>
      </c>
      <c r="AE64" s="70" t="n">
        <f aca="false">+AE95+AE104+AE113</f>
        <v>-0</v>
      </c>
      <c r="AF64" s="70" t="n">
        <f aca="false">+AF95+AF104+AF113</f>
        <v>-0</v>
      </c>
    </row>
    <row r="65" customFormat="false" ht="10.5" hidden="false" customHeight="true" outlineLevel="0" collapsed="false">
      <c r="A65" s="62"/>
      <c r="B65" s="28" t="s">
        <v>28</v>
      </c>
      <c r="C65" s="62"/>
      <c r="D65" s="62"/>
      <c r="E65" s="44" t="str">
        <f aca="false">"Total Debt ("&amp;$F$4&amp;")"</f>
        <v>Total Debt (USD)</v>
      </c>
      <c r="F65" s="54"/>
      <c r="G65" s="55"/>
      <c r="H65" s="55"/>
      <c r="I65" s="55"/>
      <c r="J65" s="55"/>
      <c r="K65" s="66" t="n">
        <f aca="false">+SUM(K55:K61,K63:K64)*K$316</f>
        <v>0</v>
      </c>
      <c r="L65" s="66" t="n">
        <f aca="false">+SUM(L55:L61,L63:L64)*L$316</f>
        <v>1661.8144</v>
      </c>
      <c r="M65" s="66" t="n">
        <f aca="false">+SUM(M55:M61,M63:M64)*M$316</f>
        <v>1249.204</v>
      </c>
      <c r="N65" s="66" t="n">
        <f aca="false">+SUM(N55:N61,N63:N64)*N$316</f>
        <v>793.7</v>
      </c>
      <c r="O65" s="66" t="n">
        <f aca="false">+SUM(O55:O61,O63:O64)*O$316</f>
        <v>176.696</v>
      </c>
      <c r="P65" s="66" t="n">
        <f aca="false">+SUM(P55:P61,P63:P64)*P$316</f>
        <v>257.06044815255</v>
      </c>
      <c r="Q65" s="66" t="n">
        <f aca="false">+SUM(Q55:Q61,Q63:Q64)*Q$316</f>
        <v>1237.12198024475</v>
      </c>
      <c r="R65" s="66" t="n">
        <f aca="false">+SUM(R55:R61,R63:R64)*R$316</f>
        <v>5010.5790798395</v>
      </c>
      <c r="S65" s="66" t="n">
        <f aca="false">+SUM(S55:S61,S63:S64)*S$316</f>
        <v>622.456135647883</v>
      </c>
      <c r="T65" s="66" t="n">
        <f aca="false">+SUM(T55:T61,T63:T64)*T$316</f>
        <v>20.1069999775881</v>
      </c>
      <c r="U65" s="66" t="n">
        <f aca="false">+SUM(U55:U61,U63:U64)*U$316</f>
        <v>108.1883088</v>
      </c>
      <c r="V65" s="66" t="n">
        <f aca="false">+SUM(V55:V61,V63:V64)*V$316</f>
        <v>4692.80369264102</v>
      </c>
      <c r="W65" s="66" t="n">
        <f aca="false">+SUM(W55:W61,W63:W64)*W$316</f>
        <v>5800.19626032817</v>
      </c>
      <c r="X65" s="66" t="n">
        <f aca="false">+SUM(X55:X61,X63:X64)*X$316</f>
        <v>3132.6217775568</v>
      </c>
      <c r="Y65" s="66" t="n">
        <f aca="false">+SUM(Y55:Y61,Y63:Y64)*Y$316</f>
        <v>2056.26165099917</v>
      </c>
      <c r="Z65" s="66" t="n">
        <f aca="false">+SUM(Z55:Z61,Z63:Z64)*Z$316</f>
        <v>5132.61</v>
      </c>
      <c r="AA65" s="66" t="n">
        <f aca="false">+SUM(AA55:AA61,AA63:AA64)*AA$316</f>
        <v>3308.85534</v>
      </c>
      <c r="AB65" s="66" t="n">
        <f aca="false">+SUM(AB55:AB61,AB63:AB64)*AB$316</f>
        <v>42807.33</v>
      </c>
      <c r="AC65" s="66" t="n">
        <f aca="false">+SUM(AC55:AC61,AC63:AC64)*AC$316</f>
        <v>26737.33</v>
      </c>
      <c r="AD65" s="66" t="n">
        <f aca="false">+SUM(AD55:AD61,AD63:AD64)*AD$316</f>
        <v>3740.44</v>
      </c>
      <c r="AE65" s="66" t="n">
        <f aca="false">+SUM(AE55:AE61,AE63:AE64)*AE$316</f>
        <v>99.59072811765</v>
      </c>
      <c r="AF65" s="66" t="n">
        <f aca="false">+SUM(AF55:AF61,AF63:AF64)*AF$316</f>
        <v>71.1910149071</v>
      </c>
    </row>
    <row r="66" customFormat="false" ht="10.5" hidden="false" customHeight="true" outlineLevel="0" collapsed="false">
      <c r="A66" s="31"/>
      <c r="B66" s="31"/>
      <c r="C66" s="31"/>
      <c r="D66" s="31"/>
      <c r="AE66" s="3"/>
      <c r="AF66" s="3"/>
    </row>
    <row r="67" customFormat="false" ht="10.5" hidden="false" customHeight="true" outlineLevel="0" collapsed="false">
      <c r="A67" s="31"/>
      <c r="B67" s="31"/>
      <c r="C67" s="31"/>
      <c r="D67" s="31"/>
      <c r="E67" s="68" t="s">
        <v>145</v>
      </c>
      <c r="K67" s="67"/>
      <c r="L67" s="67"/>
      <c r="M67" s="67"/>
      <c r="N67" s="67"/>
      <c r="O67" s="67"/>
      <c r="P67" s="67"/>
      <c r="Q67" s="67"/>
      <c r="R67" s="67"/>
      <c r="S67" s="67"/>
      <c r="T67" s="67"/>
      <c r="U67" s="67"/>
      <c r="V67" s="67"/>
      <c r="W67" s="67"/>
      <c r="X67" s="67"/>
      <c r="Y67" s="67"/>
      <c r="Z67" s="67"/>
      <c r="AA67" s="67"/>
      <c r="AB67" s="67"/>
      <c r="AC67" s="67"/>
      <c r="AD67" s="67"/>
      <c r="AE67" s="67"/>
      <c r="AF67" s="67"/>
    </row>
    <row r="68" customFormat="false" ht="10.5" hidden="false" customHeight="true" outlineLevel="0" collapsed="false">
      <c r="A68" s="31"/>
      <c r="B68" s="31"/>
      <c r="C68" s="31"/>
      <c r="D68" s="31"/>
      <c r="E68" s="69" t="str">
        <f aca="false">+"Total Debt w/o Pensions ("&amp;$F$4&amp;")"</f>
        <v>Total Debt w/o Pensions (USD)</v>
      </c>
      <c r="F68" s="45"/>
      <c r="G68" s="46"/>
      <c r="H68" s="46"/>
      <c r="I68" s="46"/>
      <c r="J68" s="46"/>
      <c r="K68" s="66" t="n">
        <f aca="false">+SUM(K55:K56,K58:K61,K63:K64)*K$316</f>
        <v>0</v>
      </c>
      <c r="L68" s="66" t="n">
        <f aca="false">+SUM(L55:L56,L58:L61,L63:L64)*L$316</f>
        <v>1654.988</v>
      </c>
      <c r="M68" s="66" t="n">
        <f aca="false">+SUM(M55:M56,M58:M61,M63:M64)*M$316</f>
        <v>1203.7</v>
      </c>
      <c r="N68" s="66" t="n">
        <f aca="false">+SUM(N55:N56,N58:N61,N63:N64)*N$316</f>
        <v>793.7</v>
      </c>
      <c r="O68" s="66" t="n">
        <f aca="false">+SUM(O55:O56,O58:O61,O63:O64)*O$316</f>
        <v>176.696</v>
      </c>
      <c r="P68" s="66" t="n">
        <f aca="false">+SUM(P55:P56,P58:P61,P63:P64)*P$316</f>
        <v>257.06044815255</v>
      </c>
      <c r="Q68" s="66" t="n">
        <f aca="false">+SUM(Q55:Q56,Q58:Q61,Q63:Q64)*Q$316</f>
        <v>1142.85871242</v>
      </c>
      <c r="R68" s="66" t="n">
        <f aca="false">+SUM(R55:R56,R58:R61,R63:R64)*R$316</f>
        <v>5147.31112695</v>
      </c>
      <c r="S68" s="66" t="n">
        <f aca="false">+SUM(S55:S56,S58:S61,S63:S64)*S$316</f>
        <v>622.453943358693</v>
      </c>
      <c r="T68" s="66" t="n">
        <f aca="false">+SUM(T55:T56,T58:T61,T63:T64)*T$316</f>
        <v>20.1076228041078</v>
      </c>
      <c r="U68" s="66" t="n">
        <f aca="false">+SUM(U55:U56,U58:U61,U63:U64)*U$316</f>
        <v>108.1883088</v>
      </c>
      <c r="V68" s="66" t="n">
        <f aca="false">+SUM(V55:V56,V58:V61,V63:V64)*V$316</f>
        <v>4629.15432</v>
      </c>
      <c r="W68" s="66" t="n">
        <f aca="false">+SUM(W55:W56,W58:W61,W63:W64)*W$316</f>
        <v>5714.2935621</v>
      </c>
      <c r="X68" s="66" t="n">
        <f aca="false">+SUM(X55:X56,X58:X61,X63:X64)*X$316</f>
        <v>2997.7614</v>
      </c>
      <c r="Y68" s="66" t="n">
        <f aca="false">+SUM(Y55:Y56,Y58:Y61,Y63:Y64)*Y$316</f>
        <v>2094.413347838</v>
      </c>
      <c r="Z68" s="66" t="n">
        <f aca="false">+SUM(Z55:Z56,Z58:Z61,Z63:Z64)*Z$316</f>
        <v>5086</v>
      </c>
      <c r="AA68" s="66" t="n">
        <f aca="false">+SUM(AA55:AA56,AA58:AA61,AA63:AA64)*AA$316</f>
        <v>3205.25</v>
      </c>
      <c r="AB68" s="66" t="n">
        <f aca="false">+SUM(AB55:AB56,AB58:AB61,AB63:AB64)*AB$316</f>
        <v>42549</v>
      </c>
      <c r="AC68" s="66" t="n">
        <f aca="false">+SUM(AC55:AC56,AC58:AC61,AC63:AC64)*AC$316</f>
        <v>26558</v>
      </c>
      <c r="AD68" s="66" t="n">
        <f aca="false">+SUM(AD55:AD56,AD58:AD61,AD63:AD64)*AD$316</f>
        <v>3949</v>
      </c>
      <c r="AE68" s="66" t="n">
        <f aca="false">+SUM(AE55:AE56,AE58:AE61,AE63:AE64)*AE$316</f>
        <v>99.59072811765</v>
      </c>
      <c r="AF68" s="66" t="n">
        <f aca="false">+SUM(AF55:AF56,AF58:AF61,AF63:AF64)*AF$316</f>
        <v>71.1910149071</v>
      </c>
    </row>
    <row r="69" customFormat="false" ht="10.5" hidden="false" customHeight="true" outlineLevel="0" collapsed="false">
      <c r="A69" s="31"/>
      <c r="B69" s="31"/>
      <c r="C69" s="31"/>
      <c r="D69" s="31"/>
      <c r="AE69" s="3"/>
      <c r="AF69" s="3"/>
    </row>
    <row r="70" customFormat="false" ht="10.5" hidden="false" customHeight="true" outlineLevel="0" collapsed="false">
      <c r="A70" s="31"/>
      <c r="B70" s="31"/>
      <c r="C70" s="31"/>
      <c r="D70" s="31"/>
      <c r="E70" s="2" t="s">
        <v>154</v>
      </c>
      <c r="K70" s="63" t="n">
        <v>0</v>
      </c>
      <c r="L70" s="64" t="n">
        <v>9.2</v>
      </c>
      <c r="M70" s="64" t="n">
        <v>57.6</v>
      </c>
      <c r="N70" s="64" t="n">
        <v>0</v>
      </c>
      <c r="O70" s="64" t="n">
        <v>0</v>
      </c>
      <c r="P70" s="64" t="n">
        <v>0</v>
      </c>
      <c r="Q70" s="64" t="n">
        <v>72.195</v>
      </c>
      <c r="R70" s="64" t="n">
        <v>-103</v>
      </c>
      <c r="S70" s="64" t="n">
        <v>7273.161796</v>
      </c>
      <c r="T70" s="64" t="n">
        <v>-2066.295848</v>
      </c>
      <c r="U70" s="64" t="n">
        <v>0</v>
      </c>
      <c r="V70" s="64" t="n">
        <v>64.4</v>
      </c>
      <c r="W70" s="64" t="n">
        <v>66</v>
      </c>
      <c r="X70" s="64" t="n">
        <v>140</v>
      </c>
      <c r="Y70" s="64" t="n">
        <v>-29.1</v>
      </c>
      <c r="Z70" s="64" t="n">
        <v>59</v>
      </c>
      <c r="AA70" s="64" t="n">
        <v>131.146</v>
      </c>
      <c r="AB70" s="64" t="n">
        <v>327</v>
      </c>
      <c r="AC70" s="64" t="n">
        <v>227</v>
      </c>
      <c r="AD70" s="64" t="n">
        <v>-264</v>
      </c>
      <c r="AE70" s="64" t="n">
        <v>0</v>
      </c>
      <c r="AF70" s="64" t="n">
        <v>0</v>
      </c>
    </row>
    <row r="71" customFormat="false" ht="10.5" hidden="false" customHeight="true" outlineLevel="0" collapsed="false">
      <c r="A71" s="31"/>
      <c r="B71" s="31"/>
      <c r="C71" s="31"/>
      <c r="D71" s="31"/>
      <c r="E71" s="2" t="s">
        <v>155</v>
      </c>
      <c r="K71" s="74" t="n">
        <v>0.25</v>
      </c>
      <c r="L71" s="75" t="n">
        <v>0.258</v>
      </c>
      <c r="M71" s="75" t="n">
        <v>0.21</v>
      </c>
      <c r="N71" s="75" t="n">
        <v>0.21</v>
      </c>
      <c r="O71" s="75" t="n">
        <v>0.21</v>
      </c>
      <c r="P71" s="75" t="n">
        <v>0.1443</v>
      </c>
      <c r="Q71" s="75" t="n">
        <v>0.1443</v>
      </c>
      <c r="R71" s="75" t="n">
        <v>0.13</v>
      </c>
      <c r="S71" s="75" t="n">
        <v>0.275</v>
      </c>
      <c r="T71" s="75" t="n">
        <v>0.275</v>
      </c>
      <c r="U71" s="75" t="n">
        <v>0.25</v>
      </c>
      <c r="V71" s="75" t="n">
        <v>0.2387</v>
      </c>
      <c r="W71" s="75" t="n">
        <v>0.147</v>
      </c>
      <c r="X71" s="75" t="n">
        <v>0.258</v>
      </c>
      <c r="Y71" s="75" t="n">
        <v>0.25</v>
      </c>
      <c r="Z71" s="75" t="n">
        <v>0.21</v>
      </c>
      <c r="AA71" s="75" t="n">
        <v>0.21</v>
      </c>
      <c r="AB71" s="75" t="n">
        <v>0.21</v>
      </c>
      <c r="AC71" s="75" t="n">
        <v>0.21</v>
      </c>
      <c r="AD71" s="75" t="n">
        <v>0.21</v>
      </c>
      <c r="AE71" s="75" t="n">
        <v>0.25</v>
      </c>
      <c r="AF71" s="75" t="n">
        <v>0.25</v>
      </c>
    </row>
    <row r="72" customFormat="false" ht="10.5" hidden="false" customHeight="true" outlineLevel="0" collapsed="false">
      <c r="A72" s="76"/>
      <c r="B72" s="76"/>
      <c r="C72" s="76"/>
      <c r="D72" s="76"/>
      <c r="E72" s="44" t="str">
        <f aca="false">"Total Pension Provisions ("&amp;$F$4&amp;")"</f>
        <v>Total Pension Provisions (USD)</v>
      </c>
      <c r="F72" s="54"/>
      <c r="G72" s="55"/>
      <c r="H72" s="55"/>
      <c r="I72" s="55"/>
      <c r="J72" s="55"/>
      <c r="K72" s="66" t="n">
        <f aca="false">(1-K71)*K70*K316</f>
        <v>0</v>
      </c>
      <c r="L72" s="66" t="n">
        <f aca="false">(1-L71)*L70*L316</f>
        <v>6.8264</v>
      </c>
      <c r="M72" s="66" t="n">
        <f aca="false">(1-M71)*M70*M316</f>
        <v>45.504</v>
      </c>
      <c r="N72" s="66" t="n">
        <f aca="false">(1-N71)*N70*N316</f>
        <v>0</v>
      </c>
      <c r="O72" s="66" t="n">
        <f aca="false">(1-O71)*O70*O316</f>
        <v>0</v>
      </c>
      <c r="P72" s="66" t="n">
        <f aca="false">(1-P71)*P70*P316</f>
        <v>0</v>
      </c>
      <c r="Q72" s="66" t="n">
        <f aca="false">(1-Q71)*Q70*Q316</f>
        <v>76.3107236648548</v>
      </c>
      <c r="R72" s="66" t="n">
        <f aca="false">(1-R71)*R70*R316</f>
        <v>-110.6912767185</v>
      </c>
      <c r="S72" s="66" t="n">
        <f aca="false">(1-S71)*S70*S316</f>
        <v>3.40000494597106</v>
      </c>
      <c r="T72" s="66" t="n">
        <f aca="false">(1-T71)*T70*T316</f>
        <v>-0.965937002378142</v>
      </c>
      <c r="U72" s="66" t="n">
        <f aca="false">(1-U71)*U70*U316</f>
        <v>0</v>
      </c>
      <c r="V72" s="66" t="n">
        <f aca="false">(1-V71)*V70*V316</f>
        <v>55.862184168</v>
      </c>
      <c r="W72" s="66" t="n">
        <f aca="false">(1-W71)*W70*W316</f>
        <v>69.5424338433</v>
      </c>
      <c r="X72" s="66" t="n">
        <f aca="false">(1-X71)*X70*X316</f>
        <v>118.360872</v>
      </c>
      <c r="Y72" s="66" t="n">
        <f aca="false">(1-Y71)*Y70*Y316</f>
        <v>-28.8558622035</v>
      </c>
      <c r="Z72" s="66" t="n">
        <f aca="false">(1-Z71)*Z70*Z316</f>
        <v>46.61</v>
      </c>
      <c r="AA72" s="66" t="n">
        <f aca="false">(1-AA71)*AA70*AA316</f>
        <v>103.60534</v>
      </c>
      <c r="AB72" s="66" t="n">
        <f aca="false">(1-AB71)*AB70*AB316</f>
        <v>258.33</v>
      </c>
      <c r="AC72" s="66" t="n">
        <f aca="false">(1-AC71)*AC70*AC316</f>
        <v>179.33</v>
      </c>
      <c r="AD72" s="66" t="n">
        <f aca="false">(1-AD71)*AD70*AD316</f>
        <v>-208.56</v>
      </c>
      <c r="AE72" s="66" t="n">
        <f aca="false">(1-AE71)*AE70*AE316</f>
        <v>0</v>
      </c>
      <c r="AF72" s="66" t="n">
        <f aca="false">(1-AF71)*AF70*AF316</f>
        <v>0</v>
      </c>
    </row>
    <row r="73" customFormat="false" ht="10.5" hidden="false" customHeight="true" outlineLevel="0" collapsed="false">
      <c r="A73" s="31"/>
      <c r="B73" s="31"/>
      <c r="C73" s="31"/>
      <c r="D73" s="31"/>
      <c r="AE73" s="3"/>
      <c r="AF73" s="3"/>
    </row>
    <row r="74" customFormat="false" ht="10.5" hidden="false" customHeight="true" outlineLevel="0" collapsed="false">
      <c r="A74" s="31"/>
      <c r="B74" s="31"/>
      <c r="C74" s="31"/>
      <c r="D74" s="31"/>
      <c r="E74" s="2" t="s">
        <v>156</v>
      </c>
      <c r="K74" s="63"/>
      <c r="L74" s="64" t="n">
        <v>0</v>
      </c>
      <c r="M74" s="64" t="n">
        <v>0</v>
      </c>
      <c r="N74" s="64" t="n">
        <v>0</v>
      </c>
      <c r="O74" s="64" t="n">
        <v>0</v>
      </c>
      <c r="P74" s="64" t="n">
        <v>0</v>
      </c>
      <c r="Q74" s="64" t="n">
        <v>-0.775</v>
      </c>
      <c r="R74" s="64" t="n">
        <v>32</v>
      </c>
      <c r="S74" s="64" t="n">
        <v>0</v>
      </c>
      <c r="T74" s="64" t="n">
        <v>-405.87295</v>
      </c>
      <c r="U74" s="64" t="n">
        <v>16.434</v>
      </c>
      <c r="V74" s="64" t="n">
        <v>31.8</v>
      </c>
      <c r="W74" s="64" t="n">
        <v>116</v>
      </c>
      <c r="X74" s="64" t="n">
        <v>46</v>
      </c>
      <c r="Y74" s="64" t="n">
        <v>41.4</v>
      </c>
      <c r="Z74" s="64" t="n">
        <v>0</v>
      </c>
      <c r="AA74" s="64" t="n">
        <v>0</v>
      </c>
      <c r="AB74" s="64" t="n">
        <v>128</v>
      </c>
      <c r="AC74" s="64" t="n">
        <v>11</v>
      </c>
      <c r="AD74" s="64" t="n">
        <v>0</v>
      </c>
      <c r="AE74" s="64" t="n">
        <v>6450.312</v>
      </c>
      <c r="AF74" s="64" t="n">
        <v>0</v>
      </c>
    </row>
    <row r="75" customFormat="false" ht="10.5" hidden="false" customHeight="true" outlineLevel="0" collapsed="false">
      <c r="A75" s="31"/>
      <c r="B75" s="31"/>
      <c r="C75" s="31"/>
      <c r="D75" s="31"/>
      <c r="E75" s="44" t="str">
        <f aca="false">"Minority Interest ("&amp;$F$4&amp;")"</f>
        <v>Minority Interest (USD)</v>
      </c>
      <c r="F75" s="54"/>
      <c r="G75" s="55"/>
      <c r="H75" s="55"/>
      <c r="I75" s="55"/>
      <c r="J75" s="55"/>
      <c r="K75" s="66" t="n">
        <f aca="false">IFERROR(K$316*K74,0)</f>
        <v>0</v>
      </c>
      <c r="L75" s="66" t="n">
        <f aca="false">IFERROR(L$316*L74,0)</f>
        <v>0</v>
      </c>
      <c r="M75" s="66" t="n">
        <f aca="false">IFERROR(M$316*M74,0)</f>
        <v>0</v>
      </c>
      <c r="N75" s="66" t="n">
        <f aca="false">IFERROR(N$316*N74,0)</f>
        <v>0</v>
      </c>
      <c r="O75" s="66" t="n">
        <f aca="false">IFERROR(O$316*O74,0)</f>
        <v>0</v>
      </c>
      <c r="P75" s="66" t="n">
        <f aca="false">IFERROR(P$316*P74,0)</f>
        <v>0</v>
      </c>
      <c r="Q75" s="66" t="n">
        <f aca="false">IFERROR(Q$316*Q74,0)</f>
        <v>-0.95732328375</v>
      </c>
      <c r="R75" s="66" t="n">
        <f aca="false">IFERROR(R$316*R74,0)</f>
        <v>39.5281872</v>
      </c>
      <c r="S75" s="66" t="n">
        <f aca="false">IFERROR(S$316*S74,0)</f>
        <v>0</v>
      </c>
      <c r="T75" s="66" t="n">
        <f aca="false">IFERROR(T$316*T74,0)</f>
        <v>-0.2617028194305</v>
      </c>
      <c r="U75" s="66" t="n">
        <f aca="false">IFERROR(U$316*U74,0)</f>
        <v>18.7248996</v>
      </c>
      <c r="V75" s="66" t="n">
        <f aca="false">IFERROR(V$316*V74,0)</f>
        <v>36.23292</v>
      </c>
      <c r="W75" s="66" t="n">
        <f aca="false">IFERROR(W$316*W74,0)</f>
        <v>143.2896786</v>
      </c>
      <c r="X75" s="66" t="n">
        <f aca="false">IFERROR(X$316*X74,0)</f>
        <v>52.4124</v>
      </c>
      <c r="Y75" s="66" t="n">
        <f aca="false">IFERROR(Y$316*Y74,0)</f>
        <v>54.736893252</v>
      </c>
      <c r="Z75" s="66" t="n">
        <f aca="false">IFERROR(Z$316*Z74,0)</f>
        <v>0</v>
      </c>
      <c r="AA75" s="66" t="n">
        <f aca="false">IFERROR(AA$316*AA74,0)</f>
        <v>0</v>
      </c>
      <c r="AB75" s="66" t="n">
        <f aca="false">IFERROR(AB$316*AB74,0)</f>
        <v>128</v>
      </c>
      <c r="AC75" s="66" t="n">
        <f aca="false">IFERROR(AC$316*AC74,0)</f>
        <v>11</v>
      </c>
      <c r="AD75" s="66" t="n">
        <f aca="false">IFERROR(AD$316*AD74,0)</f>
        <v>0</v>
      </c>
      <c r="AE75" s="66" t="n">
        <f aca="false">IFERROR(AE$316*AE74,0)</f>
        <v>950.6021528916</v>
      </c>
      <c r="AF75" s="66" t="n">
        <f aca="false">IFERROR(AF$316*AF74,0)</f>
        <v>0</v>
      </c>
    </row>
    <row r="76" customFormat="false" ht="10.5" hidden="false" customHeight="true" outlineLevel="0" collapsed="false">
      <c r="A76" s="31"/>
      <c r="B76" s="31"/>
      <c r="C76" s="31"/>
      <c r="D76" s="31"/>
      <c r="AE76" s="3"/>
      <c r="AF76" s="3"/>
    </row>
    <row r="77" customFormat="false" ht="10.5" hidden="false" customHeight="true" outlineLevel="0" collapsed="false">
      <c r="A77" s="31"/>
      <c r="B77" s="31"/>
      <c r="C77" s="31"/>
      <c r="D77" s="31"/>
      <c r="E77" s="2" t="s">
        <v>157</v>
      </c>
      <c r="K77" s="77"/>
      <c r="L77" s="78" t="n">
        <v>0</v>
      </c>
      <c r="M77" s="78" t="n">
        <v>0</v>
      </c>
      <c r="N77" s="78" t="n">
        <v>0</v>
      </c>
      <c r="O77" s="78" t="n">
        <v>0</v>
      </c>
      <c r="P77" s="78" t="n">
        <v>0</v>
      </c>
      <c r="Q77" s="78" t="n">
        <v>0</v>
      </c>
      <c r="R77" s="78" t="n">
        <v>0</v>
      </c>
      <c r="S77" s="78" t="n">
        <v>0</v>
      </c>
      <c r="T77" s="78" t="n">
        <v>0</v>
      </c>
      <c r="U77" s="78" t="n">
        <v>0</v>
      </c>
      <c r="V77" s="78" t="n">
        <v>1000</v>
      </c>
      <c r="W77" s="78" t="n">
        <v>0</v>
      </c>
      <c r="X77" s="78" t="n">
        <v>0</v>
      </c>
      <c r="Y77" s="78" t="n">
        <v>0</v>
      </c>
      <c r="Z77" s="78" t="n">
        <v>0</v>
      </c>
      <c r="AA77" s="78" t="n">
        <v>0</v>
      </c>
      <c r="AB77" s="78" t="n">
        <v>0</v>
      </c>
      <c r="AC77" s="78" t="n">
        <v>0</v>
      </c>
      <c r="AD77" s="78" t="n">
        <v>0</v>
      </c>
      <c r="AE77" s="78" t="n">
        <v>0</v>
      </c>
      <c r="AF77" s="78" t="n">
        <v>0</v>
      </c>
    </row>
    <row r="78" customFormat="false" ht="10.5" hidden="false" customHeight="true" outlineLevel="0" collapsed="false">
      <c r="A78" s="31"/>
      <c r="B78" s="31"/>
      <c r="C78" s="31"/>
      <c r="D78" s="31"/>
      <c r="E78" s="2" t="s">
        <v>158</v>
      </c>
      <c r="K78" s="70" t="n">
        <f aca="false">+K124+K133</f>
        <v>0</v>
      </c>
      <c r="L78" s="70" t="n">
        <f aca="false">+L124+L133</f>
        <v>0</v>
      </c>
      <c r="M78" s="70" t="n">
        <f aca="false">+M124+M133</f>
        <v>0</v>
      </c>
      <c r="N78" s="70" t="n">
        <f aca="false">+N124+N133</f>
        <v>0</v>
      </c>
      <c r="O78" s="70" t="n">
        <f aca="false">+O124+O133</f>
        <v>0</v>
      </c>
      <c r="P78" s="70" t="n">
        <f aca="false">+P124+P133</f>
        <v>0</v>
      </c>
      <c r="Q78" s="70" t="n">
        <f aca="false">+Q124+Q133</f>
        <v>0</v>
      </c>
      <c r="R78" s="70" t="n">
        <f aca="false">+R124+R133</f>
        <v>0</v>
      </c>
      <c r="S78" s="70" t="n">
        <f aca="false">+S124+S133</f>
        <v>0</v>
      </c>
      <c r="T78" s="70" t="n">
        <f aca="false">+T124+T133</f>
        <v>0</v>
      </c>
      <c r="U78" s="70" t="n">
        <f aca="false">+U124+U133</f>
        <v>0</v>
      </c>
      <c r="V78" s="70" t="n">
        <f aca="false">+V124+V133</f>
        <v>0</v>
      </c>
      <c r="W78" s="70" t="n">
        <f aca="false">+W124+W133</f>
        <v>0</v>
      </c>
      <c r="X78" s="70" t="n">
        <f aca="false">+X124+X133</f>
        <v>0</v>
      </c>
      <c r="Y78" s="70" t="n">
        <f aca="false">+Y124+Y133</f>
        <v>0</v>
      </c>
      <c r="Z78" s="70" t="n">
        <f aca="false">+Z124+Z133</f>
        <v>0</v>
      </c>
      <c r="AA78" s="70" t="n">
        <f aca="false">+AA124+AA133</f>
        <v>0</v>
      </c>
      <c r="AB78" s="70" t="n">
        <f aca="false">+AB124+AB133</f>
        <v>0</v>
      </c>
      <c r="AC78" s="70" t="n">
        <f aca="false">+AC124+AC133</f>
        <v>0</v>
      </c>
      <c r="AD78" s="70" t="n">
        <f aca="false">+AD124+AD133</f>
        <v>0</v>
      </c>
      <c r="AE78" s="70" t="n">
        <f aca="false">+AE124+AE133</f>
        <v>0</v>
      </c>
      <c r="AF78" s="70" t="n">
        <f aca="false">+AF124+AF133</f>
        <v>0</v>
      </c>
    </row>
    <row r="79" customFormat="false" ht="10.5" hidden="false" customHeight="true" outlineLevel="0" collapsed="false">
      <c r="A79" s="76"/>
      <c r="B79" s="76"/>
      <c r="C79" s="76"/>
      <c r="D79" s="76"/>
      <c r="E79" s="44" t="str">
        <f aca="false">"Total Preferred Stock ("&amp;$F$4&amp;")"</f>
        <v>Total Preferred Stock (USD)</v>
      </c>
      <c r="F79" s="54"/>
      <c r="G79" s="55"/>
      <c r="H79" s="55"/>
      <c r="I79" s="55"/>
      <c r="J79" s="55"/>
      <c r="K79" s="79" t="n">
        <f aca="false">SUM(K77:K78)*K$316</f>
        <v>0</v>
      </c>
      <c r="L79" s="79" t="n">
        <f aca="false">SUM(L77:L78)*L$316</f>
        <v>0</v>
      </c>
      <c r="M79" s="79" t="n">
        <f aca="false">SUM(M77:M78)*M$316</f>
        <v>0</v>
      </c>
      <c r="N79" s="79" t="n">
        <f aca="false">SUM(N77:N78)*N$316</f>
        <v>0</v>
      </c>
      <c r="O79" s="79" t="n">
        <f aca="false">SUM(O77:O78)*O$316</f>
        <v>0</v>
      </c>
      <c r="P79" s="79" t="n">
        <f aca="false">SUM(P77:P78)*P$316</f>
        <v>0</v>
      </c>
      <c r="Q79" s="79" t="n">
        <f aca="false">SUM(Q77:Q78)*Q$316</f>
        <v>0</v>
      </c>
      <c r="R79" s="79" t="n">
        <f aca="false">SUM(R77:R78)*R$316</f>
        <v>0</v>
      </c>
      <c r="S79" s="79" t="n">
        <f aca="false">SUM(S77:S78)*S$316</f>
        <v>0</v>
      </c>
      <c r="T79" s="79" t="n">
        <f aca="false">SUM(T77:T78)*T$316</f>
        <v>0</v>
      </c>
      <c r="U79" s="79" t="n">
        <f aca="false">SUM(U77:U78)*U$316</f>
        <v>0</v>
      </c>
      <c r="V79" s="79" t="n">
        <f aca="false">SUM(V77:V78)*V$316</f>
        <v>1139.4</v>
      </c>
      <c r="W79" s="79" t="n">
        <f aca="false">SUM(W77:W78)*W$316</f>
        <v>0</v>
      </c>
      <c r="X79" s="79" t="n">
        <f aca="false">SUM(X77:X78)*X$316</f>
        <v>0</v>
      </c>
      <c r="Y79" s="79" t="n">
        <f aca="false">SUM(Y77:Y78)*Y$316</f>
        <v>0</v>
      </c>
      <c r="Z79" s="79" t="n">
        <f aca="false">SUM(Z77:Z78)*Z$316</f>
        <v>0</v>
      </c>
      <c r="AA79" s="79" t="n">
        <f aca="false">SUM(AA77:AA78)*AA$316</f>
        <v>0</v>
      </c>
      <c r="AB79" s="79" t="n">
        <f aca="false">SUM(AB77:AB78)*AB$316</f>
        <v>0</v>
      </c>
      <c r="AC79" s="79" t="n">
        <f aca="false">SUM(AC77:AC78)*AC$316</f>
        <v>0</v>
      </c>
      <c r="AD79" s="79" t="n">
        <f aca="false">SUM(AD77:AD78)*AD$316</f>
        <v>0</v>
      </c>
      <c r="AE79" s="79" t="n">
        <f aca="false">SUM(AE77:AE78)*AE$316</f>
        <v>0</v>
      </c>
      <c r="AF79" s="79" t="n">
        <f aca="false">SUM(AF77:AF78)*AF$316</f>
        <v>0</v>
      </c>
    </row>
    <row r="80" customFormat="false" ht="10.5" hidden="false" customHeight="true" outlineLevel="0" collapsed="false">
      <c r="A80" s="31"/>
      <c r="B80" s="31"/>
      <c r="C80" s="31"/>
      <c r="D80" s="31"/>
      <c r="AE80" s="3"/>
      <c r="AF80" s="3"/>
    </row>
    <row r="81" customFormat="false" ht="10.5" hidden="false" customHeight="true" outlineLevel="0" collapsed="false">
      <c r="A81" s="31"/>
      <c r="B81" s="31"/>
      <c r="C81" s="31"/>
      <c r="D81" s="31"/>
      <c r="E81" s="2" t="s">
        <v>159</v>
      </c>
      <c r="K81" s="63"/>
      <c r="L81" s="64" t="n">
        <v>3357.74</v>
      </c>
      <c r="M81" s="64" t="n">
        <v>7173.9</v>
      </c>
      <c r="N81" s="64" t="n">
        <v>2092.9</v>
      </c>
      <c r="O81" s="64" t="n">
        <v>204.622</v>
      </c>
      <c r="P81" s="64" t="n">
        <v>1443.799</v>
      </c>
      <c r="Q81" s="64" t="n">
        <v>994.678</v>
      </c>
      <c r="R81" s="64" t="n">
        <v>8120</v>
      </c>
      <c r="S81" s="64" t="n">
        <v>8361923.185339</v>
      </c>
      <c r="T81" s="64" t="n">
        <v>629476.69308</v>
      </c>
      <c r="U81" s="64" t="n">
        <v>700.619</v>
      </c>
      <c r="V81" s="64" t="n">
        <v>3620.2</v>
      </c>
      <c r="W81" s="64" t="n">
        <v>1007</v>
      </c>
      <c r="X81" s="64" t="n">
        <v>1658</v>
      </c>
      <c r="Y81" s="64" t="n">
        <v>1061</v>
      </c>
      <c r="Z81" s="64" t="n">
        <v>15195</v>
      </c>
      <c r="AA81" s="64" t="n">
        <v>7228.758</v>
      </c>
      <c r="AB81" s="64" t="n">
        <v>52679</v>
      </c>
      <c r="AC81" s="64" t="n">
        <v>52581</v>
      </c>
      <c r="AD81" s="64" t="n">
        <v>7363</v>
      </c>
      <c r="AE81" s="64" t="n">
        <v>48070.443</v>
      </c>
      <c r="AF81" s="64" t="n">
        <v>58.095</v>
      </c>
    </row>
    <row r="82" customFormat="false" ht="10.5" hidden="false" customHeight="true" outlineLevel="0" collapsed="false">
      <c r="A82" s="31"/>
      <c r="B82" s="31"/>
      <c r="C82" s="31"/>
      <c r="D82" s="31"/>
      <c r="E82" s="2" t="s">
        <v>160</v>
      </c>
      <c r="K82" s="70" t="n">
        <f aca="false">+K94+K103+K112+K123+K132</f>
        <v>0</v>
      </c>
      <c r="L82" s="70" t="n">
        <f aca="false">+L94+L103+L112+L123+L132</f>
        <v>0</v>
      </c>
      <c r="M82" s="70" t="n">
        <f aca="false">+M94+M103+M112+M123+M132</f>
        <v>0</v>
      </c>
      <c r="N82" s="70" t="n">
        <f aca="false">+N94+N103+N112+N123+N132</f>
        <v>0</v>
      </c>
      <c r="O82" s="70" t="n">
        <f aca="false">+O94+O103+O112+O123+O132</f>
        <v>0</v>
      </c>
      <c r="P82" s="70" t="n">
        <f aca="false">+P94+P103+P112+P123+P132</f>
        <v>0</v>
      </c>
      <c r="Q82" s="70" t="n">
        <f aca="false">+Q94+Q103+Q112+Q123+Q132</f>
        <v>0</v>
      </c>
      <c r="R82" s="70" t="n">
        <f aca="false">+R94+R103+R112+R123+R132</f>
        <v>0</v>
      </c>
      <c r="S82" s="70" t="n">
        <f aca="false">+S94+S103+S112+S123+S132</f>
        <v>0</v>
      </c>
      <c r="T82" s="70" t="n">
        <f aca="false">+T94+T103+T112+T123+T132</f>
        <v>21551</v>
      </c>
      <c r="U82" s="70" t="n">
        <f aca="false">+U94+U103+U112+U123+U132</f>
        <v>0</v>
      </c>
      <c r="V82" s="70" t="n">
        <f aca="false">+V94+V103+V112+V123+V132</f>
        <v>0</v>
      </c>
      <c r="W82" s="70" t="n">
        <f aca="false">+W94+W103+W112+W123+W132</f>
        <v>0</v>
      </c>
      <c r="X82" s="70" t="n">
        <f aca="false">+X94+X103+X112+X123+X132</f>
        <v>0</v>
      </c>
      <c r="Y82" s="70" t="n">
        <f aca="false">+Y94+Y103+Y112+Y123+Y132</f>
        <v>0</v>
      </c>
      <c r="Z82" s="70" t="n">
        <f aca="false">+Z94+Z103+Z112+Z123+Z132</f>
        <v>0</v>
      </c>
      <c r="AA82" s="70" t="n">
        <f aca="false">+AA94+AA103+AA112+AA123+AA132</f>
        <v>0</v>
      </c>
      <c r="AB82" s="70" t="n">
        <f aca="false">+AB94+AB103+AB112+AB123+AB132</f>
        <v>0</v>
      </c>
      <c r="AC82" s="70" t="n">
        <f aca="false">+AC94+AC103+AC112+AC123+AC132</f>
        <v>0</v>
      </c>
      <c r="AD82" s="70" t="n">
        <f aca="false">+AD94+AD103+AD112+AD123+AD132</f>
        <v>0</v>
      </c>
      <c r="AE82" s="70" t="n">
        <f aca="false">+AE94+AE103+AE112+AE123+AE132</f>
        <v>0</v>
      </c>
      <c r="AF82" s="70" t="n">
        <f aca="false">+AF94+AF103+AF112+AF123+AF132</f>
        <v>0</v>
      </c>
    </row>
    <row r="83" customFormat="false" ht="10.5" hidden="false" customHeight="true" outlineLevel="0" collapsed="false">
      <c r="A83" s="31"/>
      <c r="B83" s="31"/>
      <c r="C83" s="31"/>
      <c r="D83" s="31"/>
      <c r="E83" s="2" t="s">
        <v>161</v>
      </c>
      <c r="K83" s="70" t="n">
        <f aca="false">+SUMPRODUCT(K164:K173,K175:K184)</f>
        <v>0</v>
      </c>
      <c r="L83" s="70" t="n">
        <f aca="false">+SUMPRODUCT(L164:L173,L175:L184)</f>
        <v>0</v>
      </c>
      <c r="M83" s="70" t="n">
        <f aca="false">+SUMPRODUCT(M164:M173,M175:M184)</f>
        <v>4.93062237429041</v>
      </c>
      <c r="N83" s="70" t="n">
        <f aca="false">+SUMPRODUCT(N164:N173,N175:N184)</f>
        <v>20.241778104335</v>
      </c>
      <c r="O83" s="70" t="n">
        <f aca="false">+SUMPRODUCT(O164:O173,O175:O184)</f>
        <v>0</v>
      </c>
      <c r="P83" s="70" t="n">
        <f aca="false">+SUMPRODUCT(P164:P173,P175:P184)</f>
        <v>0</v>
      </c>
      <c r="Q83" s="70" t="n">
        <f aca="false">+SUMPRODUCT(Q164:Q173,Q175:Q184)</f>
        <v>0</v>
      </c>
      <c r="R83" s="70" t="n">
        <f aca="false">+SUMPRODUCT(R164:R173,R175:R184)</f>
        <v>0</v>
      </c>
      <c r="S83" s="70" t="n">
        <f aca="false">+SUMPRODUCT(S164:S173,S175:S184)</f>
        <v>0</v>
      </c>
      <c r="T83" s="70" t="n">
        <f aca="false">+SUMPRODUCT(T164:T173,T175:T184)</f>
        <v>0</v>
      </c>
      <c r="U83" s="70" t="n">
        <f aca="false">+SUMPRODUCT(U164:U173,U175:U184)</f>
        <v>0</v>
      </c>
      <c r="V83" s="70" t="n">
        <f aca="false">+SUMPRODUCT(V164:V173,V175:V184)</f>
        <v>128.740685704967</v>
      </c>
      <c r="W83" s="70" t="n">
        <f aca="false">+SUMPRODUCT(W164:W173,W175:W184)</f>
        <v>0</v>
      </c>
      <c r="X83" s="70" t="n">
        <f aca="false">+SUMPRODUCT(X164:X173,X175:X184)</f>
        <v>11.322652809267</v>
      </c>
      <c r="Y83" s="70" t="n">
        <f aca="false">+SUMPRODUCT(Y164:Y173,Y175:Y184)</f>
        <v>0</v>
      </c>
      <c r="Z83" s="70" t="n">
        <f aca="false">+SUMPRODUCT(Z164:Z173,Z175:Z184)</f>
        <v>52.2373039257407</v>
      </c>
      <c r="AA83" s="70" t="n">
        <f aca="false">+SUMPRODUCT(AA164:AA173,AA175:AA184)</f>
        <v>23.3121382881816</v>
      </c>
      <c r="AB83" s="70" t="n">
        <f aca="false">+SUMPRODUCT(AB164:AB173,AB175:AB184)</f>
        <v>500.864101174935</v>
      </c>
      <c r="AC83" s="70" t="n">
        <f aca="false">+SUMPRODUCT(AC164:AC173,AC175:AC184)</f>
        <v>428.62723795404</v>
      </c>
      <c r="AD83" s="70" t="n">
        <f aca="false">+SUMPRODUCT(AD164:AD173,AD175:AD184)</f>
        <v>21.1311562307027</v>
      </c>
      <c r="AE83" s="70" t="n">
        <f aca="false">+SUMPRODUCT(AE164:AE173,AE175:AE184)</f>
        <v>67.3917115767062</v>
      </c>
      <c r="AF83" s="70" t="n">
        <f aca="false">+SUMPRODUCT(AF164:AF173,AF175:AF184)</f>
        <v>0.359220249481936</v>
      </c>
    </row>
    <row r="84" customFormat="false" ht="10.5" hidden="false" customHeight="true" outlineLevel="0" collapsed="false">
      <c r="A84" s="31"/>
      <c r="B84" s="31"/>
      <c r="C84" s="31"/>
      <c r="D84" s="31"/>
      <c r="E84" s="44" t="str">
        <f aca="false">"Total Stockholders’ Equity ("&amp;$F$4&amp;")"</f>
        <v>Total Stockholders’ Equity (USD)</v>
      </c>
      <c r="F84" s="54"/>
      <c r="G84" s="55"/>
      <c r="H84" s="55"/>
      <c r="I84" s="55"/>
      <c r="J84" s="55"/>
      <c r="K84" s="66" t="n">
        <f aca="false">+SUM(K81:K83)*K316</f>
        <v>0</v>
      </c>
      <c r="L84" s="66" t="n">
        <f aca="false">+SUM(L81:L83)*L316</f>
        <v>3357.74</v>
      </c>
      <c r="M84" s="66" t="n">
        <f aca="false">+SUM(M81:M83)*M316</f>
        <v>7178.83062237429</v>
      </c>
      <c r="N84" s="66" t="n">
        <f aca="false">+SUM(N81:N83)*N316</f>
        <v>2113.14177810434</v>
      </c>
      <c r="O84" s="66" t="n">
        <f aca="false">+SUM(O81:O83)*O316</f>
        <v>204.622</v>
      </c>
      <c r="P84" s="66" t="n">
        <f aca="false">+SUM(P81:P83)*P316</f>
        <v>1783.46116097415</v>
      </c>
      <c r="Q84" s="66" t="n">
        <f aca="false">+SUM(Q81:Q83)*Q316</f>
        <v>1228.6818183663</v>
      </c>
      <c r="R84" s="66" t="n">
        <f aca="false">+SUM(R81:R83)*R316</f>
        <v>10030.277502</v>
      </c>
      <c r="S84" s="66" t="n">
        <f aca="false">+SUM(S81:S83)*S316</f>
        <v>5391.68445067473</v>
      </c>
      <c r="T84" s="66" t="n">
        <f aca="false">+SUM(T81:T83)*T316</f>
        <v>419.776146221053</v>
      </c>
      <c r="U84" s="66" t="n">
        <f aca="false">+SUM(U81:U83)*U316</f>
        <v>798.2852886</v>
      </c>
      <c r="V84" s="66" t="n">
        <f aca="false">+SUM(V81:V83)*V316</f>
        <v>4271.54301729224</v>
      </c>
      <c r="W84" s="66" t="n">
        <f aca="false">+SUM(W81:W83)*W316</f>
        <v>1243.90264095</v>
      </c>
      <c r="X84" s="66" t="n">
        <f aca="false">+SUM(X81:X83)*X316</f>
        <v>1902.02623061088</v>
      </c>
      <c r="Y84" s="66" t="n">
        <f aca="false">+SUM(Y81:Y83)*Y316</f>
        <v>1402.79815798</v>
      </c>
      <c r="Z84" s="66" t="n">
        <f aca="false">+SUM(Z81:Z83)*Z316</f>
        <v>15247.2373039257</v>
      </c>
      <c r="AA84" s="66" t="n">
        <f aca="false">+SUM(AA81:AA83)*AA316</f>
        <v>7252.07013828818</v>
      </c>
      <c r="AB84" s="66" t="n">
        <f aca="false">+SUM(AB81:AB83)*AB316</f>
        <v>53179.8641011749</v>
      </c>
      <c r="AC84" s="66" t="n">
        <f aca="false">+SUM(AC81:AC83)*AC316</f>
        <v>53009.627237954</v>
      </c>
      <c r="AD84" s="66" t="n">
        <f aca="false">+SUM(AD81:AD83)*AD316</f>
        <v>7384.1311562307</v>
      </c>
      <c r="AE84" s="66" t="n">
        <f aca="false">+SUM(AE81:AE83)*AE316</f>
        <v>7094.21952184093</v>
      </c>
      <c r="AF84" s="66" t="n">
        <f aca="false">+SUM(AF81:AF83)*AF316</f>
        <v>77.2850824619514</v>
      </c>
    </row>
    <row r="85" customFormat="false" ht="10.5" hidden="false" customHeight="true" outlineLevel="0" collapsed="false">
      <c r="A85" s="31"/>
      <c r="B85" s="31"/>
      <c r="C85" s="31"/>
      <c r="D85" s="31"/>
      <c r="AE85" s="3"/>
      <c r="AF85" s="3"/>
    </row>
    <row r="86" customFormat="false" ht="10.5" hidden="false" customHeight="true" outlineLevel="0" collapsed="false">
      <c r="A86" s="28" t="s">
        <v>28</v>
      </c>
      <c r="B86" s="28" t="s">
        <v>28</v>
      </c>
      <c r="C86" s="28"/>
      <c r="D86" s="28"/>
      <c r="E86" s="29" t="s">
        <v>162</v>
      </c>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row>
    <row r="87" s="4" customFormat="true" ht="10.5" hidden="false" customHeight="true" outlineLevel="0" collapsed="false"/>
    <row r="88" customFormat="false" ht="10.5" hidden="false" customHeight="true" outlineLevel="0" collapsed="false">
      <c r="A88" s="31"/>
      <c r="B88" s="31"/>
      <c r="C88" s="31"/>
      <c r="D88" s="31"/>
      <c r="E88" s="2" t="s">
        <v>163</v>
      </c>
      <c r="K88" s="80"/>
      <c r="L88" s="81" t="n">
        <v>742.963</v>
      </c>
      <c r="M88" s="80"/>
      <c r="N88" s="80"/>
      <c r="O88" s="80"/>
      <c r="P88" s="80"/>
      <c r="Q88" s="80"/>
      <c r="R88" s="80"/>
      <c r="S88" s="80"/>
      <c r="T88" s="81" t="n">
        <v>17383.4962239557</v>
      </c>
      <c r="U88" s="80"/>
      <c r="V88" s="80"/>
      <c r="W88" s="80"/>
      <c r="X88" s="80"/>
      <c r="Y88" s="80"/>
      <c r="Z88" s="80"/>
      <c r="AA88" s="80"/>
      <c r="AB88" s="80"/>
      <c r="AC88" s="80"/>
      <c r="AD88" s="80"/>
      <c r="AE88" s="80"/>
      <c r="AF88" s="80"/>
    </row>
    <row r="89" customFormat="false" ht="10.5" hidden="false" customHeight="true" outlineLevel="0" collapsed="false">
      <c r="A89" s="31"/>
      <c r="B89" s="31"/>
      <c r="C89" s="31"/>
      <c r="D89" s="31"/>
      <c r="E89" s="2" t="s">
        <v>164</v>
      </c>
      <c r="K89" s="80"/>
      <c r="L89" s="81" t="n">
        <v>750</v>
      </c>
      <c r="M89" s="80"/>
      <c r="N89" s="80"/>
      <c r="O89" s="80"/>
      <c r="P89" s="80"/>
      <c r="Q89" s="80"/>
      <c r="R89" s="80"/>
      <c r="S89" s="80"/>
      <c r="T89" s="81" t="n">
        <v>21551</v>
      </c>
      <c r="U89" s="80"/>
      <c r="V89" s="80"/>
      <c r="W89" s="80"/>
      <c r="X89" s="80"/>
      <c r="Y89" s="80"/>
      <c r="Z89" s="80"/>
      <c r="AA89" s="80"/>
      <c r="AB89" s="80"/>
      <c r="AC89" s="80"/>
      <c r="AD89" s="80"/>
      <c r="AE89" s="80"/>
      <c r="AF89" s="80"/>
    </row>
    <row r="90" customFormat="false" ht="10.5" hidden="false" customHeight="true" outlineLevel="0" collapsed="false">
      <c r="A90" s="31"/>
      <c r="B90" s="31"/>
      <c r="C90" s="31"/>
      <c r="D90" s="31"/>
      <c r="E90" s="2" t="s">
        <v>165</v>
      </c>
      <c r="K90" s="80"/>
      <c r="L90" s="81" t="n">
        <v>64.1287</v>
      </c>
      <c r="M90" s="80"/>
      <c r="N90" s="80"/>
      <c r="O90" s="80"/>
      <c r="P90" s="80"/>
      <c r="Q90" s="80"/>
      <c r="R90" s="80"/>
      <c r="S90" s="80"/>
      <c r="T90" s="81" t="n">
        <v>79648</v>
      </c>
      <c r="U90" s="80"/>
      <c r="V90" s="80"/>
      <c r="W90" s="80"/>
      <c r="X90" s="80"/>
      <c r="Y90" s="80"/>
      <c r="Z90" s="80"/>
      <c r="AA90" s="80"/>
      <c r="AB90" s="80"/>
      <c r="AC90" s="80"/>
      <c r="AD90" s="80"/>
      <c r="AE90" s="80"/>
      <c r="AF90" s="80"/>
    </row>
    <row r="91" customFormat="false" ht="10.5" hidden="false" customHeight="true" outlineLevel="0" collapsed="false">
      <c r="A91" s="31"/>
      <c r="B91" s="31"/>
      <c r="C91" s="31"/>
      <c r="D91" s="31"/>
      <c r="E91" s="2" t="s">
        <v>166</v>
      </c>
      <c r="K91" s="82" t="n">
        <f aca="false">K90*K$313</f>
        <v>0</v>
      </c>
      <c r="L91" s="82" t="n">
        <f aca="false">L90*L$313</f>
        <v>64.1287</v>
      </c>
      <c r="M91" s="82" t="n">
        <f aca="false">M90*M$313</f>
        <v>0</v>
      </c>
      <c r="N91" s="82" t="n">
        <f aca="false">N90*N$313</f>
        <v>0</v>
      </c>
      <c r="O91" s="82" t="n">
        <f aca="false">O90*O$313</f>
        <v>0</v>
      </c>
      <c r="P91" s="82" t="n">
        <f aca="false">P90*P$313</f>
        <v>0</v>
      </c>
      <c r="Q91" s="82" t="n">
        <f aca="false">Q90*Q$313</f>
        <v>0</v>
      </c>
      <c r="R91" s="82" t="n">
        <f aca="false">R90*R$313</f>
        <v>0</v>
      </c>
      <c r="S91" s="82" t="n">
        <f aca="false">S90*S$313</f>
        <v>0</v>
      </c>
      <c r="T91" s="82" t="n">
        <f aca="false">T90*T$313</f>
        <v>58.04507296</v>
      </c>
      <c r="U91" s="82" t="n">
        <f aca="false">U90*U$313</f>
        <v>0</v>
      </c>
      <c r="V91" s="82" t="n">
        <f aca="false">V90*V$313</f>
        <v>0</v>
      </c>
      <c r="W91" s="82" t="n">
        <f aca="false">W90*W$313</f>
        <v>0</v>
      </c>
      <c r="X91" s="82" t="n">
        <f aca="false">X90*X$313</f>
        <v>0</v>
      </c>
      <c r="Y91" s="82" t="n">
        <f aca="false">Y90*Y$313</f>
        <v>0</v>
      </c>
      <c r="Z91" s="82" t="n">
        <f aca="false">Z90*Z$313</f>
        <v>0</v>
      </c>
      <c r="AA91" s="82" t="n">
        <f aca="false">AA90*AA$313</f>
        <v>0</v>
      </c>
      <c r="AB91" s="82" t="n">
        <f aca="false">AB90*AB$313</f>
        <v>0</v>
      </c>
      <c r="AC91" s="82" t="n">
        <f aca="false">AC90*AC$313</f>
        <v>0</v>
      </c>
      <c r="AD91" s="82" t="n">
        <f aca="false">AD90*AD$313</f>
        <v>0</v>
      </c>
      <c r="AE91" s="82" t="n">
        <f aca="false">AE90*AE$313</f>
        <v>0</v>
      </c>
      <c r="AF91" s="82" t="n">
        <f aca="false">AF90*AF$313</f>
        <v>0</v>
      </c>
    </row>
    <row r="92" customFormat="false" ht="10.5" hidden="false" customHeight="true" outlineLevel="0" collapsed="false">
      <c r="A92" s="31"/>
      <c r="B92" s="31"/>
      <c r="C92" s="31"/>
      <c r="D92" s="31"/>
      <c r="E92" s="2" t="s">
        <v>167</v>
      </c>
      <c r="K92" s="83" t="n">
        <f aca="false">+IF(K91&lt;K$20,1,0)</f>
        <v>0</v>
      </c>
      <c r="L92" s="83" t="n">
        <f aca="false">+IF(L91&lt;L$20,1,0)</f>
        <v>0</v>
      </c>
      <c r="M92" s="83" t="n">
        <f aca="false">+IF(M91&lt;M$20,1,0)</f>
        <v>1</v>
      </c>
      <c r="N92" s="83" t="n">
        <f aca="false">+IF(N91&lt;N$20,1,0)</f>
        <v>1</v>
      </c>
      <c r="O92" s="83" t="n">
        <f aca="false">+IF(O91&lt;O$20,1,0)</f>
        <v>1</v>
      </c>
      <c r="P92" s="83" t="n">
        <f aca="false">+IF(P91&lt;P$20,1,0)</f>
        <v>1</v>
      </c>
      <c r="Q92" s="83" t="n">
        <f aca="false">+IF(Q91&lt;Q$20,1,0)</f>
        <v>1</v>
      </c>
      <c r="R92" s="83" t="n">
        <f aca="false">+IF(R91&lt;R$20,1,0)</f>
        <v>1</v>
      </c>
      <c r="S92" s="83" t="n">
        <f aca="false">+IF(S91&lt;S$20,1,0)</f>
        <v>1</v>
      </c>
      <c r="T92" s="83" t="n">
        <f aca="false">+IF(T91&lt;T$20,1,0)</f>
        <v>1</v>
      </c>
      <c r="U92" s="83" t="n">
        <f aca="false">+IF(U91&lt;U$20,1,0)</f>
        <v>1</v>
      </c>
      <c r="V92" s="83" t="n">
        <f aca="false">+IF(V91&lt;V$20,1,0)</f>
        <v>1</v>
      </c>
      <c r="W92" s="83" t="n">
        <f aca="false">+IF(W91&lt;W$20,1,0)</f>
        <v>1</v>
      </c>
      <c r="X92" s="83" t="n">
        <f aca="false">+IF(X91&lt;X$20,1,0)</f>
        <v>1</v>
      </c>
      <c r="Y92" s="83" t="n">
        <f aca="false">+IF(Y91&lt;Y$20,1,0)</f>
        <v>1</v>
      </c>
      <c r="Z92" s="83" t="n">
        <f aca="false">+IF(Z91&lt;Z$20,1,0)</f>
        <v>1</v>
      </c>
      <c r="AA92" s="83" t="n">
        <f aca="false">+IF(AA91&lt;AA$20,1,0)</f>
        <v>1</v>
      </c>
      <c r="AB92" s="83" t="n">
        <f aca="false">+IF(AB91&lt;AB$20,1,0)</f>
        <v>1</v>
      </c>
      <c r="AC92" s="83" t="n">
        <f aca="false">+IF(AC91&lt;AC$20,1,0)</f>
        <v>1</v>
      </c>
      <c r="AD92" s="83" t="n">
        <f aca="false">+IF(AD91&lt;AD$20,1,0)</f>
        <v>1</v>
      </c>
      <c r="AE92" s="83" t="n">
        <f aca="false">+IF(AE91&lt;AE$20,1,0)</f>
        <v>1</v>
      </c>
      <c r="AF92" s="83" t="n">
        <f aca="false">+IF(AF91&lt;AF$20,1,0)</f>
        <v>1</v>
      </c>
    </row>
    <row r="93" customFormat="false" ht="10.5" hidden="false" customHeight="true" outlineLevel="0" collapsed="false">
      <c r="A93" s="31"/>
      <c r="B93" s="31"/>
      <c r="C93" s="31"/>
      <c r="D93" s="31"/>
      <c r="E93" s="2" t="s">
        <v>168</v>
      </c>
      <c r="K93" s="84" t="n">
        <f aca="false">+IFERROR(K89/K90*K92,0)</f>
        <v>0</v>
      </c>
      <c r="L93" s="84" t="n">
        <f aca="false">+IFERROR(L89/L90*L92,0)</f>
        <v>0</v>
      </c>
      <c r="M93" s="84" t="n">
        <f aca="false">+IFERROR(M89/M90*M92,0)</f>
        <v>0</v>
      </c>
      <c r="N93" s="84" t="n">
        <f aca="false">+IFERROR(N89/N90*N92,0)</f>
        <v>0</v>
      </c>
      <c r="O93" s="84" t="n">
        <f aca="false">+IFERROR(O89/O90*O92,0)</f>
        <v>0</v>
      </c>
      <c r="P93" s="84" t="n">
        <f aca="false">+IFERROR(P89/P90*P92,0)</f>
        <v>0</v>
      </c>
      <c r="Q93" s="84" t="n">
        <f aca="false">+IFERROR(Q89/Q90*Q92,0)</f>
        <v>0</v>
      </c>
      <c r="R93" s="84" t="n">
        <f aca="false">+IFERROR(R89/R90*R92,0)</f>
        <v>0</v>
      </c>
      <c r="S93" s="84" t="n">
        <f aca="false">+IFERROR(S89/S90*S92,0)</f>
        <v>0</v>
      </c>
      <c r="T93" s="84" t="n">
        <f aca="false">+IFERROR(T89/T90*T92,0)</f>
        <v>0.27057804339092</v>
      </c>
      <c r="U93" s="84" t="n">
        <f aca="false">+IFERROR(U89/U90*U92,0)</f>
        <v>0</v>
      </c>
      <c r="V93" s="84" t="n">
        <f aca="false">+IFERROR(V89/V90*V92,0)</f>
        <v>0</v>
      </c>
      <c r="W93" s="84" t="n">
        <f aca="false">+IFERROR(W89/W90*W92,0)</f>
        <v>0</v>
      </c>
      <c r="X93" s="84" t="n">
        <f aca="false">+IFERROR(X89/X90*X92,0)</f>
        <v>0</v>
      </c>
      <c r="Y93" s="84" t="n">
        <f aca="false">+IFERROR(Y89/Y90*Y92,0)</f>
        <v>0</v>
      </c>
      <c r="Z93" s="84" t="n">
        <f aca="false">+IFERROR(Z89/Z90*Z92,0)</f>
        <v>0</v>
      </c>
      <c r="AA93" s="84" t="n">
        <f aca="false">+IFERROR(AA89/AA90*AA92,0)</f>
        <v>0</v>
      </c>
      <c r="AB93" s="84" t="n">
        <f aca="false">+IFERROR(AB89/AB90*AB92,0)</f>
        <v>0</v>
      </c>
      <c r="AC93" s="84" t="n">
        <f aca="false">+IFERROR(AC89/AC90*AC92,0)</f>
        <v>0</v>
      </c>
      <c r="AD93" s="84" t="n">
        <f aca="false">+IFERROR(AD89/AD90*AD92,0)</f>
        <v>0</v>
      </c>
      <c r="AE93" s="84" t="n">
        <f aca="false">+IFERROR(AE89/AE90*AE92,0)</f>
        <v>0</v>
      </c>
      <c r="AF93" s="84" t="n">
        <f aca="false">+IFERROR(AF89/AF90*AF92,0)</f>
        <v>0</v>
      </c>
    </row>
    <row r="94" customFormat="false" ht="10.5" hidden="false" customHeight="true" outlineLevel="0" collapsed="false">
      <c r="A94" s="31"/>
      <c r="B94" s="31"/>
      <c r="C94" s="31"/>
      <c r="D94" s="31"/>
      <c r="E94" s="2" t="s">
        <v>169</v>
      </c>
      <c r="K94" s="48" t="n">
        <f aca="false">K92*K89</f>
        <v>0</v>
      </c>
      <c r="L94" s="48" t="n">
        <f aca="false">L92*L89</f>
        <v>0</v>
      </c>
      <c r="M94" s="48" t="n">
        <f aca="false">M92*M89</f>
        <v>0</v>
      </c>
      <c r="N94" s="48" t="n">
        <f aca="false">N92*N89</f>
        <v>0</v>
      </c>
      <c r="O94" s="48" t="n">
        <f aca="false">O92*O89</f>
        <v>0</v>
      </c>
      <c r="P94" s="48" t="n">
        <f aca="false">P92*P89</f>
        <v>0</v>
      </c>
      <c r="Q94" s="48" t="n">
        <f aca="false">Q92*Q89</f>
        <v>0</v>
      </c>
      <c r="R94" s="48" t="n">
        <f aca="false">R92*R89</f>
        <v>0</v>
      </c>
      <c r="S94" s="48" t="n">
        <f aca="false">S92*S89</f>
        <v>0</v>
      </c>
      <c r="T94" s="48" t="n">
        <f aca="false">T92*T89</f>
        <v>21551</v>
      </c>
      <c r="U94" s="48" t="n">
        <f aca="false">U92*U89</f>
        <v>0</v>
      </c>
      <c r="V94" s="48" t="n">
        <f aca="false">V92*V89</f>
        <v>0</v>
      </c>
      <c r="W94" s="48" t="n">
        <f aca="false">W92*W89</f>
        <v>0</v>
      </c>
      <c r="X94" s="48" t="n">
        <f aca="false">X92*X89</f>
        <v>0</v>
      </c>
      <c r="Y94" s="48" t="n">
        <f aca="false">Y92*Y89</f>
        <v>0</v>
      </c>
      <c r="Z94" s="48" t="n">
        <f aca="false">Z92*Z89</f>
        <v>0</v>
      </c>
      <c r="AA94" s="48" t="n">
        <f aca="false">AA92*AA89</f>
        <v>0</v>
      </c>
      <c r="AB94" s="48" t="n">
        <f aca="false">AB92*AB89</f>
        <v>0</v>
      </c>
      <c r="AC94" s="48" t="n">
        <f aca="false">AC92*AC89</f>
        <v>0</v>
      </c>
      <c r="AD94" s="48" t="n">
        <f aca="false">AD92*AD89</f>
        <v>0</v>
      </c>
      <c r="AE94" s="48" t="n">
        <f aca="false">AE92*AE89</f>
        <v>0</v>
      </c>
      <c r="AF94" s="48" t="n">
        <f aca="false">AF92*AF89</f>
        <v>0</v>
      </c>
    </row>
    <row r="95" customFormat="false" ht="10.5" hidden="false" customHeight="true" outlineLevel="0" collapsed="false">
      <c r="A95" s="31"/>
      <c r="B95" s="31"/>
      <c r="C95" s="31"/>
      <c r="D95" s="31"/>
      <c r="E95" s="2" t="s">
        <v>170</v>
      </c>
      <c r="K95" s="48" t="n">
        <f aca="false">+IF(K92=1,-K88,(K89-K88))</f>
        <v>0</v>
      </c>
      <c r="L95" s="48" t="n">
        <f aca="false">+IF(L92=1,-L88,(L89-L88))</f>
        <v>7.03700000000004</v>
      </c>
      <c r="M95" s="48" t="n">
        <f aca="false">+IF(M92=1,-M88,(M89-M88))</f>
        <v>-0</v>
      </c>
      <c r="N95" s="48" t="n">
        <f aca="false">+IF(N92=1,-N88,(N89-N88))</f>
        <v>-0</v>
      </c>
      <c r="O95" s="48" t="n">
        <f aca="false">+IF(O92=1,-O88,(O89-O88))</f>
        <v>-0</v>
      </c>
      <c r="P95" s="48" t="n">
        <f aca="false">+IF(P92=1,-P88,(P89-P88))</f>
        <v>-0</v>
      </c>
      <c r="Q95" s="48" t="n">
        <f aca="false">+IF(Q92=1,-Q88,(Q89-Q88))</f>
        <v>-0</v>
      </c>
      <c r="R95" s="48" t="n">
        <f aca="false">+IF(R92=1,-R88,(R89-R88))</f>
        <v>-0</v>
      </c>
      <c r="S95" s="48" t="n">
        <f aca="false">+IF(S92=1,-S88,(S89-S88))</f>
        <v>-0</v>
      </c>
      <c r="T95" s="48" t="n">
        <f aca="false">+IF(T92=1,-T88,(T89-T88))</f>
        <v>-17383.4962239557</v>
      </c>
      <c r="U95" s="48" t="n">
        <f aca="false">+IF(U92=1,-U88,(U89-U88))</f>
        <v>-0</v>
      </c>
      <c r="V95" s="48" t="n">
        <f aca="false">+IF(V92=1,-V88,(V89-V88))</f>
        <v>-0</v>
      </c>
      <c r="W95" s="48" t="n">
        <f aca="false">+IF(W92=1,-W88,(W89-W88))</f>
        <v>-0</v>
      </c>
      <c r="X95" s="48" t="n">
        <f aca="false">+IF(X92=1,-X88,(X89-X88))</f>
        <v>-0</v>
      </c>
      <c r="Y95" s="48" t="n">
        <f aca="false">+IF(Y92=1,-Y88,(Y89-Y88))</f>
        <v>-0</v>
      </c>
      <c r="Z95" s="48" t="n">
        <f aca="false">+IF(Z92=1,-Z88,(Z89-Z88))</f>
        <v>-0</v>
      </c>
      <c r="AA95" s="48" t="n">
        <f aca="false">+IF(AA92=1,-AA88,(AA89-AA88))</f>
        <v>-0</v>
      </c>
      <c r="AB95" s="48" t="n">
        <f aca="false">+IF(AB92=1,-AB88,(AB89-AB88))</f>
        <v>-0</v>
      </c>
      <c r="AC95" s="48" t="n">
        <f aca="false">+IF(AC92=1,-AC88,(AC89-AC88))</f>
        <v>-0</v>
      </c>
      <c r="AD95" s="48" t="n">
        <f aca="false">+IF(AD92=1,-AD88,(AD89-AD88))</f>
        <v>-0</v>
      </c>
      <c r="AE95" s="48" t="n">
        <f aca="false">+IF(AE92=1,-AE88,(AE89-AE88))</f>
        <v>-0</v>
      </c>
      <c r="AF95" s="48" t="n">
        <f aca="false">+IF(AF92=1,-AF88,(AF89-AF88))</f>
        <v>-0</v>
      </c>
    </row>
    <row r="96" customFormat="false" ht="10.5" hidden="false" customHeight="true" outlineLevel="0" collapsed="false">
      <c r="A96" s="31"/>
      <c r="B96" s="31"/>
      <c r="C96" s="31"/>
      <c r="D96" s="31"/>
      <c r="AE96" s="3"/>
      <c r="AF96" s="3"/>
    </row>
    <row r="97" customFormat="false" ht="10.5" hidden="false" customHeight="true" outlineLevel="0" collapsed="false">
      <c r="A97" s="31"/>
      <c r="B97" s="31"/>
      <c r="C97" s="31"/>
      <c r="D97" s="31"/>
      <c r="E97" s="2" t="s">
        <v>163</v>
      </c>
      <c r="K97" s="80"/>
      <c r="L97" s="81" t="n">
        <v>495.671</v>
      </c>
      <c r="M97" s="80"/>
      <c r="N97" s="80"/>
      <c r="O97" s="80"/>
      <c r="P97" s="80"/>
      <c r="Q97" s="80"/>
      <c r="R97" s="80"/>
      <c r="S97" s="80"/>
      <c r="T97" s="80"/>
      <c r="U97" s="80"/>
      <c r="V97" s="80"/>
      <c r="W97" s="80"/>
      <c r="X97" s="80"/>
      <c r="Y97" s="80"/>
      <c r="Z97" s="80"/>
      <c r="AA97" s="80"/>
      <c r="AB97" s="80"/>
      <c r="AC97" s="80"/>
      <c r="AD97" s="80"/>
      <c r="AE97" s="80"/>
      <c r="AF97" s="80"/>
    </row>
    <row r="98" customFormat="false" ht="10.5" hidden="false" customHeight="true" outlineLevel="0" collapsed="false">
      <c r="A98" s="31"/>
      <c r="B98" s="31"/>
      <c r="C98" s="31"/>
      <c r="D98" s="31"/>
      <c r="E98" s="2" t="s">
        <v>164</v>
      </c>
      <c r="K98" s="80"/>
      <c r="L98" s="81" t="n">
        <v>500</v>
      </c>
      <c r="M98" s="80"/>
      <c r="N98" s="80"/>
      <c r="O98" s="80"/>
      <c r="P98" s="80"/>
      <c r="Q98" s="80"/>
      <c r="R98" s="80"/>
      <c r="S98" s="80"/>
      <c r="T98" s="80"/>
      <c r="U98" s="80"/>
      <c r="V98" s="80"/>
      <c r="W98" s="80"/>
      <c r="X98" s="80"/>
      <c r="Y98" s="80"/>
      <c r="Z98" s="80"/>
      <c r="AA98" s="80"/>
      <c r="AB98" s="80"/>
      <c r="AC98" s="80"/>
      <c r="AD98" s="80"/>
      <c r="AE98" s="80"/>
      <c r="AF98" s="80"/>
    </row>
    <row r="99" customFormat="false" ht="10.5" hidden="false" customHeight="true" outlineLevel="0" collapsed="false">
      <c r="A99" s="31"/>
      <c r="B99" s="31"/>
      <c r="C99" s="31"/>
      <c r="D99" s="31"/>
      <c r="E99" s="2" t="s">
        <v>165</v>
      </c>
      <c r="K99" s="80"/>
      <c r="L99" s="81" t="n">
        <v>63.1914</v>
      </c>
      <c r="M99" s="80"/>
      <c r="N99" s="80"/>
      <c r="O99" s="80"/>
      <c r="P99" s="80"/>
      <c r="Q99" s="80"/>
      <c r="R99" s="80"/>
      <c r="S99" s="80"/>
      <c r="T99" s="80"/>
      <c r="U99" s="80"/>
      <c r="V99" s="80"/>
      <c r="W99" s="80"/>
      <c r="X99" s="80"/>
      <c r="Y99" s="80"/>
      <c r="Z99" s="80"/>
      <c r="AA99" s="80"/>
      <c r="AB99" s="80"/>
      <c r="AC99" s="80"/>
      <c r="AD99" s="80"/>
      <c r="AE99" s="80"/>
      <c r="AF99" s="80"/>
    </row>
    <row r="100" customFormat="false" ht="10.5" hidden="false" customHeight="true" outlineLevel="0" collapsed="false">
      <c r="A100" s="31"/>
      <c r="B100" s="31"/>
      <c r="C100" s="31"/>
      <c r="D100" s="31"/>
      <c r="E100" s="2" t="s">
        <v>166</v>
      </c>
      <c r="K100" s="84" t="n">
        <f aca="false">K99*K$313</f>
        <v>0</v>
      </c>
      <c r="L100" s="84" t="n">
        <f aca="false">L99*L$313</f>
        <v>63.1914</v>
      </c>
      <c r="M100" s="84" t="n">
        <f aca="false">M99*M$313</f>
        <v>0</v>
      </c>
      <c r="N100" s="84" t="n">
        <f aca="false">N99*N$313</f>
        <v>0</v>
      </c>
      <c r="O100" s="84" t="n">
        <f aca="false">O99*O$313</f>
        <v>0</v>
      </c>
      <c r="P100" s="84" t="n">
        <f aca="false">P99*P$313</f>
        <v>0</v>
      </c>
      <c r="Q100" s="84" t="n">
        <f aca="false">Q99*Q$313</f>
        <v>0</v>
      </c>
      <c r="R100" s="84" t="n">
        <f aca="false">R99*R$313</f>
        <v>0</v>
      </c>
      <c r="S100" s="84" t="n">
        <f aca="false">S99*S$313</f>
        <v>0</v>
      </c>
      <c r="T100" s="84" t="n">
        <f aca="false">T99*T$313</f>
        <v>0</v>
      </c>
      <c r="U100" s="84" t="n">
        <f aca="false">U99*U$313</f>
        <v>0</v>
      </c>
      <c r="V100" s="84" t="n">
        <f aca="false">V99*V$313</f>
        <v>0</v>
      </c>
      <c r="W100" s="84" t="n">
        <f aca="false">W99*W$313</f>
        <v>0</v>
      </c>
      <c r="X100" s="84" t="n">
        <f aca="false">X99*X$313</f>
        <v>0</v>
      </c>
      <c r="Y100" s="84" t="n">
        <f aca="false">Y99*Y$313</f>
        <v>0</v>
      </c>
      <c r="Z100" s="84" t="n">
        <f aca="false">Z99*Z$313</f>
        <v>0</v>
      </c>
      <c r="AA100" s="84" t="n">
        <f aca="false">AA99*AA$313</f>
        <v>0</v>
      </c>
      <c r="AB100" s="84" t="n">
        <f aca="false">AB99*AB$313</f>
        <v>0</v>
      </c>
      <c r="AC100" s="84" t="n">
        <f aca="false">AC99*AC$313</f>
        <v>0</v>
      </c>
      <c r="AD100" s="84" t="n">
        <f aca="false">AD99*AD$313</f>
        <v>0</v>
      </c>
      <c r="AE100" s="84" t="n">
        <f aca="false">AE99*AE$313</f>
        <v>0</v>
      </c>
      <c r="AF100" s="84" t="n">
        <f aca="false">AF99*AF$313</f>
        <v>0</v>
      </c>
    </row>
    <row r="101" customFormat="false" ht="10.5" hidden="false" customHeight="true" outlineLevel="0" collapsed="false">
      <c r="A101" s="31"/>
      <c r="B101" s="31"/>
      <c r="C101" s="31"/>
      <c r="D101" s="31"/>
      <c r="E101" s="2" t="s">
        <v>167</v>
      </c>
      <c r="K101" s="83" t="n">
        <f aca="false">+IF(K100&lt;K$20,1,0)</f>
        <v>0</v>
      </c>
      <c r="L101" s="83" t="n">
        <f aca="false">+IF(L100&lt;L$20,1,0)</f>
        <v>0</v>
      </c>
      <c r="M101" s="83" t="n">
        <f aca="false">+IF(M100&lt;M$20,1,0)</f>
        <v>1</v>
      </c>
      <c r="N101" s="83" t="n">
        <f aca="false">+IF(N100&lt;N$20,1,0)</f>
        <v>1</v>
      </c>
      <c r="O101" s="83" t="n">
        <f aca="false">+IF(O100&lt;O$20,1,0)</f>
        <v>1</v>
      </c>
      <c r="P101" s="83" t="n">
        <f aca="false">+IF(P100&lt;P$20,1,0)</f>
        <v>1</v>
      </c>
      <c r="Q101" s="83" t="n">
        <f aca="false">+IF(Q100&lt;Q$20,1,0)</f>
        <v>1</v>
      </c>
      <c r="R101" s="83" t="n">
        <f aca="false">+IF(R100&lt;R$20,1,0)</f>
        <v>1</v>
      </c>
      <c r="S101" s="83" t="n">
        <f aca="false">+IF(S100&lt;S$20,1,0)</f>
        <v>1</v>
      </c>
      <c r="T101" s="83" t="n">
        <f aca="false">+IF(T100&lt;T$20,1,0)</f>
        <v>1</v>
      </c>
      <c r="U101" s="83" t="n">
        <f aca="false">+IF(U100&lt;U$20,1,0)</f>
        <v>1</v>
      </c>
      <c r="V101" s="83" t="n">
        <f aca="false">+IF(V100&lt;V$20,1,0)</f>
        <v>1</v>
      </c>
      <c r="W101" s="83" t="n">
        <f aca="false">+IF(W100&lt;W$20,1,0)</f>
        <v>1</v>
      </c>
      <c r="X101" s="83" t="n">
        <f aca="false">+IF(X100&lt;X$20,1,0)</f>
        <v>1</v>
      </c>
      <c r="Y101" s="83" t="n">
        <f aca="false">+IF(Y100&lt;Y$20,1,0)</f>
        <v>1</v>
      </c>
      <c r="Z101" s="83" t="n">
        <f aca="false">+IF(Z100&lt;Z$20,1,0)</f>
        <v>1</v>
      </c>
      <c r="AA101" s="83" t="n">
        <f aca="false">+IF(AA100&lt;AA$20,1,0)</f>
        <v>1</v>
      </c>
      <c r="AB101" s="83" t="n">
        <f aca="false">+IF(AB100&lt;AB$20,1,0)</f>
        <v>1</v>
      </c>
      <c r="AC101" s="83" t="n">
        <f aca="false">+IF(AC100&lt;AC$20,1,0)</f>
        <v>1</v>
      </c>
      <c r="AD101" s="83" t="n">
        <f aca="false">+IF(AD100&lt;AD$20,1,0)</f>
        <v>1</v>
      </c>
      <c r="AE101" s="83" t="n">
        <f aca="false">+IF(AE100&lt;AE$20,1,0)</f>
        <v>1</v>
      </c>
      <c r="AF101" s="83" t="n">
        <f aca="false">+IF(AF100&lt;AF$20,1,0)</f>
        <v>1</v>
      </c>
    </row>
    <row r="102" customFormat="false" ht="10.5" hidden="false" customHeight="true" outlineLevel="0" collapsed="false">
      <c r="A102" s="31"/>
      <c r="B102" s="31"/>
      <c r="C102" s="31"/>
      <c r="D102" s="31"/>
      <c r="E102" s="2" t="s">
        <v>168</v>
      </c>
      <c r="K102" s="84" t="n">
        <f aca="false">+IFERROR(K98/K99*K101,0)</f>
        <v>0</v>
      </c>
      <c r="L102" s="84" t="n">
        <f aca="false">+IFERROR(L98/L99*L101,0)</f>
        <v>0</v>
      </c>
      <c r="M102" s="84" t="n">
        <f aca="false">+IFERROR(M98/M99*M101,0)</f>
        <v>0</v>
      </c>
      <c r="N102" s="84" t="n">
        <f aca="false">+IFERROR(N98/N99*N101,0)</f>
        <v>0</v>
      </c>
      <c r="O102" s="84" t="n">
        <f aca="false">+IFERROR(O98/O99*O101,0)</f>
        <v>0</v>
      </c>
      <c r="P102" s="84" t="n">
        <f aca="false">+IFERROR(P98/P99*P101,0)</f>
        <v>0</v>
      </c>
      <c r="Q102" s="84" t="n">
        <f aca="false">+IFERROR(Q98/Q99*Q101,0)</f>
        <v>0</v>
      </c>
      <c r="R102" s="84" t="n">
        <f aca="false">+IFERROR(R98/R99*R101,0)</f>
        <v>0</v>
      </c>
      <c r="S102" s="84" t="n">
        <f aca="false">+IFERROR(S98/S99*S101,0)</f>
        <v>0</v>
      </c>
      <c r="T102" s="84" t="n">
        <f aca="false">+IFERROR(T98/T99*T101,0)</f>
        <v>0</v>
      </c>
      <c r="U102" s="84" t="n">
        <f aca="false">+IFERROR(U98/U99*U101,0)</f>
        <v>0</v>
      </c>
      <c r="V102" s="84" t="n">
        <f aca="false">+IFERROR(V98/V99*V101,0)</f>
        <v>0</v>
      </c>
      <c r="W102" s="84" t="n">
        <f aca="false">+IFERROR(W98/W99*W101,0)</f>
        <v>0</v>
      </c>
      <c r="X102" s="84" t="n">
        <f aca="false">+IFERROR(X98/X99*X101,0)</f>
        <v>0</v>
      </c>
      <c r="Y102" s="84" t="n">
        <f aca="false">+IFERROR(Y98/Y99*Y101,0)</f>
        <v>0</v>
      </c>
      <c r="Z102" s="84" t="n">
        <f aca="false">+IFERROR(Z98/Z99*Z101,0)</f>
        <v>0</v>
      </c>
      <c r="AA102" s="84" t="n">
        <f aca="false">+IFERROR(AA98/AA99*AA101,0)</f>
        <v>0</v>
      </c>
      <c r="AB102" s="84" t="n">
        <f aca="false">+IFERROR(AB98/AB99*AB101,0)</f>
        <v>0</v>
      </c>
      <c r="AC102" s="84" t="n">
        <f aca="false">+IFERROR(AC98/AC99*AC101,0)</f>
        <v>0</v>
      </c>
      <c r="AD102" s="84" t="n">
        <f aca="false">+IFERROR(AD98/AD99*AD101,0)</f>
        <v>0</v>
      </c>
      <c r="AE102" s="84" t="n">
        <f aca="false">+IFERROR(AE98/AE99*AE101,0)</f>
        <v>0</v>
      </c>
      <c r="AF102" s="84" t="n">
        <f aca="false">+IFERROR(AF98/AF99*AF101,0)</f>
        <v>0</v>
      </c>
    </row>
    <row r="103" customFormat="false" ht="10.5" hidden="false" customHeight="true" outlineLevel="0" collapsed="false">
      <c r="A103" s="31"/>
      <c r="B103" s="31"/>
      <c r="C103" s="31"/>
      <c r="D103" s="31"/>
      <c r="E103" s="2" t="s">
        <v>169</v>
      </c>
      <c r="K103" s="48" t="n">
        <f aca="false">K101*K98</f>
        <v>0</v>
      </c>
      <c r="L103" s="48" t="n">
        <f aca="false">L101*L98</f>
        <v>0</v>
      </c>
      <c r="M103" s="48" t="n">
        <f aca="false">M101*M98</f>
        <v>0</v>
      </c>
      <c r="N103" s="48" t="n">
        <f aca="false">N101*N98</f>
        <v>0</v>
      </c>
      <c r="O103" s="48" t="n">
        <f aca="false">O101*O98</f>
        <v>0</v>
      </c>
      <c r="P103" s="48" t="n">
        <f aca="false">P101*P98</f>
        <v>0</v>
      </c>
      <c r="Q103" s="48" t="n">
        <f aca="false">Q101*Q98</f>
        <v>0</v>
      </c>
      <c r="R103" s="48" t="n">
        <f aca="false">R101*R98</f>
        <v>0</v>
      </c>
      <c r="S103" s="48" t="n">
        <f aca="false">S101*S98</f>
        <v>0</v>
      </c>
      <c r="T103" s="48" t="n">
        <f aca="false">T101*T98</f>
        <v>0</v>
      </c>
      <c r="U103" s="48" t="n">
        <f aca="false">U101*U98</f>
        <v>0</v>
      </c>
      <c r="V103" s="48" t="n">
        <f aca="false">V101*V98</f>
        <v>0</v>
      </c>
      <c r="W103" s="48" t="n">
        <f aca="false">W101*W98</f>
        <v>0</v>
      </c>
      <c r="X103" s="48" t="n">
        <f aca="false">X101*X98</f>
        <v>0</v>
      </c>
      <c r="Y103" s="48" t="n">
        <f aca="false">Y101*Y98</f>
        <v>0</v>
      </c>
      <c r="Z103" s="48" t="n">
        <f aca="false">Z101*Z98</f>
        <v>0</v>
      </c>
      <c r="AA103" s="48" t="n">
        <f aca="false">AA101*AA98</f>
        <v>0</v>
      </c>
      <c r="AB103" s="48" t="n">
        <f aca="false">AB101*AB98</f>
        <v>0</v>
      </c>
      <c r="AC103" s="48" t="n">
        <f aca="false">AC101*AC98</f>
        <v>0</v>
      </c>
      <c r="AD103" s="48" t="n">
        <f aca="false">AD101*AD98</f>
        <v>0</v>
      </c>
      <c r="AE103" s="48" t="n">
        <f aca="false">AE101*AE98</f>
        <v>0</v>
      </c>
      <c r="AF103" s="48" t="n">
        <f aca="false">AF101*AF98</f>
        <v>0</v>
      </c>
    </row>
    <row r="104" customFormat="false" ht="10.5" hidden="false" customHeight="true" outlineLevel="0" collapsed="false">
      <c r="A104" s="31"/>
      <c r="B104" s="31"/>
      <c r="C104" s="31"/>
      <c r="D104" s="31"/>
      <c r="E104" s="2" t="s">
        <v>170</v>
      </c>
      <c r="K104" s="48" t="n">
        <f aca="false">+IF(K101=1,-K97,(K98-K97))</f>
        <v>0</v>
      </c>
      <c r="L104" s="48" t="n">
        <f aca="false">+IF(L101=1,-L97,(L98-L97))</f>
        <v>4.32900000000001</v>
      </c>
      <c r="M104" s="48" t="n">
        <f aca="false">+IF(M101=1,-M97,(M98-M97))</f>
        <v>-0</v>
      </c>
      <c r="N104" s="48" t="n">
        <f aca="false">+IF(N101=1,-N97,(N98-N97))</f>
        <v>-0</v>
      </c>
      <c r="O104" s="48" t="n">
        <f aca="false">+IF(O101=1,-O97,(O98-O97))</f>
        <v>-0</v>
      </c>
      <c r="P104" s="48" t="n">
        <f aca="false">+IF(P101=1,-P97,(P98-P97))</f>
        <v>-0</v>
      </c>
      <c r="Q104" s="48" t="n">
        <f aca="false">+IF(Q101=1,-Q97,(Q98-Q97))</f>
        <v>-0</v>
      </c>
      <c r="R104" s="48" t="n">
        <f aca="false">+IF(R101=1,-R97,(R98-R97))</f>
        <v>-0</v>
      </c>
      <c r="S104" s="48" t="n">
        <f aca="false">+IF(S101=1,-S97,(S98-S97))</f>
        <v>-0</v>
      </c>
      <c r="T104" s="48" t="n">
        <f aca="false">+IF(T101=1,-T97,(T98-T97))</f>
        <v>-0</v>
      </c>
      <c r="U104" s="48" t="n">
        <f aca="false">+IF(U101=1,-U97,(U98-U97))</f>
        <v>-0</v>
      </c>
      <c r="V104" s="48" t="n">
        <f aca="false">+IF(V101=1,-V97,(V98-V97))</f>
        <v>-0</v>
      </c>
      <c r="W104" s="48" t="n">
        <f aca="false">+IF(W101=1,-W97,(W98-W97))</f>
        <v>-0</v>
      </c>
      <c r="X104" s="48" t="n">
        <f aca="false">+IF(X101=1,-X97,(X98-X97))</f>
        <v>-0</v>
      </c>
      <c r="Y104" s="48" t="n">
        <f aca="false">+IF(Y101=1,-Y97,(Y98-Y97))</f>
        <v>-0</v>
      </c>
      <c r="Z104" s="48" t="n">
        <f aca="false">+IF(Z101=1,-Z97,(Z98-Z97))</f>
        <v>-0</v>
      </c>
      <c r="AA104" s="48" t="n">
        <f aca="false">+IF(AA101=1,-AA97,(AA98-AA97))</f>
        <v>-0</v>
      </c>
      <c r="AB104" s="48" t="n">
        <f aca="false">+IF(AB101=1,-AB97,(AB98-AB97))</f>
        <v>-0</v>
      </c>
      <c r="AC104" s="48" t="n">
        <f aca="false">+IF(AC101=1,-AC97,(AC98-AC97))</f>
        <v>-0</v>
      </c>
      <c r="AD104" s="48" t="n">
        <f aca="false">+IF(AD101=1,-AD97,(AD98-AD97))</f>
        <v>-0</v>
      </c>
      <c r="AE104" s="48" t="n">
        <f aca="false">+IF(AE101=1,-AE97,(AE98-AE97))</f>
        <v>-0</v>
      </c>
      <c r="AF104" s="48" t="n">
        <f aca="false">+IF(AF101=1,-AF97,(AF98-AF97))</f>
        <v>-0</v>
      </c>
    </row>
    <row r="105" customFormat="false" ht="10.5" hidden="false" customHeight="true" outlineLevel="0" collapsed="false">
      <c r="A105" s="31"/>
      <c r="B105" s="31"/>
      <c r="C105" s="31"/>
      <c r="D105" s="31"/>
      <c r="AE105" s="3"/>
      <c r="AF105" s="3"/>
    </row>
    <row r="106" customFormat="false" ht="10.5" hidden="false" customHeight="true" outlineLevel="0" collapsed="false">
      <c r="A106" s="31"/>
      <c r="B106" s="31"/>
      <c r="C106" s="31"/>
      <c r="D106" s="31"/>
      <c r="E106" s="2" t="s">
        <v>163</v>
      </c>
      <c r="K106" s="80"/>
      <c r="L106" s="81" t="n">
        <v>26</v>
      </c>
      <c r="M106" s="80"/>
      <c r="N106" s="80"/>
      <c r="O106" s="80"/>
      <c r="P106" s="80"/>
      <c r="Q106" s="80"/>
      <c r="R106" s="80"/>
      <c r="S106" s="80"/>
      <c r="T106" s="80"/>
      <c r="U106" s="80"/>
      <c r="V106" s="80"/>
      <c r="W106" s="80"/>
      <c r="X106" s="80"/>
      <c r="Y106" s="80"/>
      <c r="Z106" s="80"/>
      <c r="AA106" s="80"/>
      <c r="AB106" s="80"/>
      <c r="AC106" s="80"/>
      <c r="AD106" s="80"/>
      <c r="AE106" s="80"/>
      <c r="AF106" s="80"/>
    </row>
    <row r="107" customFormat="false" ht="10.5" hidden="false" customHeight="true" outlineLevel="0" collapsed="false">
      <c r="A107" s="31"/>
      <c r="B107" s="31"/>
      <c r="C107" s="31"/>
      <c r="D107" s="31"/>
      <c r="E107" s="2" t="s">
        <v>164</v>
      </c>
      <c r="K107" s="80"/>
      <c r="L107" s="81" t="n">
        <v>26</v>
      </c>
      <c r="M107" s="80"/>
      <c r="N107" s="80"/>
      <c r="O107" s="80"/>
      <c r="P107" s="80"/>
      <c r="Q107" s="80"/>
      <c r="R107" s="80"/>
      <c r="S107" s="80"/>
      <c r="T107" s="80"/>
      <c r="U107" s="80"/>
      <c r="V107" s="80"/>
      <c r="W107" s="80"/>
      <c r="X107" s="80"/>
      <c r="Y107" s="80"/>
      <c r="Z107" s="80"/>
      <c r="AA107" s="80"/>
      <c r="AB107" s="80"/>
      <c r="AC107" s="80"/>
      <c r="AD107" s="80"/>
      <c r="AE107" s="80"/>
      <c r="AF107" s="80"/>
    </row>
    <row r="108" customFormat="false" ht="10.5" hidden="false" customHeight="true" outlineLevel="0" collapsed="false">
      <c r="A108" s="31"/>
      <c r="B108" s="31"/>
      <c r="C108" s="31"/>
      <c r="D108" s="31"/>
      <c r="E108" s="2" t="s">
        <v>165</v>
      </c>
      <c r="K108" s="80"/>
      <c r="L108" s="81" t="n">
        <v>79.7627</v>
      </c>
      <c r="M108" s="80"/>
      <c r="N108" s="80"/>
      <c r="O108" s="80"/>
      <c r="P108" s="80"/>
      <c r="Q108" s="80"/>
      <c r="R108" s="80"/>
      <c r="S108" s="80"/>
      <c r="T108" s="80"/>
      <c r="U108" s="80"/>
      <c r="V108" s="80"/>
      <c r="W108" s="80"/>
      <c r="X108" s="80"/>
      <c r="Y108" s="80"/>
      <c r="Z108" s="80"/>
      <c r="AA108" s="80"/>
      <c r="AB108" s="80"/>
      <c r="AC108" s="80"/>
      <c r="AD108" s="80"/>
      <c r="AE108" s="80"/>
      <c r="AF108" s="80"/>
    </row>
    <row r="109" customFormat="false" ht="10.5" hidden="false" customHeight="true" outlineLevel="0" collapsed="false">
      <c r="A109" s="31"/>
      <c r="B109" s="31"/>
      <c r="C109" s="31"/>
      <c r="D109" s="31"/>
      <c r="E109" s="2" t="s">
        <v>166</v>
      </c>
      <c r="K109" s="84" t="n">
        <f aca="false">K108*K$313</f>
        <v>0</v>
      </c>
      <c r="L109" s="84" t="n">
        <f aca="false">L108*L$313</f>
        <v>79.7627</v>
      </c>
      <c r="M109" s="84" t="n">
        <f aca="false">M108*M$313</f>
        <v>0</v>
      </c>
      <c r="N109" s="84" t="n">
        <f aca="false">N108*N$313</f>
        <v>0</v>
      </c>
      <c r="O109" s="84" t="n">
        <f aca="false">O108*O$313</f>
        <v>0</v>
      </c>
      <c r="P109" s="84" t="n">
        <f aca="false">P108*P$313</f>
        <v>0</v>
      </c>
      <c r="Q109" s="84" t="n">
        <f aca="false">Q108*Q$313</f>
        <v>0</v>
      </c>
      <c r="R109" s="84" t="n">
        <f aca="false">R108*R$313</f>
        <v>0</v>
      </c>
      <c r="S109" s="84" t="n">
        <f aca="false">S108*S$313</f>
        <v>0</v>
      </c>
      <c r="T109" s="84" t="n">
        <f aca="false">T108*T$313</f>
        <v>0</v>
      </c>
      <c r="U109" s="84" t="n">
        <f aca="false">U108*U$313</f>
        <v>0</v>
      </c>
      <c r="V109" s="84" t="n">
        <f aca="false">V108*V$313</f>
        <v>0</v>
      </c>
      <c r="W109" s="84" t="n">
        <f aca="false">W108*W$313</f>
        <v>0</v>
      </c>
      <c r="X109" s="84" t="n">
        <f aca="false">X108*X$313</f>
        <v>0</v>
      </c>
      <c r="Y109" s="84" t="n">
        <f aca="false">Y108*Y$313</f>
        <v>0</v>
      </c>
      <c r="Z109" s="84" t="n">
        <f aca="false">Z108*Z$313</f>
        <v>0</v>
      </c>
      <c r="AA109" s="84" t="n">
        <f aca="false">AA108*AA$313</f>
        <v>0</v>
      </c>
      <c r="AB109" s="84" t="n">
        <f aca="false">AB108*AB$313</f>
        <v>0</v>
      </c>
      <c r="AC109" s="84" t="n">
        <f aca="false">AC108*AC$313</f>
        <v>0</v>
      </c>
      <c r="AD109" s="84" t="n">
        <f aca="false">AD108*AD$313</f>
        <v>0</v>
      </c>
      <c r="AE109" s="84" t="n">
        <f aca="false">AE108*AE$313</f>
        <v>0</v>
      </c>
      <c r="AF109" s="84" t="n">
        <f aca="false">AF108*AF$313</f>
        <v>0</v>
      </c>
    </row>
    <row r="110" customFormat="false" ht="10.5" hidden="false" customHeight="true" outlineLevel="0" collapsed="false">
      <c r="A110" s="31"/>
      <c r="B110" s="31"/>
      <c r="C110" s="31"/>
      <c r="D110" s="31"/>
      <c r="E110" s="2" t="s">
        <v>167</v>
      </c>
      <c r="K110" s="83" t="n">
        <f aca="false">+IF(K109&lt;K$20,1,0)</f>
        <v>0</v>
      </c>
      <c r="L110" s="83" t="n">
        <f aca="false">+IF(L109&lt;L$20,1,0)</f>
        <v>0</v>
      </c>
      <c r="M110" s="83" t="n">
        <f aca="false">+IF(M109&lt;M$20,1,0)</f>
        <v>1</v>
      </c>
      <c r="N110" s="83" t="n">
        <f aca="false">+IF(N109&lt;N$20,1,0)</f>
        <v>1</v>
      </c>
      <c r="O110" s="83" t="n">
        <f aca="false">+IF(O109&lt;O$20,1,0)</f>
        <v>1</v>
      </c>
      <c r="P110" s="83" t="n">
        <f aca="false">+IF(P109&lt;P$20,1,0)</f>
        <v>1</v>
      </c>
      <c r="Q110" s="83" t="n">
        <f aca="false">+IF(Q109&lt;Q$20,1,0)</f>
        <v>1</v>
      </c>
      <c r="R110" s="83" t="n">
        <f aca="false">+IF(R109&lt;R$20,1,0)</f>
        <v>1</v>
      </c>
      <c r="S110" s="83" t="n">
        <f aca="false">+IF(S109&lt;S$20,1,0)</f>
        <v>1</v>
      </c>
      <c r="T110" s="83" t="n">
        <f aca="false">+IF(T109&lt;T$20,1,0)</f>
        <v>1</v>
      </c>
      <c r="U110" s="83" t="n">
        <f aca="false">+IF(U109&lt;U$20,1,0)</f>
        <v>1</v>
      </c>
      <c r="V110" s="83" t="n">
        <f aca="false">+IF(V109&lt;V$20,1,0)</f>
        <v>1</v>
      </c>
      <c r="W110" s="83" t="n">
        <f aca="false">+IF(W109&lt;W$20,1,0)</f>
        <v>1</v>
      </c>
      <c r="X110" s="83" t="n">
        <f aca="false">+IF(X109&lt;X$20,1,0)</f>
        <v>1</v>
      </c>
      <c r="Y110" s="83" t="n">
        <f aca="false">+IF(Y109&lt;Y$20,1,0)</f>
        <v>1</v>
      </c>
      <c r="Z110" s="83" t="n">
        <f aca="false">+IF(Z109&lt;Z$20,1,0)</f>
        <v>1</v>
      </c>
      <c r="AA110" s="83" t="n">
        <f aca="false">+IF(AA109&lt;AA$20,1,0)</f>
        <v>1</v>
      </c>
      <c r="AB110" s="83" t="n">
        <f aca="false">+IF(AB109&lt;AB$20,1,0)</f>
        <v>1</v>
      </c>
      <c r="AC110" s="83" t="n">
        <f aca="false">+IF(AC109&lt;AC$20,1,0)</f>
        <v>1</v>
      </c>
      <c r="AD110" s="83" t="n">
        <f aca="false">+IF(AD109&lt;AD$20,1,0)</f>
        <v>1</v>
      </c>
      <c r="AE110" s="83" t="n">
        <f aca="false">+IF(AE109&lt;AE$20,1,0)</f>
        <v>1</v>
      </c>
      <c r="AF110" s="83" t="n">
        <f aca="false">+IF(AF109&lt;AF$20,1,0)</f>
        <v>1</v>
      </c>
    </row>
    <row r="111" customFormat="false" ht="10.5" hidden="false" customHeight="true" outlineLevel="0" collapsed="false">
      <c r="A111" s="31"/>
      <c r="B111" s="31"/>
      <c r="C111" s="31"/>
      <c r="D111" s="31"/>
      <c r="E111" s="2" t="s">
        <v>168</v>
      </c>
      <c r="K111" s="84" t="n">
        <f aca="false">+IFERROR(K107/K108*K110,0)</f>
        <v>0</v>
      </c>
      <c r="L111" s="84" t="n">
        <f aca="false">+IFERROR(L107/L108*L110,0)</f>
        <v>0</v>
      </c>
      <c r="M111" s="84" t="n">
        <f aca="false">+IFERROR(M107/M108*M110,0)</f>
        <v>0</v>
      </c>
      <c r="N111" s="84" t="n">
        <f aca="false">+IFERROR(N107/N108*N110,0)</f>
        <v>0</v>
      </c>
      <c r="O111" s="84" t="n">
        <f aca="false">+IFERROR(O107/O108*O110,0)</f>
        <v>0</v>
      </c>
      <c r="P111" s="84" t="n">
        <f aca="false">+IFERROR(P107/P108*P110,0)</f>
        <v>0</v>
      </c>
      <c r="Q111" s="84" t="n">
        <f aca="false">+IFERROR(Q107/Q108*Q110,0)</f>
        <v>0</v>
      </c>
      <c r="R111" s="84" t="n">
        <f aca="false">+IFERROR(R107/R108*R110,0)</f>
        <v>0</v>
      </c>
      <c r="S111" s="84" t="n">
        <f aca="false">+IFERROR(S107/S108*S110,0)</f>
        <v>0</v>
      </c>
      <c r="T111" s="84" t="n">
        <f aca="false">+IFERROR(T107/T108*T110,0)</f>
        <v>0</v>
      </c>
      <c r="U111" s="84" t="n">
        <f aca="false">+IFERROR(U107/U108*U110,0)</f>
        <v>0</v>
      </c>
      <c r="V111" s="84" t="n">
        <f aca="false">+IFERROR(V107/V108*V110,0)</f>
        <v>0</v>
      </c>
      <c r="W111" s="84" t="n">
        <f aca="false">+IFERROR(W107/W108*W110,0)</f>
        <v>0</v>
      </c>
      <c r="X111" s="84" t="n">
        <f aca="false">+IFERROR(X107/X108*X110,0)</f>
        <v>0</v>
      </c>
      <c r="Y111" s="84" t="n">
        <f aca="false">+IFERROR(Y107/Y108*Y110,0)</f>
        <v>0</v>
      </c>
      <c r="Z111" s="84" t="n">
        <f aca="false">+IFERROR(Z107/Z108*Z110,0)</f>
        <v>0</v>
      </c>
      <c r="AA111" s="84" t="n">
        <f aca="false">+IFERROR(AA107/AA108*AA110,0)</f>
        <v>0</v>
      </c>
      <c r="AB111" s="84" t="n">
        <f aca="false">+IFERROR(AB107/AB108*AB110,0)</f>
        <v>0</v>
      </c>
      <c r="AC111" s="84" t="n">
        <f aca="false">+IFERROR(AC107/AC108*AC110,0)</f>
        <v>0</v>
      </c>
      <c r="AD111" s="84" t="n">
        <f aca="false">+IFERROR(AD107/AD108*AD110,0)</f>
        <v>0</v>
      </c>
      <c r="AE111" s="84" t="n">
        <f aca="false">+IFERROR(AE107/AE108*AE110,0)</f>
        <v>0</v>
      </c>
      <c r="AF111" s="84" t="n">
        <f aca="false">+IFERROR(AF107/AF108*AF110,0)</f>
        <v>0</v>
      </c>
    </row>
    <row r="112" customFormat="false" ht="10.5" hidden="false" customHeight="true" outlineLevel="0" collapsed="false">
      <c r="A112" s="31"/>
      <c r="B112" s="31"/>
      <c r="C112" s="31"/>
      <c r="D112" s="31"/>
      <c r="E112" s="2" t="s">
        <v>169</v>
      </c>
      <c r="K112" s="48" t="n">
        <f aca="false">K110*K107</f>
        <v>0</v>
      </c>
      <c r="L112" s="48" t="n">
        <f aca="false">L110*L107</f>
        <v>0</v>
      </c>
      <c r="M112" s="48" t="n">
        <f aca="false">M110*M107</f>
        <v>0</v>
      </c>
      <c r="N112" s="48" t="n">
        <f aca="false">N110*N107</f>
        <v>0</v>
      </c>
      <c r="O112" s="48" t="n">
        <f aca="false">O110*O107</f>
        <v>0</v>
      </c>
      <c r="P112" s="48" t="n">
        <f aca="false">P110*P107</f>
        <v>0</v>
      </c>
      <c r="Q112" s="48" t="n">
        <f aca="false">Q110*Q107</f>
        <v>0</v>
      </c>
      <c r="R112" s="48" t="n">
        <f aca="false">R110*R107</f>
        <v>0</v>
      </c>
      <c r="S112" s="48" t="n">
        <f aca="false">S110*S107</f>
        <v>0</v>
      </c>
      <c r="T112" s="48" t="n">
        <f aca="false">T110*T107</f>
        <v>0</v>
      </c>
      <c r="U112" s="48" t="n">
        <f aca="false">U110*U107</f>
        <v>0</v>
      </c>
      <c r="V112" s="48" t="n">
        <f aca="false">V110*V107</f>
        <v>0</v>
      </c>
      <c r="W112" s="48" t="n">
        <f aca="false">W110*W107</f>
        <v>0</v>
      </c>
      <c r="X112" s="48" t="n">
        <f aca="false">X110*X107</f>
        <v>0</v>
      </c>
      <c r="Y112" s="48" t="n">
        <f aca="false">Y110*Y107</f>
        <v>0</v>
      </c>
      <c r="Z112" s="48" t="n">
        <f aca="false">Z110*Z107</f>
        <v>0</v>
      </c>
      <c r="AA112" s="48" t="n">
        <f aca="false">AA110*AA107</f>
        <v>0</v>
      </c>
      <c r="AB112" s="48" t="n">
        <f aca="false">AB110*AB107</f>
        <v>0</v>
      </c>
      <c r="AC112" s="48" t="n">
        <f aca="false">AC110*AC107</f>
        <v>0</v>
      </c>
      <c r="AD112" s="48" t="n">
        <f aca="false">AD110*AD107</f>
        <v>0</v>
      </c>
      <c r="AE112" s="48" t="n">
        <f aca="false">AE110*AE107</f>
        <v>0</v>
      </c>
      <c r="AF112" s="48" t="n">
        <f aca="false">AF110*AF107</f>
        <v>0</v>
      </c>
    </row>
    <row r="113" customFormat="false" ht="10.5" hidden="false" customHeight="true" outlineLevel="0" collapsed="false">
      <c r="A113" s="31"/>
      <c r="B113" s="31"/>
      <c r="C113" s="31"/>
      <c r="D113" s="31"/>
      <c r="E113" s="2" t="s">
        <v>170</v>
      </c>
      <c r="K113" s="48" t="n">
        <f aca="false">+IF(K110=1,-K106,(K107-K106))</f>
        <v>0</v>
      </c>
      <c r="L113" s="48" t="n">
        <f aca="false">+IF(L110=1,-L106,(L107-L106))</f>
        <v>0</v>
      </c>
      <c r="M113" s="48" t="n">
        <f aca="false">+IF(M110=1,-M106,(M107-M106))</f>
        <v>-0</v>
      </c>
      <c r="N113" s="48" t="n">
        <f aca="false">+IF(N110=1,-N106,(N107-N106))</f>
        <v>-0</v>
      </c>
      <c r="O113" s="48" t="n">
        <f aca="false">+IF(O110=1,-O106,(O107-O106))</f>
        <v>-0</v>
      </c>
      <c r="P113" s="48" t="n">
        <f aca="false">+IF(P110=1,-P106,(P107-P106))</f>
        <v>-0</v>
      </c>
      <c r="Q113" s="48" t="n">
        <f aca="false">+IF(Q110=1,-Q106,(Q107-Q106))</f>
        <v>-0</v>
      </c>
      <c r="R113" s="48" t="n">
        <f aca="false">+IF(R110=1,-R106,(R107-R106))</f>
        <v>-0</v>
      </c>
      <c r="S113" s="48" t="n">
        <f aca="false">+IF(S110=1,-S106,(S107-S106))</f>
        <v>-0</v>
      </c>
      <c r="T113" s="48" t="n">
        <f aca="false">+IF(T110=1,-T106,(T107-T106))</f>
        <v>-0</v>
      </c>
      <c r="U113" s="48" t="n">
        <f aca="false">+IF(U110=1,-U106,(U107-U106))</f>
        <v>-0</v>
      </c>
      <c r="V113" s="48" t="n">
        <f aca="false">+IF(V110=1,-V106,(V107-V106))</f>
        <v>-0</v>
      </c>
      <c r="W113" s="48" t="n">
        <f aca="false">+IF(W110=1,-W106,(W107-W106))</f>
        <v>-0</v>
      </c>
      <c r="X113" s="48" t="n">
        <f aca="false">+IF(X110=1,-X106,(X107-X106))</f>
        <v>-0</v>
      </c>
      <c r="Y113" s="48" t="n">
        <f aca="false">+IF(Y110=1,-Y106,(Y107-Y106))</f>
        <v>-0</v>
      </c>
      <c r="Z113" s="48" t="n">
        <f aca="false">+IF(Z110=1,-Z106,(Z107-Z106))</f>
        <v>-0</v>
      </c>
      <c r="AA113" s="48" t="n">
        <f aca="false">+IF(AA110=1,-AA106,(AA107-AA106))</f>
        <v>-0</v>
      </c>
      <c r="AB113" s="48" t="n">
        <f aca="false">+IF(AB110=1,-AB106,(AB107-AB106))</f>
        <v>-0</v>
      </c>
      <c r="AC113" s="48" t="n">
        <f aca="false">+IF(AC110=1,-AC106,(AC107-AC106))</f>
        <v>-0</v>
      </c>
      <c r="AD113" s="48" t="n">
        <f aca="false">+IF(AD110=1,-AD106,(AD107-AD106))</f>
        <v>-0</v>
      </c>
      <c r="AE113" s="48" t="n">
        <f aca="false">+IF(AE110=1,-AE106,(AE107-AE106))</f>
        <v>-0</v>
      </c>
      <c r="AF113" s="48" t="n">
        <f aca="false">+IF(AF110=1,-AF106,(AF107-AF106))</f>
        <v>-0</v>
      </c>
    </row>
    <row r="114" customFormat="false" ht="10.5" hidden="false" customHeight="true" outlineLevel="0" collapsed="false">
      <c r="A114" s="31"/>
      <c r="B114" s="31"/>
      <c r="C114" s="31"/>
      <c r="D114" s="31"/>
      <c r="AE114" s="3"/>
      <c r="AF114" s="3"/>
    </row>
    <row r="115" customFormat="false" ht="10.5" hidden="false" customHeight="true" outlineLevel="0" collapsed="false">
      <c r="A115" s="31"/>
      <c r="B115" s="28" t="s">
        <v>28</v>
      </c>
      <c r="C115" s="28"/>
      <c r="D115" s="28"/>
      <c r="E115" s="30" t="s">
        <v>171</v>
      </c>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row>
    <row r="116" customFormat="false" ht="10.5" hidden="false" customHeight="true" outlineLevel="0" collapsed="false">
      <c r="A116" s="31"/>
      <c r="B116" s="31"/>
      <c r="C116" s="31"/>
      <c r="D116" s="31"/>
      <c r="AE116" s="3"/>
      <c r="AF116" s="3"/>
    </row>
    <row r="117" customFormat="false" ht="10.5" hidden="false" customHeight="true" outlineLevel="1" collapsed="false">
      <c r="A117" s="31"/>
      <c r="B117" s="31"/>
      <c r="C117" s="31"/>
      <c r="D117" s="31"/>
      <c r="E117" s="2" t="s">
        <v>163</v>
      </c>
      <c r="K117" s="80"/>
      <c r="L117" s="80"/>
      <c r="M117" s="80"/>
      <c r="N117" s="80"/>
      <c r="O117" s="80"/>
      <c r="P117" s="80"/>
      <c r="Q117" s="80"/>
      <c r="R117" s="80"/>
      <c r="S117" s="80"/>
      <c r="T117" s="80"/>
      <c r="U117" s="80"/>
      <c r="V117" s="80"/>
      <c r="W117" s="80"/>
      <c r="X117" s="80"/>
      <c r="Y117" s="80"/>
      <c r="Z117" s="80"/>
      <c r="AA117" s="80"/>
      <c r="AB117" s="80"/>
      <c r="AC117" s="80"/>
      <c r="AD117" s="80"/>
      <c r="AE117" s="80"/>
      <c r="AF117" s="80"/>
    </row>
    <row r="118" customFormat="false" ht="10.5" hidden="false" customHeight="true" outlineLevel="1" collapsed="false">
      <c r="A118" s="31"/>
      <c r="B118" s="31"/>
      <c r="C118" s="31"/>
      <c r="D118" s="31"/>
      <c r="E118" s="2" t="s">
        <v>164</v>
      </c>
      <c r="K118" s="80"/>
      <c r="L118" s="80"/>
      <c r="M118" s="80"/>
      <c r="N118" s="80"/>
      <c r="O118" s="80"/>
      <c r="P118" s="80"/>
      <c r="Q118" s="80"/>
      <c r="R118" s="80"/>
      <c r="S118" s="80"/>
      <c r="T118" s="80"/>
      <c r="U118" s="80"/>
      <c r="V118" s="80"/>
      <c r="W118" s="80"/>
      <c r="X118" s="80"/>
      <c r="Y118" s="80"/>
      <c r="Z118" s="80"/>
      <c r="AA118" s="80"/>
      <c r="AB118" s="80"/>
      <c r="AC118" s="80"/>
      <c r="AD118" s="80"/>
      <c r="AE118" s="80"/>
      <c r="AF118" s="80"/>
    </row>
    <row r="119" customFormat="false" ht="10.5" hidden="false" customHeight="true" outlineLevel="1" collapsed="false">
      <c r="A119" s="31"/>
      <c r="B119" s="31"/>
      <c r="C119" s="31"/>
      <c r="D119" s="31"/>
      <c r="E119" s="2" t="s">
        <v>165</v>
      </c>
      <c r="K119" s="80"/>
      <c r="L119" s="80"/>
      <c r="M119" s="80"/>
      <c r="N119" s="80"/>
      <c r="O119" s="80"/>
      <c r="P119" s="80"/>
      <c r="Q119" s="80"/>
      <c r="R119" s="80"/>
      <c r="S119" s="80"/>
      <c r="T119" s="80"/>
      <c r="U119" s="80"/>
      <c r="V119" s="80"/>
      <c r="W119" s="80"/>
      <c r="X119" s="80"/>
      <c r="Y119" s="80"/>
      <c r="Z119" s="80"/>
      <c r="AA119" s="80"/>
      <c r="AB119" s="80"/>
      <c r="AC119" s="80"/>
      <c r="AD119" s="80"/>
      <c r="AE119" s="80"/>
      <c r="AF119" s="80"/>
    </row>
    <row r="120" customFormat="false" ht="10.5" hidden="false" customHeight="true" outlineLevel="1" collapsed="false">
      <c r="A120" s="31"/>
      <c r="B120" s="31"/>
      <c r="C120" s="31"/>
      <c r="D120" s="31"/>
      <c r="E120" s="2" t="s">
        <v>166</v>
      </c>
      <c r="K120" s="84" t="n">
        <f aca="false">K119*K$313</f>
        <v>0</v>
      </c>
      <c r="L120" s="84" t="n">
        <f aca="false">L119*L$313</f>
        <v>0</v>
      </c>
      <c r="M120" s="84" t="n">
        <f aca="false">M119*M$313</f>
        <v>0</v>
      </c>
      <c r="N120" s="84" t="n">
        <f aca="false">N119*N$313</f>
        <v>0</v>
      </c>
      <c r="O120" s="84" t="n">
        <f aca="false">O119*O$313</f>
        <v>0</v>
      </c>
      <c r="P120" s="84" t="n">
        <f aca="false">P119*P$313</f>
        <v>0</v>
      </c>
      <c r="Q120" s="84" t="n">
        <f aca="false">Q119*Q$313</f>
        <v>0</v>
      </c>
      <c r="R120" s="84" t="n">
        <f aca="false">R119*R$313</f>
        <v>0</v>
      </c>
      <c r="S120" s="84" t="n">
        <f aca="false">S119*S$313</f>
        <v>0</v>
      </c>
      <c r="T120" s="84" t="n">
        <f aca="false">T119*T$313</f>
        <v>0</v>
      </c>
      <c r="U120" s="84" t="n">
        <f aca="false">U119*U$313</f>
        <v>0</v>
      </c>
      <c r="V120" s="84" t="n">
        <f aca="false">V119*V$313</f>
        <v>0</v>
      </c>
      <c r="W120" s="84" t="n">
        <f aca="false">W119*W$313</f>
        <v>0</v>
      </c>
      <c r="X120" s="84" t="n">
        <f aca="false">X119*X$313</f>
        <v>0</v>
      </c>
      <c r="Y120" s="84" t="n">
        <f aca="false">Y119*Y$313</f>
        <v>0</v>
      </c>
      <c r="Z120" s="84" t="n">
        <f aca="false">Z119*Z$313</f>
        <v>0</v>
      </c>
      <c r="AA120" s="84" t="n">
        <f aca="false">AA119*AA$313</f>
        <v>0</v>
      </c>
      <c r="AB120" s="84" t="n">
        <f aca="false">AB119*AB$313</f>
        <v>0</v>
      </c>
      <c r="AC120" s="84" t="n">
        <f aca="false">AC119*AC$313</f>
        <v>0</v>
      </c>
      <c r="AD120" s="84" t="n">
        <f aca="false">AD119*AD$313</f>
        <v>0</v>
      </c>
      <c r="AE120" s="84" t="n">
        <f aca="false">AE119*AE$313</f>
        <v>0</v>
      </c>
      <c r="AF120" s="84" t="n">
        <f aca="false">AF119*AF$313</f>
        <v>0</v>
      </c>
    </row>
    <row r="121" customFormat="false" ht="10.5" hidden="false" customHeight="true" outlineLevel="1" collapsed="false">
      <c r="A121" s="31"/>
      <c r="B121" s="31"/>
      <c r="C121" s="31"/>
      <c r="D121" s="31"/>
      <c r="E121" s="2" t="s">
        <v>167</v>
      </c>
      <c r="K121" s="83" t="n">
        <f aca="false">+IF(K120&lt;K$20,1,0)</f>
        <v>0</v>
      </c>
      <c r="L121" s="83" t="n">
        <f aca="false">+IF(L120&lt;L$20,1,0)</f>
        <v>1</v>
      </c>
      <c r="M121" s="83" t="n">
        <f aca="false">+IF(M120&lt;M$20,1,0)</f>
        <v>1</v>
      </c>
      <c r="N121" s="83" t="n">
        <f aca="false">+IF(N120&lt;N$20,1,0)</f>
        <v>1</v>
      </c>
      <c r="O121" s="83" t="n">
        <f aca="false">+IF(O120&lt;O$20,1,0)</f>
        <v>1</v>
      </c>
      <c r="P121" s="83" t="n">
        <f aca="false">+IF(P120&lt;P$20,1,0)</f>
        <v>1</v>
      </c>
      <c r="Q121" s="83" t="n">
        <f aca="false">+IF(Q120&lt;Q$20,1,0)</f>
        <v>1</v>
      </c>
      <c r="R121" s="83" t="n">
        <f aca="false">+IF(R120&lt;R$20,1,0)</f>
        <v>1</v>
      </c>
      <c r="S121" s="83" t="n">
        <f aca="false">+IF(S120&lt;S$20,1,0)</f>
        <v>1</v>
      </c>
      <c r="T121" s="83" t="n">
        <f aca="false">+IF(T120&lt;T$20,1,0)</f>
        <v>1</v>
      </c>
      <c r="U121" s="83" t="n">
        <f aca="false">+IF(U120&lt;U$20,1,0)</f>
        <v>1</v>
      </c>
      <c r="V121" s="83" t="n">
        <f aca="false">+IF(V120&lt;V$20,1,0)</f>
        <v>1</v>
      </c>
      <c r="W121" s="83" t="n">
        <f aca="false">+IF(W120&lt;W$20,1,0)</f>
        <v>1</v>
      </c>
      <c r="X121" s="83" t="n">
        <f aca="false">+IF(X120&lt;X$20,1,0)</f>
        <v>1</v>
      </c>
      <c r="Y121" s="83" t="n">
        <f aca="false">+IF(Y120&lt;Y$20,1,0)</f>
        <v>1</v>
      </c>
      <c r="Z121" s="83" t="n">
        <f aca="false">+IF(Z120&lt;Z$20,1,0)</f>
        <v>1</v>
      </c>
      <c r="AA121" s="83" t="n">
        <f aca="false">+IF(AA120&lt;AA$20,1,0)</f>
        <v>1</v>
      </c>
      <c r="AB121" s="83" t="n">
        <f aca="false">+IF(AB120&lt;AB$20,1,0)</f>
        <v>1</v>
      </c>
      <c r="AC121" s="83" t="n">
        <f aca="false">+IF(AC120&lt;AC$20,1,0)</f>
        <v>1</v>
      </c>
      <c r="AD121" s="83" t="n">
        <f aca="false">+IF(AD120&lt;AD$20,1,0)</f>
        <v>1</v>
      </c>
      <c r="AE121" s="83" t="n">
        <f aca="false">+IF(AE120&lt;AE$20,1,0)</f>
        <v>1</v>
      </c>
      <c r="AF121" s="83" t="n">
        <f aca="false">+IF(AF120&lt;AF$20,1,0)</f>
        <v>1</v>
      </c>
    </row>
    <row r="122" customFormat="false" ht="10.5" hidden="false" customHeight="true" outlineLevel="1" collapsed="false">
      <c r="A122" s="31"/>
      <c r="B122" s="31"/>
      <c r="C122" s="31"/>
      <c r="D122" s="31"/>
      <c r="E122" s="2" t="s">
        <v>168</v>
      </c>
      <c r="K122" s="84" t="n">
        <f aca="false">+IFERROR(K118/K119*K121,0)</f>
        <v>0</v>
      </c>
      <c r="L122" s="84" t="n">
        <f aca="false">+IFERROR(L118/L119*L121,0)</f>
        <v>0</v>
      </c>
      <c r="M122" s="84" t="n">
        <f aca="false">+IFERROR(M118/M119*M121,0)</f>
        <v>0</v>
      </c>
      <c r="N122" s="84" t="n">
        <f aca="false">+IFERROR(N118/N119*N121,0)</f>
        <v>0</v>
      </c>
      <c r="O122" s="84" t="n">
        <f aca="false">+IFERROR(O118/O119*O121,0)</f>
        <v>0</v>
      </c>
      <c r="P122" s="84" t="n">
        <f aca="false">+IFERROR(P118/P119*P121,0)</f>
        <v>0</v>
      </c>
      <c r="Q122" s="84" t="n">
        <f aca="false">+IFERROR(Q118/Q119*Q121,0)</f>
        <v>0</v>
      </c>
      <c r="R122" s="84" t="n">
        <f aca="false">+IFERROR(R118/R119*R121,0)</f>
        <v>0</v>
      </c>
      <c r="S122" s="84" t="n">
        <f aca="false">+IFERROR(S118/S119*S121,0)</f>
        <v>0</v>
      </c>
      <c r="T122" s="84" t="n">
        <f aca="false">+IFERROR(T118/T119*T121,0)</f>
        <v>0</v>
      </c>
      <c r="U122" s="84" t="n">
        <f aca="false">+IFERROR(U118/U119*U121,0)</f>
        <v>0</v>
      </c>
      <c r="V122" s="84" t="n">
        <f aca="false">+IFERROR(V118/V119*V121,0)</f>
        <v>0</v>
      </c>
      <c r="W122" s="84" t="n">
        <f aca="false">+IFERROR(W118/W119*W121,0)</f>
        <v>0</v>
      </c>
      <c r="X122" s="84" t="n">
        <f aca="false">+IFERROR(X118/X119*X121,0)</f>
        <v>0</v>
      </c>
      <c r="Y122" s="84" t="n">
        <f aca="false">+IFERROR(Y118/Y119*Y121,0)</f>
        <v>0</v>
      </c>
      <c r="Z122" s="84" t="n">
        <f aca="false">+IFERROR(Z118/Z119*Z121,0)</f>
        <v>0</v>
      </c>
      <c r="AA122" s="84" t="n">
        <f aca="false">+IFERROR(AA118/AA119*AA121,0)</f>
        <v>0</v>
      </c>
      <c r="AB122" s="84" t="n">
        <f aca="false">+IFERROR(AB118/AB119*AB121,0)</f>
        <v>0</v>
      </c>
      <c r="AC122" s="84" t="n">
        <f aca="false">+IFERROR(AC118/AC119*AC121,0)</f>
        <v>0</v>
      </c>
      <c r="AD122" s="84" t="n">
        <f aca="false">+IFERROR(AD118/AD119*AD121,0)</f>
        <v>0</v>
      </c>
      <c r="AE122" s="84" t="n">
        <f aca="false">+IFERROR(AE118/AE119*AE121,0)</f>
        <v>0</v>
      </c>
      <c r="AF122" s="84" t="n">
        <f aca="false">+IFERROR(AF118/AF119*AF121,0)</f>
        <v>0</v>
      </c>
    </row>
    <row r="123" customFormat="false" ht="10.5" hidden="false" customHeight="true" outlineLevel="1" collapsed="false">
      <c r="A123" s="31"/>
      <c r="B123" s="31"/>
      <c r="C123" s="31"/>
      <c r="D123" s="31"/>
      <c r="E123" s="2" t="s">
        <v>169</v>
      </c>
      <c r="K123" s="48" t="n">
        <f aca="false">K121*K118</f>
        <v>0</v>
      </c>
      <c r="L123" s="48" t="n">
        <f aca="false">L121*L118</f>
        <v>0</v>
      </c>
      <c r="M123" s="48" t="n">
        <f aca="false">M121*M118</f>
        <v>0</v>
      </c>
      <c r="N123" s="48" t="n">
        <f aca="false">N121*N118</f>
        <v>0</v>
      </c>
      <c r="O123" s="48" t="n">
        <f aca="false">O121*O118</f>
        <v>0</v>
      </c>
      <c r="P123" s="48" t="n">
        <f aca="false">P121*P118</f>
        <v>0</v>
      </c>
      <c r="Q123" s="48" t="n">
        <f aca="false">Q121*Q118</f>
        <v>0</v>
      </c>
      <c r="R123" s="48" t="n">
        <f aca="false">R121*R118</f>
        <v>0</v>
      </c>
      <c r="S123" s="48" t="n">
        <f aca="false">S121*S118</f>
        <v>0</v>
      </c>
      <c r="T123" s="48" t="n">
        <f aca="false">T121*T118</f>
        <v>0</v>
      </c>
      <c r="U123" s="48" t="n">
        <f aca="false">U121*U118</f>
        <v>0</v>
      </c>
      <c r="V123" s="48" t="n">
        <f aca="false">V121*V118</f>
        <v>0</v>
      </c>
      <c r="W123" s="48" t="n">
        <f aca="false">W121*W118</f>
        <v>0</v>
      </c>
      <c r="X123" s="48" t="n">
        <f aca="false">X121*X118</f>
        <v>0</v>
      </c>
      <c r="Y123" s="48" t="n">
        <f aca="false">Y121*Y118</f>
        <v>0</v>
      </c>
      <c r="Z123" s="48" t="n">
        <f aca="false">Z121*Z118</f>
        <v>0</v>
      </c>
      <c r="AA123" s="48" t="n">
        <f aca="false">AA121*AA118</f>
        <v>0</v>
      </c>
      <c r="AB123" s="48" t="n">
        <f aca="false">AB121*AB118</f>
        <v>0</v>
      </c>
      <c r="AC123" s="48" t="n">
        <f aca="false">AC121*AC118</f>
        <v>0</v>
      </c>
      <c r="AD123" s="48" t="n">
        <f aca="false">AD121*AD118</f>
        <v>0</v>
      </c>
      <c r="AE123" s="48" t="n">
        <f aca="false">AE121*AE118</f>
        <v>0</v>
      </c>
      <c r="AF123" s="48" t="n">
        <f aca="false">AF121*AF118</f>
        <v>0</v>
      </c>
    </row>
    <row r="124" customFormat="false" ht="10.5" hidden="false" customHeight="true" outlineLevel="1" collapsed="false">
      <c r="A124" s="31"/>
      <c r="B124" s="31"/>
      <c r="C124" s="31"/>
      <c r="D124" s="31"/>
      <c r="E124" s="2" t="s">
        <v>172</v>
      </c>
      <c r="K124" s="48" t="n">
        <f aca="false">IF(K121,0,K117)</f>
        <v>0</v>
      </c>
      <c r="L124" s="48" t="n">
        <f aca="false">IF(L121,0,L117)</f>
        <v>0</v>
      </c>
      <c r="M124" s="48" t="n">
        <f aca="false">IF(M121,0,M117)</f>
        <v>0</v>
      </c>
      <c r="N124" s="48" t="n">
        <f aca="false">IF(N121,0,N117)</f>
        <v>0</v>
      </c>
      <c r="O124" s="48" t="n">
        <f aca="false">IF(O121,0,O117)</f>
        <v>0</v>
      </c>
      <c r="P124" s="48" t="n">
        <f aca="false">IF(P121,0,P117)</f>
        <v>0</v>
      </c>
      <c r="Q124" s="48" t="n">
        <f aca="false">IF(Q121,0,Q117)</f>
        <v>0</v>
      </c>
      <c r="R124" s="48" t="n">
        <f aca="false">IF(R121,0,R117)</f>
        <v>0</v>
      </c>
      <c r="S124" s="48" t="n">
        <f aca="false">IF(S121,0,S117)</f>
        <v>0</v>
      </c>
      <c r="T124" s="48" t="n">
        <f aca="false">IF(T121,0,T117)</f>
        <v>0</v>
      </c>
      <c r="U124" s="48" t="n">
        <f aca="false">IF(U121,0,U117)</f>
        <v>0</v>
      </c>
      <c r="V124" s="48" t="n">
        <f aca="false">IF(V121,0,V117)</f>
        <v>0</v>
      </c>
      <c r="W124" s="48" t="n">
        <f aca="false">IF(W121,0,W117)</f>
        <v>0</v>
      </c>
      <c r="X124" s="48" t="n">
        <f aca="false">IF(X121,0,X117)</f>
        <v>0</v>
      </c>
      <c r="Y124" s="48" t="n">
        <f aca="false">IF(Y121,0,Y117)</f>
        <v>0</v>
      </c>
      <c r="Z124" s="48" t="n">
        <f aca="false">IF(Z121,0,Z117)</f>
        <v>0</v>
      </c>
      <c r="AA124" s="48" t="n">
        <f aca="false">IF(AA121,0,AA117)</f>
        <v>0</v>
      </c>
      <c r="AB124" s="48" t="n">
        <f aca="false">IF(AB121,0,AB117)</f>
        <v>0</v>
      </c>
      <c r="AC124" s="48" t="n">
        <f aca="false">IF(AC121,0,AC117)</f>
        <v>0</v>
      </c>
      <c r="AD124" s="48" t="n">
        <f aca="false">IF(AD121,0,AD117)</f>
        <v>0</v>
      </c>
      <c r="AE124" s="48" t="n">
        <f aca="false">IF(AE121,0,AE117)</f>
        <v>0</v>
      </c>
      <c r="AF124" s="48" t="n">
        <f aca="false">IF(AF121,0,AF117)</f>
        <v>0</v>
      </c>
    </row>
    <row r="125" customFormat="false" ht="10.5" hidden="false" customHeight="true" outlineLevel="1" collapsed="false">
      <c r="A125" s="31"/>
      <c r="B125" s="31"/>
      <c r="C125" s="31"/>
      <c r="D125" s="31"/>
      <c r="AE125" s="3"/>
      <c r="AF125" s="3"/>
    </row>
    <row r="126" customFormat="false" ht="10.5" hidden="false" customHeight="true" outlineLevel="1" collapsed="false">
      <c r="A126" s="31"/>
      <c r="B126" s="31"/>
      <c r="C126" s="31"/>
      <c r="D126" s="31"/>
      <c r="E126" s="2" t="s">
        <v>163</v>
      </c>
      <c r="K126" s="80"/>
      <c r="L126" s="80"/>
      <c r="M126" s="80"/>
      <c r="N126" s="80"/>
      <c r="O126" s="80"/>
      <c r="P126" s="80"/>
      <c r="Q126" s="80"/>
      <c r="R126" s="80"/>
      <c r="S126" s="80"/>
      <c r="T126" s="80"/>
      <c r="U126" s="80"/>
      <c r="V126" s="80"/>
      <c r="W126" s="80"/>
      <c r="X126" s="80"/>
      <c r="Y126" s="80"/>
      <c r="Z126" s="80"/>
      <c r="AA126" s="80"/>
      <c r="AB126" s="80"/>
      <c r="AC126" s="80"/>
      <c r="AD126" s="80"/>
      <c r="AE126" s="80"/>
      <c r="AF126" s="80"/>
    </row>
    <row r="127" customFormat="false" ht="10.5" hidden="false" customHeight="true" outlineLevel="1" collapsed="false">
      <c r="A127" s="31"/>
      <c r="B127" s="31"/>
      <c r="C127" s="31"/>
      <c r="D127" s="31"/>
      <c r="E127" s="2" t="s">
        <v>164</v>
      </c>
      <c r="K127" s="80"/>
      <c r="L127" s="80"/>
      <c r="M127" s="80"/>
      <c r="N127" s="80"/>
      <c r="O127" s="80"/>
      <c r="P127" s="80"/>
      <c r="Q127" s="80"/>
      <c r="R127" s="80"/>
      <c r="S127" s="80"/>
      <c r="T127" s="80"/>
      <c r="U127" s="80"/>
      <c r="V127" s="80"/>
      <c r="W127" s="80"/>
      <c r="X127" s="80"/>
      <c r="Y127" s="80"/>
      <c r="Z127" s="80"/>
      <c r="AA127" s="80"/>
      <c r="AB127" s="80"/>
      <c r="AC127" s="80"/>
      <c r="AD127" s="80"/>
      <c r="AE127" s="80"/>
      <c r="AF127" s="80"/>
    </row>
    <row r="128" customFormat="false" ht="10.5" hidden="false" customHeight="true" outlineLevel="1" collapsed="false">
      <c r="A128" s="31"/>
      <c r="B128" s="31"/>
      <c r="C128" s="31"/>
      <c r="D128" s="31"/>
      <c r="E128" s="2" t="s">
        <v>165</v>
      </c>
      <c r="K128" s="80"/>
      <c r="L128" s="80"/>
      <c r="M128" s="80"/>
      <c r="N128" s="80"/>
      <c r="O128" s="80"/>
      <c r="P128" s="80"/>
      <c r="Q128" s="80"/>
      <c r="R128" s="80"/>
      <c r="S128" s="80"/>
      <c r="T128" s="80"/>
      <c r="U128" s="80"/>
      <c r="V128" s="80"/>
      <c r="W128" s="80"/>
      <c r="X128" s="80"/>
      <c r="Y128" s="80"/>
      <c r="Z128" s="80"/>
      <c r="AA128" s="80"/>
      <c r="AB128" s="80"/>
      <c r="AC128" s="80"/>
      <c r="AD128" s="80"/>
      <c r="AE128" s="80"/>
      <c r="AF128" s="80"/>
    </row>
    <row r="129" customFormat="false" ht="10.5" hidden="false" customHeight="true" outlineLevel="1" collapsed="false">
      <c r="A129" s="31"/>
      <c r="B129" s="31"/>
      <c r="C129" s="31"/>
      <c r="D129" s="31"/>
      <c r="E129" s="2" t="s">
        <v>166</v>
      </c>
      <c r="K129" s="84" t="n">
        <f aca="false">K128*K$313</f>
        <v>0</v>
      </c>
      <c r="L129" s="84" t="n">
        <f aca="false">L128*L$313</f>
        <v>0</v>
      </c>
      <c r="M129" s="84" t="n">
        <f aca="false">M128*M$313</f>
        <v>0</v>
      </c>
      <c r="N129" s="84" t="n">
        <f aca="false">N128*N$313</f>
        <v>0</v>
      </c>
      <c r="O129" s="84" t="n">
        <f aca="false">O128*O$313</f>
        <v>0</v>
      </c>
      <c r="P129" s="84" t="n">
        <f aca="false">P128*P$313</f>
        <v>0</v>
      </c>
      <c r="Q129" s="84" t="n">
        <f aca="false">Q128*Q$313</f>
        <v>0</v>
      </c>
      <c r="R129" s="84" t="n">
        <f aca="false">R128*R$313</f>
        <v>0</v>
      </c>
      <c r="S129" s="84" t="n">
        <f aca="false">S128*S$313</f>
        <v>0</v>
      </c>
      <c r="T129" s="84" t="n">
        <f aca="false">T128*T$313</f>
        <v>0</v>
      </c>
      <c r="U129" s="84" t="n">
        <f aca="false">U128*U$313</f>
        <v>0</v>
      </c>
      <c r="V129" s="84" t="n">
        <f aca="false">V128*V$313</f>
        <v>0</v>
      </c>
      <c r="W129" s="84" t="n">
        <f aca="false">W128*W$313</f>
        <v>0</v>
      </c>
      <c r="X129" s="84" t="n">
        <f aca="false">X128*X$313</f>
        <v>0</v>
      </c>
      <c r="Y129" s="84" t="n">
        <f aca="false">Y128*Y$313</f>
        <v>0</v>
      </c>
      <c r="Z129" s="84" t="n">
        <f aca="false">Z128*Z$313</f>
        <v>0</v>
      </c>
      <c r="AA129" s="84" t="n">
        <f aca="false">AA128*AA$313</f>
        <v>0</v>
      </c>
      <c r="AB129" s="84" t="n">
        <f aca="false">AB128*AB$313</f>
        <v>0</v>
      </c>
      <c r="AC129" s="84" t="n">
        <f aca="false">AC128*AC$313</f>
        <v>0</v>
      </c>
      <c r="AD129" s="84" t="n">
        <f aca="false">AD128*AD$313</f>
        <v>0</v>
      </c>
      <c r="AE129" s="84" t="n">
        <f aca="false">AE128*AE$313</f>
        <v>0</v>
      </c>
      <c r="AF129" s="84" t="n">
        <f aca="false">AF128*AF$313</f>
        <v>0</v>
      </c>
    </row>
    <row r="130" customFormat="false" ht="10.5" hidden="false" customHeight="true" outlineLevel="1" collapsed="false">
      <c r="A130" s="31"/>
      <c r="B130" s="31"/>
      <c r="C130" s="31"/>
      <c r="D130" s="31"/>
      <c r="E130" s="2" t="s">
        <v>167</v>
      </c>
      <c r="K130" s="83" t="n">
        <f aca="false">+IF(K129&lt;K$20,1,0)</f>
        <v>0</v>
      </c>
      <c r="L130" s="83" t="n">
        <f aca="false">+IF(L129&lt;L$20,1,0)</f>
        <v>1</v>
      </c>
      <c r="M130" s="83" t="n">
        <f aca="false">+IF(M129&lt;M$20,1,0)</f>
        <v>1</v>
      </c>
      <c r="N130" s="83" t="n">
        <f aca="false">+IF(N129&lt;N$20,1,0)</f>
        <v>1</v>
      </c>
      <c r="O130" s="83" t="n">
        <f aca="false">+IF(O129&lt;O$20,1,0)</f>
        <v>1</v>
      </c>
      <c r="P130" s="83" t="n">
        <f aca="false">+IF(P129&lt;P$20,1,0)</f>
        <v>1</v>
      </c>
      <c r="Q130" s="83" t="n">
        <f aca="false">+IF(Q129&lt;Q$20,1,0)</f>
        <v>1</v>
      </c>
      <c r="R130" s="83" t="n">
        <f aca="false">+IF(R129&lt;R$20,1,0)</f>
        <v>1</v>
      </c>
      <c r="S130" s="83" t="n">
        <f aca="false">+IF(S129&lt;S$20,1,0)</f>
        <v>1</v>
      </c>
      <c r="T130" s="83" t="n">
        <f aca="false">+IF(T129&lt;T$20,1,0)</f>
        <v>1</v>
      </c>
      <c r="U130" s="83" t="n">
        <f aca="false">+IF(U129&lt;U$20,1,0)</f>
        <v>1</v>
      </c>
      <c r="V130" s="83" t="n">
        <f aca="false">+IF(V129&lt;V$20,1,0)</f>
        <v>1</v>
      </c>
      <c r="W130" s="83" t="n">
        <f aca="false">+IF(W129&lt;W$20,1,0)</f>
        <v>1</v>
      </c>
      <c r="X130" s="83" t="n">
        <f aca="false">+IF(X129&lt;X$20,1,0)</f>
        <v>1</v>
      </c>
      <c r="Y130" s="83" t="n">
        <f aca="false">+IF(Y129&lt;Y$20,1,0)</f>
        <v>1</v>
      </c>
      <c r="Z130" s="83" t="n">
        <f aca="false">+IF(Z129&lt;Z$20,1,0)</f>
        <v>1</v>
      </c>
      <c r="AA130" s="83" t="n">
        <f aca="false">+IF(AA129&lt;AA$20,1,0)</f>
        <v>1</v>
      </c>
      <c r="AB130" s="83" t="n">
        <f aca="false">+IF(AB129&lt;AB$20,1,0)</f>
        <v>1</v>
      </c>
      <c r="AC130" s="83" t="n">
        <f aca="false">+IF(AC129&lt;AC$20,1,0)</f>
        <v>1</v>
      </c>
      <c r="AD130" s="83" t="n">
        <f aca="false">+IF(AD129&lt;AD$20,1,0)</f>
        <v>1</v>
      </c>
      <c r="AE130" s="83" t="n">
        <f aca="false">+IF(AE129&lt;AE$20,1,0)</f>
        <v>1</v>
      </c>
      <c r="AF130" s="83" t="n">
        <f aca="false">+IF(AF129&lt;AF$20,1,0)</f>
        <v>1</v>
      </c>
    </row>
    <row r="131" customFormat="false" ht="10.5" hidden="false" customHeight="true" outlineLevel="1" collapsed="false">
      <c r="A131" s="31"/>
      <c r="B131" s="31"/>
      <c r="C131" s="31"/>
      <c r="D131" s="31"/>
      <c r="E131" s="2" t="s">
        <v>168</v>
      </c>
      <c r="K131" s="84" t="n">
        <f aca="false">+IFERROR(K127/K128*K130,0)</f>
        <v>0</v>
      </c>
      <c r="L131" s="84" t="n">
        <f aca="false">+IFERROR(L127/L128*L130,0)</f>
        <v>0</v>
      </c>
      <c r="M131" s="84" t="n">
        <f aca="false">+IFERROR(M127/M128*M130,0)</f>
        <v>0</v>
      </c>
      <c r="N131" s="84" t="n">
        <f aca="false">+IFERROR(N127/N128*N130,0)</f>
        <v>0</v>
      </c>
      <c r="O131" s="84" t="n">
        <f aca="false">+IFERROR(O127/O128*O130,0)</f>
        <v>0</v>
      </c>
      <c r="P131" s="84" t="n">
        <f aca="false">+IFERROR(P127/P128*P130,0)</f>
        <v>0</v>
      </c>
      <c r="Q131" s="84" t="n">
        <f aca="false">+IFERROR(Q127/Q128*Q130,0)</f>
        <v>0</v>
      </c>
      <c r="R131" s="84" t="n">
        <f aca="false">+IFERROR(R127/R128*R130,0)</f>
        <v>0</v>
      </c>
      <c r="S131" s="84" t="n">
        <f aca="false">+IFERROR(S127/S128*S130,0)</f>
        <v>0</v>
      </c>
      <c r="T131" s="84" t="n">
        <f aca="false">+IFERROR(T127/T128*T130,0)</f>
        <v>0</v>
      </c>
      <c r="U131" s="84" t="n">
        <f aca="false">+IFERROR(U127/U128*U130,0)</f>
        <v>0</v>
      </c>
      <c r="V131" s="84" t="n">
        <f aca="false">+IFERROR(V127/V128*V130,0)</f>
        <v>0</v>
      </c>
      <c r="W131" s="84" t="n">
        <f aca="false">+IFERROR(W127/W128*W130,0)</f>
        <v>0</v>
      </c>
      <c r="X131" s="84" t="n">
        <f aca="false">+IFERROR(X127/X128*X130,0)</f>
        <v>0</v>
      </c>
      <c r="Y131" s="84" t="n">
        <f aca="false">+IFERROR(Y127/Y128*Y130,0)</f>
        <v>0</v>
      </c>
      <c r="Z131" s="84" t="n">
        <f aca="false">+IFERROR(Z127/Z128*Z130,0)</f>
        <v>0</v>
      </c>
      <c r="AA131" s="84" t="n">
        <f aca="false">+IFERROR(AA127/AA128*AA130,0)</f>
        <v>0</v>
      </c>
      <c r="AB131" s="84" t="n">
        <f aca="false">+IFERROR(AB127/AB128*AB130,0)</f>
        <v>0</v>
      </c>
      <c r="AC131" s="84" t="n">
        <f aca="false">+IFERROR(AC127/AC128*AC130,0)</f>
        <v>0</v>
      </c>
      <c r="AD131" s="84" t="n">
        <f aca="false">+IFERROR(AD127/AD128*AD130,0)</f>
        <v>0</v>
      </c>
      <c r="AE131" s="84" t="n">
        <f aca="false">+IFERROR(AE127/AE128*AE130,0)</f>
        <v>0</v>
      </c>
      <c r="AF131" s="84" t="n">
        <f aca="false">+IFERROR(AF127/AF128*AF130,0)</f>
        <v>0</v>
      </c>
    </row>
    <row r="132" customFormat="false" ht="10.5" hidden="false" customHeight="true" outlineLevel="1" collapsed="false">
      <c r="A132" s="31"/>
      <c r="B132" s="31"/>
      <c r="C132" s="31"/>
      <c r="D132" s="31"/>
      <c r="E132" s="2" t="s">
        <v>169</v>
      </c>
      <c r="K132" s="48" t="n">
        <f aca="false">K130*K127</f>
        <v>0</v>
      </c>
      <c r="L132" s="48" t="n">
        <f aca="false">L130*L127</f>
        <v>0</v>
      </c>
      <c r="M132" s="48" t="n">
        <f aca="false">M130*M127</f>
        <v>0</v>
      </c>
      <c r="N132" s="48" t="n">
        <f aca="false">N130*N127</f>
        <v>0</v>
      </c>
      <c r="O132" s="48" t="n">
        <f aca="false">O130*O127</f>
        <v>0</v>
      </c>
      <c r="P132" s="48" t="n">
        <f aca="false">P130*P127</f>
        <v>0</v>
      </c>
      <c r="Q132" s="48" t="n">
        <f aca="false">Q130*Q127</f>
        <v>0</v>
      </c>
      <c r="R132" s="48" t="n">
        <f aca="false">R130*R127</f>
        <v>0</v>
      </c>
      <c r="S132" s="48" t="n">
        <f aca="false">S130*S127</f>
        <v>0</v>
      </c>
      <c r="T132" s="48" t="n">
        <f aca="false">T130*T127</f>
        <v>0</v>
      </c>
      <c r="U132" s="48" t="n">
        <f aca="false">U130*U127</f>
        <v>0</v>
      </c>
      <c r="V132" s="48" t="n">
        <f aca="false">V130*V127</f>
        <v>0</v>
      </c>
      <c r="W132" s="48" t="n">
        <f aca="false">W130*W127</f>
        <v>0</v>
      </c>
      <c r="X132" s="48" t="n">
        <f aca="false">X130*X127</f>
        <v>0</v>
      </c>
      <c r="Y132" s="48" t="n">
        <f aca="false">Y130*Y127</f>
        <v>0</v>
      </c>
      <c r="Z132" s="48" t="n">
        <f aca="false">Z130*Z127</f>
        <v>0</v>
      </c>
      <c r="AA132" s="48" t="n">
        <f aca="false">AA130*AA127</f>
        <v>0</v>
      </c>
      <c r="AB132" s="48" t="n">
        <f aca="false">AB130*AB127</f>
        <v>0</v>
      </c>
      <c r="AC132" s="48" t="n">
        <f aca="false">AC130*AC127</f>
        <v>0</v>
      </c>
      <c r="AD132" s="48" t="n">
        <f aca="false">AD130*AD127</f>
        <v>0</v>
      </c>
      <c r="AE132" s="48" t="n">
        <f aca="false">AE130*AE127</f>
        <v>0</v>
      </c>
      <c r="AF132" s="48" t="n">
        <f aca="false">AF130*AF127</f>
        <v>0</v>
      </c>
    </row>
    <row r="133" customFormat="false" ht="10.5" hidden="false" customHeight="true" outlineLevel="1" collapsed="false">
      <c r="A133" s="31"/>
      <c r="B133" s="31"/>
      <c r="C133" s="31"/>
      <c r="D133" s="31"/>
      <c r="E133" s="2" t="s">
        <v>172</v>
      </c>
      <c r="K133" s="48" t="n">
        <f aca="false">IF(K130,0,K126)</f>
        <v>0</v>
      </c>
      <c r="L133" s="48" t="n">
        <f aca="false">IF(L130,0,L126)</f>
        <v>0</v>
      </c>
      <c r="M133" s="48" t="n">
        <f aca="false">IF(M130,0,M126)</f>
        <v>0</v>
      </c>
      <c r="N133" s="48" t="n">
        <f aca="false">IF(N130,0,N126)</f>
        <v>0</v>
      </c>
      <c r="O133" s="48" t="n">
        <f aca="false">IF(O130,0,O126)</f>
        <v>0</v>
      </c>
      <c r="P133" s="48" t="n">
        <f aca="false">IF(P130,0,P126)</f>
        <v>0</v>
      </c>
      <c r="Q133" s="48" t="n">
        <f aca="false">IF(Q130,0,Q126)</f>
        <v>0</v>
      </c>
      <c r="R133" s="48" t="n">
        <f aca="false">IF(R130,0,R126)</f>
        <v>0</v>
      </c>
      <c r="S133" s="48" t="n">
        <f aca="false">IF(S130,0,S126)</f>
        <v>0</v>
      </c>
      <c r="T133" s="48" t="n">
        <f aca="false">IF(T130,0,T126)</f>
        <v>0</v>
      </c>
      <c r="U133" s="48" t="n">
        <f aca="false">IF(U130,0,U126)</f>
        <v>0</v>
      </c>
      <c r="V133" s="48" t="n">
        <f aca="false">IF(V130,0,V126)</f>
        <v>0</v>
      </c>
      <c r="W133" s="48" t="n">
        <f aca="false">IF(W130,0,W126)</f>
        <v>0</v>
      </c>
      <c r="X133" s="48" t="n">
        <f aca="false">IF(X130,0,X126)</f>
        <v>0</v>
      </c>
      <c r="Y133" s="48" t="n">
        <f aca="false">IF(Y130,0,Y126)</f>
        <v>0</v>
      </c>
      <c r="Z133" s="48" t="n">
        <f aca="false">IF(Z130,0,Z126)</f>
        <v>0</v>
      </c>
      <c r="AA133" s="48" t="n">
        <f aca="false">IF(AA130,0,AA126)</f>
        <v>0</v>
      </c>
      <c r="AB133" s="48" t="n">
        <f aca="false">IF(AB130,0,AB126)</f>
        <v>0</v>
      </c>
      <c r="AC133" s="48" t="n">
        <f aca="false">IF(AC130,0,AC126)</f>
        <v>0</v>
      </c>
      <c r="AD133" s="48" t="n">
        <f aca="false">IF(AD130,0,AD126)</f>
        <v>0</v>
      </c>
      <c r="AE133" s="48" t="n">
        <f aca="false">IF(AE130,0,AE126)</f>
        <v>0</v>
      </c>
      <c r="AF133" s="48" t="n">
        <f aca="false">IF(AF130,0,AF126)</f>
        <v>0</v>
      </c>
    </row>
    <row r="134" customFormat="false" ht="10.5" hidden="false" customHeight="true" outlineLevel="1" collapsed="false">
      <c r="A134" s="31"/>
      <c r="B134" s="31"/>
      <c r="C134" s="31"/>
      <c r="D134" s="31"/>
      <c r="AE134" s="3"/>
      <c r="AF134" s="3"/>
    </row>
    <row r="135" customFormat="false" ht="10.5" hidden="false" customHeight="true" outlineLevel="0" collapsed="false">
      <c r="A135" s="28" t="s">
        <v>28</v>
      </c>
      <c r="B135" s="28" t="s">
        <v>28</v>
      </c>
      <c r="C135" s="28"/>
      <c r="D135" s="28"/>
      <c r="E135" s="29" t="s">
        <v>173</v>
      </c>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row>
    <row r="136" customFormat="false" ht="10.5" hidden="false" customHeight="true" outlineLevel="0" collapsed="false">
      <c r="A136" s="62"/>
      <c r="B136" s="62"/>
      <c r="C136" s="62"/>
      <c r="D136" s="62"/>
      <c r="AE136" s="3"/>
      <c r="AF136" s="3"/>
    </row>
    <row r="137" customFormat="false" ht="10.5" hidden="false" customHeight="true" outlineLevel="0" collapsed="false">
      <c r="A137" s="31"/>
      <c r="B137" s="31"/>
      <c r="C137" s="31"/>
      <c r="D137" s="31"/>
      <c r="E137" s="2" t="s">
        <v>174</v>
      </c>
      <c r="K137" s="65"/>
      <c r="L137" s="36" t="n">
        <v>206.495</v>
      </c>
      <c r="M137" s="36" t="n">
        <v>21.677137</v>
      </c>
      <c r="N137" s="36" t="n">
        <v>218.056016</v>
      </c>
      <c r="O137" s="36" t="n">
        <v>148.989545</v>
      </c>
      <c r="P137" s="36" t="n">
        <v>74.93554</v>
      </c>
      <c r="Q137" s="36" t="n">
        <v>43.80844</v>
      </c>
      <c r="R137" s="36" t="n">
        <v>69.844229</v>
      </c>
      <c r="S137" s="36" t="n">
        <v>46.239518</v>
      </c>
      <c r="T137" s="36" t="n">
        <v>20.876638</v>
      </c>
      <c r="U137" s="36" t="n">
        <v>51.142998</v>
      </c>
      <c r="V137" s="36" t="n">
        <v>173.599468</v>
      </c>
      <c r="W137" s="36" t="n">
        <v>197.599697</v>
      </c>
      <c r="X137" s="36" t="n">
        <v>444.091816</v>
      </c>
      <c r="Y137" s="36" t="n">
        <v>153.402556</v>
      </c>
      <c r="Z137" s="36" t="n">
        <v>98.248111</v>
      </c>
      <c r="AA137" s="36" t="n">
        <v>111.586401</v>
      </c>
      <c r="AB137" s="36" t="n">
        <v>369.747286</v>
      </c>
      <c r="AC137" s="36" t="n">
        <v>702.986054</v>
      </c>
      <c r="AD137" s="36" t="n">
        <v>281.928854</v>
      </c>
      <c r="AE137" s="36" t="n">
        <v>4106.248617</v>
      </c>
      <c r="AF137" s="36" t="n">
        <v>121.019266</v>
      </c>
    </row>
    <row r="138" s="85" customFormat="true" ht="10.5" hidden="false" customHeight="true" outlineLevel="0" collapsed="false">
      <c r="A138" s="31"/>
      <c r="B138" s="31"/>
      <c r="C138" s="31"/>
      <c r="D138" s="31"/>
      <c r="E138" s="2" t="s">
        <v>175</v>
      </c>
      <c r="F138" s="3"/>
      <c r="G138" s="4"/>
      <c r="H138" s="4"/>
      <c r="I138" s="4"/>
      <c r="J138" s="4"/>
      <c r="K138" s="35"/>
      <c r="L138" s="35"/>
      <c r="M138" s="36" t="n">
        <v>5.061038</v>
      </c>
      <c r="N138" s="35"/>
      <c r="O138" s="36" t="n">
        <v>110.68408</v>
      </c>
      <c r="P138" s="35"/>
      <c r="Q138" s="35"/>
      <c r="R138" s="35"/>
      <c r="S138" s="35"/>
      <c r="T138" s="35"/>
      <c r="U138" s="35"/>
      <c r="V138" s="35"/>
      <c r="W138" s="35"/>
      <c r="X138" s="35"/>
      <c r="Y138" s="35"/>
      <c r="Z138" s="35"/>
      <c r="AA138" s="35"/>
      <c r="AB138" s="35"/>
      <c r="AC138" s="35"/>
      <c r="AD138" s="35"/>
      <c r="AE138" s="35"/>
      <c r="AF138" s="35"/>
    </row>
    <row r="139" customFormat="false" ht="10.5" hidden="false" customHeight="true" outlineLevel="0" collapsed="false">
      <c r="A139" s="31"/>
      <c r="B139" s="31"/>
      <c r="C139" s="31"/>
      <c r="D139" s="31"/>
      <c r="E139" s="2" t="s">
        <v>176</v>
      </c>
      <c r="K139" s="86" t="n">
        <f aca="false">K185</f>
        <v>0</v>
      </c>
      <c r="L139" s="86" t="n">
        <f aca="false">L185</f>
        <v>3.086</v>
      </c>
      <c r="M139" s="86" t="n">
        <f aca="false">M185</f>
        <v>0.512883048048128</v>
      </c>
      <c r="N139" s="86" t="n">
        <f aca="false">N185</f>
        <v>4.41410727406319</v>
      </c>
      <c r="O139" s="86" t="n">
        <f aca="false">O185</f>
        <v>11.609</v>
      </c>
      <c r="P139" s="86" t="n">
        <f aca="false">P185</f>
        <v>0</v>
      </c>
      <c r="Q139" s="86" t="n">
        <f aca="false">Q185</f>
        <v>0.23362</v>
      </c>
      <c r="R139" s="86" t="n">
        <f aca="false">R185</f>
        <v>0.2475</v>
      </c>
      <c r="S139" s="86" t="n">
        <f aca="false">S185</f>
        <v>0</v>
      </c>
      <c r="T139" s="86" t="n">
        <f aca="false">T185</f>
        <v>0</v>
      </c>
      <c r="U139" s="86" t="n">
        <f aca="false">U185</f>
        <v>0</v>
      </c>
      <c r="V139" s="86" t="n">
        <f aca="false">V185</f>
        <v>2.62386260453497</v>
      </c>
      <c r="W139" s="86" t="n">
        <f aca="false">W185</f>
        <v>0.91252</v>
      </c>
      <c r="X139" s="86" t="n">
        <f aca="false">X185</f>
        <v>5.50783505561694</v>
      </c>
      <c r="Y139" s="86" t="n">
        <f aca="false">Y185</f>
        <v>1.75214</v>
      </c>
      <c r="Z139" s="86" t="n">
        <f aca="false">Z185</f>
        <v>0.564099311190791</v>
      </c>
      <c r="AA139" s="86" t="n">
        <f aca="false">AA185</f>
        <v>0.515020892819834</v>
      </c>
      <c r="AB139" s="86" t="n">
        <f aca="false">AB185</f>
        <v>1.78674934725849</v>
      </c>
      <c r="AC139" s="86" t="n">
        <f aca="false">AC185</f>
        <v>4.71452928094885</v>
      </c>
      <c r="AD139" s="86" t="n">
        <f aca="false">AD185</f>
        <v>2.19769519575151</v>
      </c>
      <c r="AE139" s="86" t="n">
        <f aca="false">AE185</f>
        <v>126.130580286415</v>
      </c>
      <c r="AF139" s="86" t="n">
        <f aca="false">AF185</f>
        <v>5.59425827935484</v>
      </c>
    </row>
    <row r="140" customFormat="false" ht="10.5" hidden="false" customHeight="true" outlineLevel="0" collapsed="false">
      <c r="A140" s="31"/>
      <c r="B140" s="31"/>
      <c r="C140" s="31"/>
      <c r="D140" s="31"/>
      <c r="E140" s="2" t="s">
        <v>177</v>
      </c>
      <c r="K140" s="86" t="n">
        <f aca="false">K93+K102+K111</f>
        <v>0</v>
      </c>
      <c r="L140" s="86" t="n">
        <f aca="false">L93+L102+L111</f>
        <v>0</v>
      </c>
      <c r="M140" s="86" t="n">
        <f aca="false">M93+M102+M111</f>
        <v>0</v>
      </c>
      <c r="N140" s="86" t="n">
        <f aca="false">N93+N102+N111</f>
        <v>0</v>
      </c>
      <c r="O140" s="86" t="n">
        <f aca="false">O93+O102+O111</f>
        <v>0</v>
      </c>
      <c r="P140" s="86" t="n">
        <f aca="false">P93+P102+P111</f>
        <v>0</v>
      </c>
      <c r="Q140" s="86" t="n">
        <f aca="false">Q93+Q102+Q111</f>
        <v>0</v>
      </c>
      <c r="R140" s="86" t="n">
        <f aca="false">R93+R102+R111</f>
        <v>0</v>
      </c>
      <c r="S140" s="86" t="n">
        <f aca="false">S93+S102+S111</f>
        <v>0</v>
      </c>
      <c r="T140" s="86" t="n">
        <f aca="false">T93+T102+T111</f>
        <v>0.27057804339092</v>
      </c>
      <c r="U140" s="86" t="n">
        <f aca="false">U93+U102+U111</f>
        <v>0</v>
      </c>
      <c r="V140" s="86" t="n">
        <f aca="false">V93+V102+V111</f>
        <v>0</v>
      </c>
      <c r="W140" s="86" t="n">
        <f aca="false">W93+W102+W111</f>
        <v>0</v>
      </c>
      <c r="X140" s="86" t="n">
        <f aca="false">X93+X102+X111</f>
        <v>0</v>
      </c>
      <c r="Y140" s="86" t="n">
        <f aca="false">Y93+Y102+Y111</f>
        <v>0</v>
      </c>
      <c r="Z140" s="86" t="n">
        <f aca="false">Z93+Z102+Z111</f>
        <v>0</v>
      </c>
      <c r="AA140" s="86" t="n">
        <f aca="false">AA93+AA102+AA111</f>
        <v>0</v>
      </c>
      <c r="AB140" s="86" t="n">
        <f aca="false">AB93+AB102+AB111</f>
        <v>0</v>
      </c>
      <c r="AC140" s="86" t="n">
        <f aca="false">AC93+AC102+AC111</f>
        <v>0</v>
      </c>
      <c r="AD140" s="86" t="n">
        <f aca="false">AD93+AD102+AD111</f>
        <v>0</v>
      </c>
      <c r="AE140" s="86" t="n">
        <f aca="false">AE93+AE102+AE111</f>
        <v>0</v>
      </c>
      <c r="AF140" s="86" t="n">
        <f aca="false">AF93+AF102+AF111</f>
        <v>0</v>
      </c>
    </row>
    <row r="141" customFormat="false" ht="10.5" hidden="false" customHeight="true" outlineLevel="0" collapsed="false">
      <c r="A141" s="31"/>
      <c r="B141" s="31"/>
      <c r="C141" s="31"/>
      <c r="D141" s="31"/>
      <c r="E141" s="2" t="s">
        <v>178</v>
      </c>
      <c r="K141" s="86" t="n">
        <f aca="false">+K122+K131</f>
        <v>0</v>
      </c>
      <c r="L141" s="86" t="n">
        <f aca="false">+L122+L131</f>
        <v>0</v>
      </c>
      <c r="M141" s="86" t="n">
        <f aca="false">+M122+M131</f>
        <v>0</v>
      </c>
      <c r="N141" s="86" t="n">
        <f aca="false">+N122+N131</f>
        <v>0</v>
      </c>
      <c r="O141" s="86" t="n">
        <f aca="false">+O122+O131</f>
        <v>0</v>
      </c>
      <c r="P141" s="86" t="n">
        <f aca="false">+P122+P131</f>
        <v>0</v>
      </c>
      <c r="Q141" s="86" t="n">
        <f aca="false">+Q122+Q131</f>
        <v>0</v>
      </c>
      <c r="R141" s="86" t="n">
        <f aca="false">+R122+R131</f>
        <v>0</v>
      </c>
      <c r="S141" s="86" t="n">
        <f aca="false">+S122+S131</f>
        <v>0</v>
      </c>
      <c r="T141" s="86" t="n">
        <f aca="false">+T122+T131</f>
        <v>0</v>
      </c>
      <c r="U141" s="86" t="n">
        <f aca="false">+U122+U131</f>
        <v>0</v>
      </c>
      <c r="V141" s="86" t="n">
        <f aca="false">+V122+V131</f>
        <v>0</v>
      </c>
      <c r="W141" s="86" t="n">
        <f aca="false">+W122+W131</f>
        <v>0</v>
      </c>
      <c r="X141" s="86" t="n">
        <f aca="false">+X122+X131</f>
        <v>0</v>
      </c>
      <c r="Y141" s="86" t="n">
        <f aca="false">+Y122+Y131</f>
        <v>0</v>
      </c>
      <c r="Z141" s="86" t="n">
        <f aca="false">+Z122+Z131</f>
        <v>0</v>
      </c>
      <c r="AA141" s="86" t="n">
        <f aca="false">+AA122+AA131</f>
        <v>0</v>
      </c>
      <c r="AB141" s="86" t="n">
        <f aca="false">+AB122+AB131</f>
        <v>0</v>
      </c>
      <c r="AC141" s="86" t="n">
        <f aca="false">+AC122+AC131</f>
        <v>0</v>
      </c>
      <c r="AD141" s="86" t="n">
        <f aca="false">+AD122+AD131</f>
        <v>0</v>
      </c>
      <c r="AE141" s="86" t="n">
        <f aca="false">+AE122+AE131</f>
        <v>0</v>
      </c>
      <c r="AF141" s="86" t="n">
        <f aca="false">+AF122+AF131</f>
        <v>0</v>
      </c>
    </row>
    <row r="142" customFormat="false" ht="10.5" hidden="false" customHeight="true" outlineLevel="0" collapsed="false">
      <c r="A142" s="31"/>
      <c r="B142" s="31"/>
      <c r="C142" s="31"/>
      <c r="D142" s="31"/>
      <c r="E142" s="2" t="s">
        <v>179</v>
      </c>
      <c r="K142" s="35"/>
      <c r="L142" s="35"/>
      <c r="M142" s="35"/>
      <c r="N142" s="35"/>
      <c r="O142" s="35"/>
      <c r="P142" s="35"/>
      <c r="Q142" s="35"/>
      <c r="R142" s="35"/>
      <c r="S142" s="36" t="n">
        <v>2.27</v>
      </c>
      <c r="T142" s="35"/>
      <c r="U142" s="35"/>
      <c r="V142" s="35"/>
      <c r="W142" s="35"/>
      <c r="X142" s="35"/>
      <c r="Y142" s="35"/>
      <c r="Z142" s="35"/>
      <c r="AA142" s="35"/>
      <c r="AB142" s="35"/>
      <c r="AC142" s="35"/>
      <c r="AD142" s="35"/>
      <c r="AE142" s="35"/>
      <c r="AF142" s="35"/>
    </row>
    <row r="143" customFormat="false" ht="10.5" hidden="false" customHeight="true" outlineLevel="0" collapsed="false">
      <c r="A143" s="31"/>
      <c r="B143" s="31"/>
      <c r="C143" s="31"/>
      <c r="D143" s="31"/>
      <c r="E143" s="2" t="s">
        <v>179</v>
      </c>
      <c r="K143" s="35"/>
      <c r="L143" s="35"/>
      <c r="M143" s="35"/>
      <c r="N143" s="35"/>
      <c r="O143" s="35"/>
      <c r="P143" s="35"/>
      <c r="Q143" s="35"/>
      <c r="R143" s="35"/>
      <c r="S143" s="35"/>
      <c r="T143" s="35"/>
      <c r="U143" s="35"/>
      <c r="V143" s="35"/>
      <c r="W143" s="35"/>
      <c r="X143" s="35"/>
      <c r="Y143" s="35"/>
      <c r="Z143" s="35"/>
      <c r="AA143" s="35"/>
      <c r="AB143" s="35"/>
      <c r="AC143" s="35"/>
      <c r="AD143" s="35"/>
      <c r="AE143" s="35"/>
      <c r="AF143" s="35"/>
    </row>
    <row r="144" customFormat="false" ht="10.5" hidden="false" customHeight="true" outlineLevel="0" collapsed="false">
      <c r="A144" s="31"/>
      <c r="B144" s="31"/>
      <c r="C144" s="31"/>
      <c r="D144" s="31"/>
      <c r="E144" s="2" t="s">
        <v>179</v>
      </c>
      <c r="K144" s="35"/>
      <c r="L144" s="35"/>
      <c r="M144" s="35"/>
      <c r="N144" s="35"/>
      <c r="O144" s="35"/>
      <c r="P144" s="35"/>
      <c r="Q144" s="35"/>
      <c r="R144" s="35"/>
      <c r="S144" s="35"/>
      <c r="T144" s="35"/>
      <c r="U144" s="35"/>
      <c r="V144" s="35"/>
      <c r="W144" s="35"/>
      <c r="X144" s="35"/>
      <c r="Y144" s="35"/>
      <c r="Z144" s="35"/>
      <c r="AA144" s="35"/>
      <c r="AB144" s="35"/>
      <c r="AC144" s="35"/>
      <c r="AD144" s="35"/>
      <c r="AE144" s="35"/>
      <c r="AF144" s="35"/>
    </row>
    <row r="145" customFormat="false" ht="10.5" hidden="false" customHeight="true" outlineLevel="0" collapsed="false">
      <c r="A145" s="31"/>
      <c r="B145" s="31"/>
      <c r="C145" s="31"/>
      <c r="D145" s="31"/>
      <c r="E145" s="44" t="s">
        <v>123</v>
      </c>
      <c r="F145" s="54"/>
      <c r="G145" s="55"/>
      <c r="H145" s="55"/>
      <c r="I145" s="55"/>
      <c r="J145" s="55"/>
      <c r="K145" s="66" t="n">
        <f aca="false">SUM(K137:K144)</f>
        <v>0</v>
      </c>
      <c r="L145" s="66" t="n">
        <f aca="false">SUM(L137:L144)</f>
        <v>209.581</v>
      </c>
      <c r="M145" s="66" t="n">
        <f aca="false">SUM(M137:M144)</f>
        <v>27.2510580480481</v>
      </c>
      <c r="N145" s="66" t="n">
        <f aca="false">SUM(N137:N144)</f>
        <v>222.470123274063</v>
      </c>
      <c r="O145" s="66" t="n">
        <f aca="false">SUM(O137:O144)</f>
        <v>271.282625</v>
      </c>
      <c r="P145" s="66" t="n">
        <f aca="false">SUM(P137:P144)</f>
        <v>74.93554</v>
      </c>
      <c r="Q145" s="66" t="n">
        <f aca="false">SUM(Q137:Q144)</f>
        <v>44.04206</v>
      </c>
      <c r="R145" s="66" t="n">
        <f aca="false">SUM(R137:R144)</f>
        <v>70.091729</v>
      </c>
      <c r="S145" s="66" t="n">
        <f aca="false">SUM(S137:S144)</f>
        <v>48.509518</v>
      </c>
      <c r="T145" s="66" t="n">
        <f aca="false">SUM(T137:T144)</f>
        <v>21.1472160433909</v>
      </c>
      <c r="U145" s="66" t="n">
        <f aca="false">SUM(U137:U144)</f>
        <v>51.142998</v>
      </c>
      <c r="V145" s="66" t="n">
        <f aca="false">SUM(V137:V144)</f>
        <v>176.223330604535</v>
      </c>
      <c r="W145" s="66" t="n">
        <f aca="false">SUM(W137:W144)</f>
        <v>198.512217</v>
      </c>
      <c r="X145" s="66" t="n">
        <f aca="false">SUM(X137:X144)</f>
        <v>449.599651055617</v>
      </c>
      <c r="Y145" s="66" t="n">
        <f aca="false">SUM(Y137:Y144)</f>
        <v>155.154696</v>
      </c>
      <c r="Z145" s="66" t="n">
        <f aca="false">SUM(Z137:Z144)</f>
        <v>98.8122103111908</v>
      </c>
      <c r="AA145" s="66" t="n">
        <f aca="false">SUM(AA137:AA144)</f>
        <v>112.10142189282</v>
      </c>
      <c r="AB145" s="66" t="n">
        <f aca="false">SUM(AB137:AB144)</f>
        <v>371.534035347258</v>
      </c>
      <c r="AC145" s="66" t="n">
        <f aca="false">SUM(AC137:AC144)</f>
        <v>707.700583280949</v>
      </c>
      <c r="AD145" s="66" t="n">
        <f aca="false">SUM(AD137:AD144)</f>
        <v>284.126549195752</v>
      </c>
      <c r="AE145" s="66" t="n">
        <f aca="false">SUM(AE137:AE144)</f>
        <v>4232.37919728642</v>
      </c>
      <c r="AF145" s="66" t="n">
        <f aca="false">SUM(AF137:AF144)</f>
        <v>126.613524279355</v>
      </c>
    </row>
    <row r="146" customFormat="false" ht="10.5" hidden="false" customHeight="true" outlineLevel="0" collapsed="false">
      <c r="A146" s="31"/>
      <c r="B146" s="31"/>
      <c r="C146" s="31"/>
      <c r="D146" s="31"/>
      <c r="AE146" s="3"/>
      <c r="AF146" s="3"/>
    </row>
    <row r="147" customFormat="false" ht="10.5" hidden="false" customHeight="true" outlineLevel="0" collapsed="false">
      <c r="A147" s="28" t="s">
        <v>28</v>
      </c>
      <c r="B147" s="28" t="s">
        <v>28</v>
      </c>
      <c r="C147" s="28"/>
      <c r="D147" s="28"/>
      <c r="E147" s="29" t="s">
        <v>180</v>
      </c>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row>
    <row r="148" customFormat="false" ht="10.5" hidden="false" customHeight="true" outlineLevel="0" collapsed="false">
      <c r="A148" s="31"/>
      <c r="B148" s="31"/>
      <c r="C148" s="31"/>
      <c r="D148" s="31"/>
      <c r="AE148" s="3"/>
      <c r="AF148" s="3"/>
    </row>
    <row r="149" customFormat="false" ht="10.5" hidden="false" customHeight="true" outlineLevel="0" collapsed="false">
      <c r="A149" s="31"/>
      <c r="B149" s="31"/>
      <c r="C149" s="31"/>
      <c r="D149" s="31"/>
      <c r="E149" s="2" t="s">
        <v>181</v>
      </c>
      <c r="K149" s="3" t="n">
        <f aca="false">+K312</f>
        <v>0</v>
      </c>
      <c r="L149" s="3" t="str">
        <f aca="false">+L312</f>
        <v>USD</v>
      </c>
      <c r="M149" s="3" t="str">
        <f aca="false">+M312</f>
        <v>USD</v>
      </c>
      <c r="N149" s="3" t="str">
        <f aca="false">+N312</f>
        <v>USD</v>
      </c>
      <c r="O149" s="3" t="str">
        <f aca="false">+O312</f>
        <v>USD</v>
      </c>
      <c r="P149" s="3" t="str">
        <f aca="false">+P312</f>
        <v>CHF</v>
      </c>
      <c r="Q149" s="3" t="str">
        <f aca="false">+Q312</f>
        <v>CHF</v>
      </c>
      <c r="R149" s="3" t="str">
        <f aca="false">+R312</f>
        <v>CHF</v>
      </c>
      <c r="S149" s="3" t="str">
        <f aca="false">+S312</f>
        <v>KRW</v>
      </c>
      <c r="T149" s="3" t="str">
        <f aca="false">+T312</f>
        <v>KRW</v>
      </c>
      <c r="U149" s="3" t="str">
        <f aca="false">+U312</f>
        <v>EUR</v>
      </c>
      <c r="V149" s="3" t="str">
        <f aca="false">+V312</f>
        <v>EUR</v>
      </c>
      <c r="W149" s="3" t="str">
        <f aca="false">+W312</f>
        <v>CHF</v>
      </c>
      <c r="X149" s="3" t="str">
        <f aca="false">+X312</f>
        <v>EUR</v>
      </c>
      <c r="Y149" s="3" t="str">
        <f aca="false">+Y312</f>
        <v>GBP</v>
      </c>
      <c r="Z149" s="3" t="str">
        <f aca="false">+Z312</f>
        <v>USD</v>
      </c>
      <c r="AA149" s="3" t="str">
        <f aca="false">+AA312</f>
        <v>USD</v>
      </c>
      <c r="AB149" s="3" t="str">
        <f aca="false">+AB312</f>
        <v>USD</v>
      </c>
      <c r="AC149" s="3" t="str">
        <f aca="false">+AC312</f>
        <v>USD</v>
      </c>
      <c r="AD149" s="3" t="str">
        <f aca="false">+AD312</f>
        <v>USD</v>
      </c>
      <c r="AE149" s="3" t="str">
        <f aca="false">+AE312</f>
        <v>HKD</v>
      </c>
      <c r="AF149" s="3" t="str">
        <f aca="false">+AF312</f>
        <v>GBP</v>
      </c>
    </row>
    <row r="150" customFormat="false" ht="10.5" hidden="false" customHeight="true" outlineLevel="0" collapsed="false">
      <c r="A150" s="31"/>
      <c r="B150" s="31"/>
      <c r="C150" s="31"/>
      <c r="D150" s="31"/>
      <c r="E150" s="2" t="s">
        <v>182</v>
      </c>
      <c r="K150" s="84" t="n">
        <f aca="false">+K38</f>
        <v>0</v>
      </c>
      <c r="L150" s="84" t="n">
        <f aca="false">+L38</f>
        <v>47.57</v>
      </c>
      <c r="M150" s="84" t="n">
        <f aca="false">+M38</f>
        <v>377.33</v>
      </c>
      <c r="N150" s="84" t="n">
        <f aca="false">+N38</f>
        <v>13.61</v>
      </c>
      <c r="O150" s="84" t="n">
        <f aca="false">+O38</f>
        <v>7.17</v>
      </c>
      <c r="P150" s="84" t="n">
        <f aca="false">+P38</f>
        <v>80.8</v>
      </c>
      <c r="Q150" s="84" t="n">
        <f aca="false">+Q38</f>
        <v>72.6</v>
      </c>
      <c r="R150" s="84" t="n">
        <f aca="false">+R38</f>
        <v>548.8</v>
      </c>
      <c r="S150" s="84" t="n">
        <f aca="false">+S38</f>
        <v>1402000</v>
      </c>
      <c r="T150" s="84" t="n">
        <f aca="false">+T38</f>
        <v>91000</v>
      </c>
      <c r="U150" s="84" t="n">
        <f aca="false">+U38</f>
        <v>58.85</v>
      </c>
      <c r="V150" s="84" t="n">
        <f aca="false">+V38</f>
        <v>78.06</v>
      </c>
      <c r="W150" s="84" t="n">
        <f aca="false">+W38</f>
        <v>94.48</v>
      </c>
      <c r="X150" s="84" t="n">
        <f aca="false">+X38</f>
        <v>27.15</v>
      </c>
      <c r="Y150" s="84" t="n">
        <f aca="false">+Y38</f>
        <v>37.7</v>
      </c>
      <c r="Z150" s="84" t="n">
        <f aca="false">+Z38</f>
        <v>423.92</v>
      </c>
      <c r="AA150" s="84" t="n">
        <f aca="false">+AA38</f>
        <v>143.59</v>
      </c>
      <c r="AB150" s="84" t="n">
        <f aca="false">+AB38</f>
        <v>658.76</v>
      </c>
      <c r="AC150" s="84" t="n">
        <f aca="false">+AC38</f>
        <v>215.84</v>
      </c>
      <c r="AD150" s="84" t="n">
        <f aca="false">+AD38</f>
        <v>161.94</v>
      </c>
      <c r="AE150" s="84" t="n">
        <f aca="false">+AE38</f>
        <v>53</v>
      </c>
      <c r="AF150" s="84" t="n">
        <f aca="false">+AF38</f>
        <v>4.65</v>
      </c>
    </row>
    <row r="151" customFormat="false" ht="10.5" hidden="false" customHeight="true" outlineLevel="0" collapsed="false">
      <c r="A151" s="31"/>
      <c r="B151" s="31"/>
      <c r="C151" s="31"/>
      <c r="D151" s="31"/>
      <c r="AE151" s="3"/>
      <c r="AF151" s="3"/>
    </row>
    <row r="152" customFormat="false" ht="10.5" hidden="false" customHeight="true" outlineLevel="0" collapsed="false">
      <c r="A152" s="31"/>
      <c r="B152" s="28" t="s">
        <v>28</v>
      </c>
      <c r="C152" s="28"/>
      <c r="D152" s="28"/>
      <c r="E152" s="2" t="s">
        <v>183</v>
      </c>
      <c r="K152" s="80"/>
      <c r="L152" s="80"/>
      <c r="M152" s="81" t="n">
        <v>0.116005</v>
      </c>
      <c r="N152" s="81" t="n">
        <v>7.7</v>
      </c>
      <c r="O152" s="81" t="n">
        <v>4.529</v>
      </c>
      <c r="P152" s="81" t="n">
        <v>0</v>
      </c>
      <c r="Q152" s="80"/>
      <c r="R152" s="80"/>
      <c r="S152" s="80"/>
      <c r="T152" s="81" t="n">
        <v>0.07371</v>
      </c>
      <c r="U152" s="81" t="n">
        <v>0</v>
      </c>
      <c r="V152" s="81" t="n">
        <v>6.976671</v>
      </c>
      <c r="W152" s="81" t="n">
        <v>0</v>
      </c>
      <c r="X152" s="81" t="n">
        <v>4.384594</v>
      </c>
      <c r="Y152" s="80"/>
      <c r="Z152" s="81" t="n">
        <v>0.606</v>
      </c>
      <c r="AA152" s="81" t="n">
        <v>1.462</v>
      </c>
      <c r="AB152" s="81" t="n">
        <v>4.3</v>
      </c>
      <c r="AC152" s="81" t="n">
        <v>13.6</v>
      </c>
      <c r="AD152" s="81" t="n">
        <v>0.914</v>
      </c>
      <c r="AE152" s="81" t="n">
        <v>26.380858</v>
      </c>
      <c r="AF152" s="81" t="n">
        <v>0.354639</v>
      </c>
    </row>
    <row r="153" customFormat="false" ht="10.5" hidden="false" customHeight="true" outlineLevel="0" collapsed="false">
      <c r="A153" s="31"/>
      <c r="B153" s="31"/>
      <c r="C153" s="31"/>
      <c r="D153" s="31"/>
      <c r="E153" s="2" t="s">
        <v>184</v>
      </c>
      <c r="K153" s="80"/>
      <c r="L153" s="80"/>
      <c r="M153" s="80"/>
      <c r="N153" s="80"/>
      <c r="O153" s="80"/>
      <c r="P153" s="80"/>
      <c r="Q153" s="80"/>
      <c r="R153" s="80"/>
      <c r="S153" s="80"/>
      <c r="T153" s="81" t="n">
        <v>0.0655</v>
      </c>
      <c r="U153" s="80"/>
      <c r="V153" s="80"/>
      <c r="W153" s="80"/>
      <c r="X153" s="80"/>
      <c r="Y153" s="80"/>
      <c r="Z153" s="80"/>
      <c r="AA153" s="80"/>
      <c r="AB153" s="80"/>
      <c r="AC153" s="80"/>
      <c r="AD153" s="80"/>
      <c r="AE153" s="80"/>
      <c r="AF153" s="81" t="n">
        <v>0.280102</v>
      </c>
    </row>
    <row r="154" customFormat="false" ht="10.5" hidden="false" customHeight="true" outlineLevel="0" collapsed="false">
      <c r="A154" s="31"/>
      <c r="B154" s="31"/>
      <c r="C154" s="31"/>
      <c r="D154" s="31"/>
      <c r="E154" s="2" t="s">
        <v>184</v>
      </c>
      <c r="K154" s="80"/>
      <c r="L154" s="80"/>
      <c r="M154" s="80"/>
      <c r="N154" s="80"/>
      <c r="O154" s="80"/>
      <c r="P154" s="80"/>
      <c r="Q154" s="80"/>
      <c r="R154" s="80"/>
      <c r="S154" s="80"/>
      <c r="T154" s="81" t="n">
        <v>0.06</v>
      </c>
      <c r="U154" s="80"/>
      <c r="V154" s="80"/>
      <c r="W154" s="80"/>
      <c r="X154" s="80"/>
      <c r="Y154" s="80"/>
      <c r="Z154" s="80"/>
      <c r="AA154" s="80"/>
      <c r="AB154" s="80"/>
      <c r="AC154" s="80"/>
      <c r="AD154" s="80"/>
      <c r="AE154" s="80"/>
      <c r="AF154" s="81" t="n">
        <v>0.488461</v>
      </c>
    </row>
    <row r="155" customFormat="false" ht="10.5" hidden="false" customHeight="true" outlineLevel="0" collapsed="false">
      <c r="A155" s="31"/>
      <c r="B155" s="31"/>
      <c r="C155" s="31"/>
      <c r="D155" s="31"/>
      <c r="E155" s="2" t="s">
        <v>184</v>
      </c>
      <c r="K155" s="80"/>
      <c r="L155" s="80"/>
      <c r="M155" s="80"/>
      <c r="N155" s="80"/>
      <c r="O155" s="80"/>
      <c r="P155" s="80"/>
      <c r="Q155" s="80"/>
      <c r="R155" s="80"/>
      <c r="S155" s="80"/>
      <c r="T155" s="81" t="n">
        <v>0.006</v>
      </c>
      <c r="U155" s="80"/>
      <c r="V155" s="80"/>
      <c r="W155" s="80"/>
      <c r="X155" s="80"/>
      <c r="Y155" s="80"/>
      <c r="Z155" s="80"/>
      <c r="AA155" s="80"/>
      <c r="AB155" s="80"/>
      <c r="AC155" s="80"/>
      <c r="AD155" s="80"/>
      <c r="AE155" s="80"/>
      <c r="AF155" s="80"/>
    </row>
    <row r="156" customFormat="false" ht="10.5" hidden="false" customHeight="true" outlineLevel="0" collapsed="false">
      <c r="A156" s="31"/>
      <c r="B156" s="31"/>
      <c r="C156" s="31"/>
      <c r="D156" s="31"/>
      <c r="E156" s="2" t="s">
        <v>184</v>
      </c>
      <c r="K156" s="80"/>
      <c r="L156" s="80"/>
      <c r="M156" s="80"/>
      <c r="N156" s="80"/>
      <c r="O156" s="80"/>
      <c r="P156" s="80"/>
      <c r="Q156" s="80"/>
      <c r="R156" s="80"/>
      <c r="S156" s="80"/>
      <c r="T156" s="80"/>
      <c r="U156" s="80"/>
      <c r="V156" s="80"/>
      <c r="W156" s="80"/>
      <c r="X156" s="80"/>
      <c r="Y156" s="80"/>
      <c r="Z156" s="80"/>
      <c r="AA156" s="80"/>
      <c r="AB156" s="80"/>
      <c r="AC156" s="80"/>
      <c r="AD156" s="80"/>
      <c r="AE156" s="80"/>
      <c r="AF156" s="80"/>
    </row>
    <row r="157" customFormat="false" ht="10.5" hidden="false" customHeight="true" outlineLevel="0" collapsed="false">
      <c r="A157" s="31"/>
      <c r="B157" s="31"/>
      <c r="C157" s="31"/>
      <c r="D157" s="31"/>
      <c r="E157" s="2" t="s">
        <v>184</v>
      </c>
      <c r="K157" s="80"/>
      <c r="L157" s="80"/>
      <c r="M157" s="80"/>
      <c r="N157" s="80"/>
      <c r="O157" s="80"/>
      <c r="P157" s="80"/>
      <c r="Q157" s="80"/>
      <c r="R157" s="80"/>
      <c r="S157" s="80"/>
      <c r="T157" s="80"/>
      <c r="U157" s="80"/>
      <c r="V157" s="80"/>
      <c r="W157" s="80"/>
      <c r="X157" s="80"/>
      <c r="Y157" s="80"/>
      <c r="Z157" s="80"/>
      <c r="AA157" s="80"/>
      <c r="AB157" s="80"/>
      <c r="AC157" s="80"/>
      <c r="AD157" s="80"/>
      <c r="AE157" s="80"/>
      <c r="AF157" s="80"/>
    </row>
    <row r="158" customFormat="false" ht="10.5" hidden="false" customHeight="true" outlineLevel="0" collapsed="false">
      <c r="A158" s="31"/>
      <c r="B158" s="31"/>
      <c r="C158" s="31"/>
      <c r="D158" s="31"/>
      <c r="E158" s="2" t="s">
        <v>184</v>
      </c>
      <c r="K158" s="80"/>
      <c r="L158" s="80"/>
      <c r="M158" s="80"/>
      <c r="N158" s="80"/>
      <c r="O158" s="80"/>
      <c r="P158" s="80"/>
      <c r="Q158" s="80"/>
      <c r="R158" s="80"/>
      <c r="S158" s="80"/>
      <c r="T158" s="80"/>
      <c r="U158" s="80"/>
      <c r="V158" s="80"/>
      <c r="W158" s="80"/>
      <c r="X158" s="80"/>
      <c r="Y158" s="80"/>
      <c r="Z158" s="80"/>
      <c r="AA158" s="80"/>
      <c r="AB158" s="80"/>
      <c r="AC158" s="80"/>
      <c r="AD158" s="80"/>
      <c r="AE158" s="80"/>
      <c r="AF158" s="80"/>
    </row>
    <row r="159" customFormat="false" ht="10.5" hidden="false" customHeight="true" outlineLevel="0" collapsed="false">
      <c r="A159" s="31"/>
      <c r="B159" s="31"/>
      <c r="C159" s="31"/>
      <c r="D159" s="31"/>
      <c r="E159" s="2" t="s">
        <v>185</v>
      </c>
      <c r="K159" s="80"/>
      <c r="L159" s="81" t="n">
        <v>3.086</v>
      </c>
      <c r="M159" s="81" t="n">
        <v>0.497874</v>
      </c>
      <c r="N159" s="81" t="n">
        <v>1.5</v>
      </c>
      <c r="O159" s="81" t="n">
        <v>11.609</v>
      </c>
      <c r="P159" s="80"/>
      <c r="Q159" s="80"/>
      <c r="R159" s="81" t="n">
        <v>0.119739</v>
      </c>
      <c r="S159" s="80"/>
      <c r="T159" s="80"/>
      <c r="U159" s="80"/>
      <c r="V159" s="81" t="n">
        <v>0.272375</v>
      </c>
      <c r="W159" s="81" t="n">
        <v>0.226783</v>
      </c>
      <c r="X159" s="80"/>
      <c r="Y159" s="81" t="n">
        <v>1.75214</v>
      </c>
      <c r="Z159" s="81" t="n">
        <v>0.27</v>
      </c>
      <c r="AA159" s="81" t="n">
        <v>0.329</v>
      </c>
      <c r="AB159" s="81" t="n">
        <v>0.8</v>
      </c>
      <c r="AC159" s="81" t="n">
        <v>2.3</v>
      </c>
      <c r="AD159" s="81" t="n">
        <v>2.04</v>
      </c>
      <c r="AE159" s="81" t="n">
        <v>101.089284</v>
      </c>
      <c r="AF159" s="81" t="n">
        <v>0.36913</v>
      </c>
    </row>
    <row r="160" customFormat="false" ht="10.5" hidden="false" customHeight="true" outlineLevel="0" collapsed="false">
      <c r="A160" s="31"/>
      <c r="B160" s="31"/>
      <c r="C160" s="31"/>
      <c r="D160" s="31"/>
      <c r="E160" s="2" t="s">
        <v>186</v>
      </c>
      <c r="K160" s="80"/>
      <c r="L160" s="80"/>
      <c r="M160" s="80"/>
      <c r="N160" s="81" t="n">
        <v>0.9</v>
      </c>
      <c r="O160" s="80"/>
      <c r="P160" s="80"/>
      <c r="Q160" s="81" t="n">
        <v>0.23362</v>
      </c>
      <c r="R160" s="81" t="n">
        <v>0.127761</v>
      </c>
      <c r="S160" s="80"/>
      <c r="T160" s="80"/>
      <c r="U160" s="80"/>
      <c r="V160" s="80"/>
      <c r="W160" s="81" t="n">
        <v>0.685737</v>
      </c>
      <c r="X160" s="81" t="n">
        <v>5.041114</v>
      </c>
      <c r="Y160" s="80"/>
      <c r="Z160" s="81" t="n">
        <v>0.122</v>
      </c>
      <c r="AA160" s="80"/>
      <c r="AB160" s="80"/>
      <c r="AC160" s="80"/>
      <c r="AD160" s="80"/>
      <c r="AE160" s="80"/>
      <c r="AF160" s="81" t="n">
        <v>5.111415</v>
      </c>
    </row>
    <row r="161" customFormat="false" ht="10.5" hidden="false" customHeight="true" outlineLevel="0" collapsed="false">
      <c r="A161" s="31"/>
      <c r="B161" s="31"/>
      <c r="C161" s="31"/>
      <c r="D161" s="31"/>
      <c r="E161" s="2" t="s">
        <v>187</v>
      </c>
      <c r="K161" s="80"/>
      <c r="L161" s="80"/>
      <c r="M161" s="80"/>
      <c r="N161" s="80"/>
      <c r="O161" s="80"/>
      <c r="P161" s="80"/>
      <c r="Q161" s="80"/>
      <c r="R161" s="80"/>
      <c r="S161" s="80"/>
      <c r="T161" s="80"/>
      <c r="U161" s="80"/>
      <c r="V161" s="81" t="n">
        <v>0.90357</v>
      </c>
      <c r="W161" s="80"/>
      <c r="X161" s="80"/>
      <c r="Y161" s="80"/>
      <c r="Z161" s="80"/>
      <c r="AA161" s="80"/>
      <c r="AB161" s="80"/>
      <c r="AC161" s="80"/>
      <c r="AD161" s="80"/>
      <c r="AE161" s="80"/>
      <c r="AF161" s="80"/>
    </row>
    <row r="162" customFormat="false" ht="10.5" hidden="false" customHeight="true" outlineLevel="0" collapsed="false">
      <c r="A162" s="31"/>
      <c r="B162" s="31"/>
      <c r="C162" s="31"/>
      <c r="D162" s="31"/>
      <c r="E162" s="44" t="s">
        <v>188</v>
      </c>
      <c r="F162" s="54"/>
      <c r="G162" s="55"/>
      <c r="H162" s="55"/>
      <c r="I162" s="55"/>
      <c r="J162" s="55"/>
      <c r="K162" s="87" t="n">
        <f aca="false">SUM(K152:K161)</f>
        <v>0</v>
      </c>
      <c r="L162" s="87" t="n">
        <f aca="false">SUM(L152:L161)</f>
        <v>3.086</v>
      </c>
      <c r="M162" s="87" t="n">
        <f aca="false">SUM(M152:M161)</f>
        <v>0.613879</v>
      </c>
      <c r="N162" s="87" t="n">
        <f aca="false">SUM(N152:N161)</f>
        <v>10.1</v>
      </c>
      <c r="O162" s="87" t="n">
        <f aca="false">SUM(O152:O161)</f>
        <v>16.138</v>
      </c>
      <c r="P162" s="87" t="n">
        <f aca="false">SUM(P152:P161)</f>
        <v>0</v>
      </c>
      <c r="Q162" s="87" t="n">
        <f aca="false">SUM(Q152:Q161)</f>
        <v>0.23362</v>
      </c>
      <c r="R162" s="87" t="n">
        <f aca="false">SUM(R152:R161)</f>
        <v>0.2475</v>
      </c>
      <c r="S162" s="87" t="n">
        <f aca="false">SUM(S152:S161)</f>
        <v>0</v>
      </c>
      <c r="T162" s="87" t="n">
        <f aca="false">SUM(T152:T161)</f>
        <v>0.20521</v>
      </c>
      <c r="U162" s="87" t="n">
        <f aca="false">SUM(U152:U161)</f>
        <v>0</v>
      </c>
      <c r="V162" s="87" t="n">
        <f aca="false">SUM(V152:V161)</f>
        <v>8.152616</v>
      </c>
      <c r="W162" s="87" t="n">
        <f aca="false">SUM(W152:W161)</f>
        <v>0.91252</v>
      </c>
      <c r="X162" s="87" t="n">
        <f aca="false">SUM(X152:X161)</f>
        <v>9.425708</v>
      </c>
      <c r="Y162" s="87" t="n">
        <f aca="false">SUM(Y152:Y161)</f>
        <v>1.75214</v>
      </c>
      <c r="Z162" s="87" t="n">
        <f aca="false">SUM(Z152:Z161)</f>
        <v>0.998</v>
      </c>
      <c r="AA162" s="87" t="n">
        <f aca="false">SUM(AA152:AA161)</f>
        <v>1.791</v>
      </c>
      <c r="AB162" s="87" t="n">
        <f aca="false">SUM(AB152:AB161)</f>
        <v>5.1</v>
      </c>
      <c r="AC162" s="87" t="n">
        <f aca="false">SUM(AC152:AC161)</f>
        <v>15.9</v>
      </c>
      <c r="AD162" s="87" t="n">
        <f aca="false">SUM(AD152:AD161)</f>
        <v>2.954</v>
      </c>
      <c r="AE162" s="87" t="n">
        <f aca="false">SUM(AE152:AE161)</f>
        <v>127.470142</v>
      </c>
      <c r="AF162" s="87" t="n">
        <f aca="false">SUM(AF152:AF161)</f>
        <v>6.603747</v>
      </c>
    </row>
    <row r="163" customFormat="false" ht="10.5" hidden="false" customHeight="true" outlineLevel="0" collapsed="false">
      <c r="A163" s="31"/>
      <c r="B163" s="31"/>
      <c r="C163" s="31"/>
      <c r="D163" s="31"/>
      <c r="AE163" s="3"/>
      <c r="AF163" s="3"/>
    </row>
    <row r="164" customFormat="false" ht="10.5" hidden="false" customHeight="true" outlineLevel="0" collapsed="false">
      <c r="A164" s="31"/>
      <c r="B164" s="28" t="s">
        <v>28</v>
      </c>
      <c r="C164" s="28"/>
      <c r="D164" s="28"/>
      <c r="E164" s="2" t="s">
        <v>189</v>
      </c>
      <c r="K164" s="80"/>
      <c r="L164" s="80"/>
      <c r="M164" s="81" t="n">
        <v>328.51</v>
      </c>
      <c r="N164" s="81" t="n">
        <v>10.05</v>
      </c>
      <c r="O164" s="81" t="n">
        <v>12.91</v>
      </c>
      <c r="P164" s="80"/>
      <c r="Q164" s="80"/>
      <c r="R164" s="80"/>
      <c r="S164" s="80"/>
      <c r="T164" s="81" t="n">
        <v>98785</v>
      </c>
      <c r="U164" s="80"/>
      <c r="V164" s="81" t="n">
        <v>55</v>
      </c>
      <c r="W164" s="80"/>
      <c r="X164" s="81" t="n">
        <v>24.26</v>
      </c>
      <c r="Y164" s="80"/>
      <c r="Z164" s="81" t="n">
        <v>303.53</v>
      </c>
      <c r="AA164" s="81" t="n">
        <v>125.32</v>
      </c>
      <c r="AB164" s="81" t="n">
        <v>507.59</v>
      </c>
      <c r="AC164" s="81" t="n">
        <v>177.52</v>
      </c>
      <c r="AD164" s="81" t="n">
        <v>134</v>
      </c>
      <c r="AE164" s="81" t="n">
        <f aca="false">0.343030625838629/FX!F10</f>
        <v>2.69122296249758</v>
      </c>
      <c r="AF164" s="81" t="n">
        <v>3.159</v>
      </c>
    </row>
    <row r="165" customFormat="false" ht="10.5" hidden="false" customHeight="true" outlineLevel="0" collapsed="false">
      <c r="A165" s="31"/>
      <c r="B165" s="31"/>
      <c r="C165" s="31"/>
      <c r="D165" s="31"/>
      <c r="E165" s="2" t="s">
        <v>190</v>
      </c>
      <c r="K165" s="80"/>
      <c r="L165" s="80"/>
      <c r="M165" s="80"/>
      <c r="N165" s="80"/>
      <c r="O165" s="80"/>
      <c r="P165" s="80"/>
      <c r="Q165" s="80"/>
      <c r="R165" s="80"/>
      <c r="S165" s="80"/>
      <c r="T165" s="81" t="n">
        <v>108188</v>
      </c>
      <c r="U165" s="80"/>
      <c r="V165" s="80"/>
      <c r="W165" s="80"/>
      <c r="X165" s="80"/>
      <c r="Y165" s="80"/>
      <c r="Z165" s="80"/>
      <c r="AA165" s="80"/>
      <c r="AB165" s="80"/>
      <c r="AC165" s="80"/>
      <c r="AD165" s="80"/>
      <c r="AE165" s="80"/>
      <c r="AF165" s="81" t="n">
        <v>5.078</v>
      </c>
    </row>
    <row r="166" customFormat="false" ht="10.5" hidden="false" customHeight="true" outlineLevel="0" collapsed="false">
      <c r="A166" s="31"/>
      <c r="B166" s="31"/>
      <c r="C166" s="31"/>
      <c r="D166" s="31"/>
      <c r="E166" s="2" t="s">
        <v>190</v>
      </c>
      <c r="K166" s="80"/>
      <c r="L166" s="80"/>
      <c r="M166" s="80"/>
      <c r="N166" s="80"/>
      <c r="O166" s="80"/>
      <c r="P166" s="80"/>
      <c r="Q166" s="80"/>
      <c r="R166" s="80"/>
      <c r="S166" s="80"/>
      <c r="T166" s="81" t="n">
        <v>100000</v>
      </c>
      <c r="U166" s="80"/>
      <c r="V166" s="80"/>
      <c r="W166" s="80"/>
      <c r="X166" s="80"/>
      <c r="Y166" s="80"/>
      <c r="Z166" s="80"/>
      <c r="AA166" s="80"/>
      <c r="AB166" s="80"/>
      <c r="AC166" s="80"/>
      <c r="AD166" s="80"/>
      <c r="AE166" s="80"/>
      <c r="AF166" s="81" t="n">
        <v>7.607</v>
      </c>
    </row>
    <row r="167" customFormat="false" ht="10.5" hidden="false" customHeight="true" outlineLevel="0" collapsed="false">
      <c r="A167" s="31"/>
      <c r="B167" s="31"/>
      <c r="C167" s="31"/>
      <c r="D167" s="31"/>
      <c r="E167" s="2" t="s">
        <v>190</v>
      </c>
      <c r="K167" s="80"/>
      <c r="L167" s="80"/>
      <c r="M167" s="80"/>
      <c r="N167" s="80"/>
      <c r="O167" s="80"/>
      <c r="P167" s="80"/>
      <c r="Q167" s="80"/>
      <c r="R167" s="80"/>
      <c r="S167" s="80"/>
      <c r="T167" s="81" t="n">
        <v>155000</v>
      </c>
      <c r="U167" s="80"/>
      <c r="V167" s="80"/>
      <c r="W167" s="80"/>
      <c r="X167" s="80"/>
      <c r="Y167" s="80"/>
      <c r="Z167" s="80"/>
      <c r="AA167" s="80"/>
      <c r="AB167" s="80"/>
      <c r="AC167" s="80"/>
      <c r="AD167" s="80"/>
      <c r="AE167" s="80"/>
      <c r="AF167" s="80"/>
    </row>
    <row r="168" customFormat="false" ht="10.5" hidden="false" customHeight="true" outlineLevel="0" collapsed="false">
      <c r="A168" s="31"/>
      <c r="B168" s="31"/>
      <c r="C168" s="31"/>
      <c r="D168" s="31"/>
      <c r="E168" s="2" t="s">
        <v>190</v>
      </c>
      <c r="K168" s="80"/>
      <c r="L168" s="80"/>
      <c r="M168" s="80"/>
      <c r="N168" s="80"/>
      <c r="O168" s="80"/>
      <c r="P168" s="80"/>
      <c r="Q168" s="80"/>
      <c r="R168" s="80"/>
      <c r="S168" s="80"/>
      <c r="T168" s="80"/>
      <c r="U168" s="80"/>
      <c r="V168" s="80"/>
      <c r="W168" s="80"/>
      <c r="X168" s="80"/>
      <c r="Y168" s="80"/>
      <c r="Z168" s="80"/>
      <c r="AA168" s="80"/>
      <c r="AB168" s="80"/>
      <c r="AC168" s="80"/>
      <c r="AD168" s="80"/>
      <c r="AE168" s="80"/>
      <c r="AF168" s="80"/>
    </row>
    <row r="169" customFormat="false" ht="10.5" hidden="false" customHeight="true" outlineLevel="0" collapsed="false">
      <c r="A169" s="31"/>
      <c r="B169" s="31"/>
      <c r="C169" s="31"/>
      <c r="D169" s="31"/>
      <c r="E169" s="2" t="s">
        <v>190</v>
      </c>
      <c r="K169" s="80"/>
      <c r="L169" s="80"/>
      <c r="M169" s="80"/>
      <c r="N169" s="80"/>
      <c r="O169" s="80"/>
      <c r="P169" s="80"/>
      <c r="Q169" s="80"/>
      <c r="R169" s="80"/>
      <c r="S169" s="80"/>
      <c r="T169" s="80"/>
      <c r="U169" s="80"/>
      <c r="V169" s="80"/>
      <c r="W169" s="80"/>
      <c r="X169" s="80"/>
      <c r="Y169" s="80"/>
      <c r="Z169" s="80"/>
      <c r="AA169" s="80"/>
      <c r="AB169" s="80"/>
      <c r="AC169" s="80"/>
      <c r="AD169" s="80"/>
      <c r="AE169" s="80"/>
      <c r="AF169" s="80"/>
    </row>
    <row r="170" customFormat="false" ht="10.5" hidden="false" customHeight="true" outlineLevel="0" collapsed="false">
      <c r="A170" s="31"/>
      <c r="B170" s="31"/>
      <c r="C170" s="31"/>
      <c r="D170" s="31"/>
      <c r="E170" s="2" t="s">
        <v>190</v>
      </c>
      <c r="K170" s="80"/>
      <c r="L170" s="80"/>
      <c r="M170" s="80"/>
      <c r="N170" s="80"/>
      <c r="O170" s="80"/>
      <c r="P170" s="80"/>
      <c r="Q170" s="80"/>
      <c r="R170" s="80"/>
      <c r="S170" s="80"/>
      <c r="T170" s="80"/>
      <c r="U170" s="80"/>
      <c r="V170" s="80"/>
      <c r="W170" s="80"/>
      <c r="X170" s="80"/>
      <c r="Y170" s="80"/>
      <c r="Z170" s="80"/>
      <c r="AA170" s="80"/>
      <c r="AB170" s="80"/>
      <c r="AC170" s="80"/>
      <c r="AD170" s="80"/>
      <c r="AE170" s="80"/>
      <c r="AF170" s="80"/>
    </row>
    <row r="171" customFormat="false" ht="10.5" hidden="false" customHeight="true" outlineLevel="0" collapsed="false">
      <c r="A171" s="31"/>
      <c r="B171" s="31"/>
      <c r="C171" s="31"/>
      <c r="D171" s="31"/>
      <c r="E171" s="2" t="s">
        <v>191</v>
      </c>
      <c r="K171" s="80" t="n">
        <v>0</v>
      </c>
      <c r="L171" s="80" t="n">
        <v>0</v>
      </c>
      <c r="M171" s="80" t="n">
        <v>0</v>
      </c>
      <c r="N171" s="80" t="n">
        <v>0</v>
      </c>
      <c r="O171" s="80" t="n">
        <v>0</v>
      </c>
      <c r="P171" s="80" t="n">
        <v>0</v>
      </c>
      <c r="Q171" s="80" t="n">
        <v>0</v>
      </c>
      <c r="R171" s="80" t="n">
        <v>0</v>
      </c>
      <c r="S171" s="80" t="n">
        <v>0</v>
      </c>
      <c r="T171" s="80" t="n">
        <v>0</v>
      </c>
      <c r="U171" s="80" t="n">
        <v>0</v>
      </c>
      <c r="V171" s="80" t="n">
        <v>0</v>
      </c>
      <c r="W171" s="80" t="n">
        <v>0</v>
      </c>
      <c r="X171" s="80" t="n">
        <v>0</v>
      </c>
      <c r="Y171" s="80" t="n">
        <v>0</v>
      </c>
      <c r="Z171" s="80" t="n">
        <v>0</v>
      </c>
      <c r="AA171" s="80" t="n">
        <v>0</v>
      </c>
      <c r="AB171" s="80" t="n">
        <v>0</v>
      </c>
      <c r="AC171" s="80" t="n">
        <v>0</v>
      </c>
      <c r="AD171" s="80" t="n">
        <v>0</v>
      </c>
      <c r="AE171" s="80" t="n">
        <v>0</v>
      </c>
      <c r="AF171" s="80" t="n">
        <v>0</v>
      </c>
    </row>
    <row r="172" customFormat="false" ht="10.5" hidden="false" customHeight="true" outlineLevel="0" collapsed="false">
      <c r="A172" s="31"/>
      <c r="B172" s="31"/>
      <c r="C172" s="31"/>
      <c r="D172" s="31"/>
      <c r="E172" s="2" t="s">
        <v>192</v>
      </c>
      <c r="K172" s="80" t="n">
        <v>0</v>
      </c>
      <c r="L172" s="80" t="n">
        <v>0</v>
      </c>
      <c r="M172" s="80" t="n">
        <v>0</v>
      </c>
      <c r="N172" s="80" t="n">
        <v>0</v>
      </c>
      <c r="O172" s="80" t="n">
        <v>0</v>
      </c>
      <c r="P172" s="80" t="n">
        <v>0</v>
      </c>
      <c r="Q172" s="80" t="n">
        <v>0</v>
      </c>
      <c r="R172" s="80" t="n">
        <v>0</v>
      </c>
      <c r="S172" s="80" t="n">
        <v>0</v>
      </c>
      <c r="T172" s="80" t="n">
        <v>0</v>
      </c>
      <c r="U172" s="80" t="n">
        <v>0</v>
      </c>
      <c r="V172" s="80" t="n">
        <v>0</v>
      </c>
      <c r="W172" s="80" t="n">
        <v>0</v>
      </c>
      <c r="X172" s="80" t="n">
        <v>0</v>
      </c>
      <c r="Y172" s="80" t="n">
        <v>0</v>
      </c>
      <c r="Z172" s="80" t="n">
        <v>0</v>
      </c>
      <c r="AA172" s="80" t="n">
        <v>0</v>
      </c>
      <c r="AB172" s="80" t="n">
        <v>0</v>
      </c>
      <c r="AC172" s="80" t="n">
        <v>0</v>
      </c>
      <c r="AD172" s="80" t="n">
        <v>0</v>
      </c>
      <c r="AE172" s="80" t="n">
        <v>0</v>
      </c>
      <c r="AF172" s="80" t="n">
        <v>0</v>
      </c>
    </row>
    <row r="173" customFormat="false" ht="10.5" hidden="false" customHeight="true" outlineLevel="0" collapsed="false">
      <c r="A173" s="31"/>
      <c r="B173" s="31"/>
      <c r="C173" s="31"/>
      <c r="D173" s="31"/>
      <c r="E173" s="2" t="s">
        <v>193</v>
      </c>
      <c r="K173" s="80"/>
      <c r="L173" s="80"/>
      <c r="M173" s="80"/>
      <c r="N173" s="80"/>
      <c r="O173" s="80"/>
      <c r="P173" s="80"/>
      <c r="Q173" s="80"/>
      <c r="R173" s="80"/>
      <c r="S173" s="80"/>
      <c r="T173" s="80"/>
      <c r="U173" s="80"/>
      <c r="V173" s="81" t="n">
        <v>52.965</v>
      </c>
      <c r="W173" s="80"/>
      <c r="X173" s="80"/>
      <c r="Y173" s="80"/>
      <c r="Z173" s="80"/>
      <c r="AA173" s="80"/>
      <c r="AB173" s="80"/>
      <c r="AC173" s="80"/>
      <c r="AD173" s="80"/>
      <c r="AE173" s="80"/>
      <c r="AF173" s="80"/>
    </row>
    <row r="174" customFormat="false" ht="10.5" hidden="false" customHeight="true" outlineLevel="0" collapsed="false">
      <c r="A174" s="31"/>
      <c r="B174" s="31"/>
      <c r="C174" s="31"/>
      <c r="D174" s="31"/>
      <c r="AE174" s="3"/>
      <c r="AF174" s="3"/>
    </row>
    <row r="175" customFormat="false" ht="10.5" hidden="false" customHeight="true" outlineLevel="0" collapsed="false">
      <c r="A175" s="31"/>
      <c r="B175" s="31"/>
      <c r="C175" s="31"/>
      <c r="D175" s="31"/>
      <c r="E175" s="2" t="s">
        <v>194</v>
      </c>
      <c r="K175" s="88" t="n">
        <f aca="false">IFERROR(MAX(0,(K$150-K164)/K$150*K152),0)</f>
        <v>0</v>
      </c>
      <c r="L175" s="88" t="n">
        <f aca="false">MAX(0,(L$150-L164)/L$150*L152)</f>
        <v>0</v>
      </c>
      <c r="M175" s="88" t="n">
        <f aca="false">MAX(0,(M$150-M164)/M$150*M152)</f>
        <v>0.0150090480481276</v>
      </c>
      <c r="N175" s="88" t="n">
        <f aca="false">MAX(0,(N$150-N164)/N$150*N152)</f>
        <v>2.01410727406319</v>
      </c>
      <c r="O175" s="88" t="n">
        <f aca="false">MAX(0,(O$150-O164)/O$150*O152)</f>
        <v>0</v>
      </c>
      <c r="P175" s="88" t="n">
        <f aca="false">MAX(0,(P$150-P164)/P$150*P152)</f>
        <v>0</v>
      </c>
      <c r="Q175" s="88" t="n">
        <f aca="false">MAX(0,(Q$150-Q164)/Q$150*Q152)</f>
        <v>0</v>
      </c>
      <c r="R175" s="88" t="n">
        <f aca="false">MAX(0,(R$150-R164)/R$150*R152)</f>
        <v>0</v>
      </c>
      <c r="S175" s="88" t="n">
        <f aca="false">MAX(0,(S$150-S164)/S$150*S152)</f>
        <v>0</v>
      </c>
      <c r="T175" s="88" t="n">
        <f aca="false">MAX(0,(T$150-T164)/T$150*T152)</f>
        <v>0</v>
      </c>
      <c r="U175" s="88" t="n">
        <f aca="false">MAX(0,(U$150-U164)/U$150*U152)</f>
        <v>0</v>
      </c>
      <c r="V175" s="88" t="n">
        <f aca="false">MAX(0,(V$150-V164)/V$150*V152)</f>
        <v>2.06100478170638</v>
      </c>
      <c r="W175" s="88" t="n">
        <f aca="false">MAX(0,(W$150-W164)/W$150*W152)</f>
        <v>0</v>
      </c>
      <c r="X175" s="88" t="n">
        <f aca="false">MAX(0,(X$150-X164)/X$150*X152)</f>
        <v>0.466721055616942</v>
      </c>
      <c r="Y175" s="88" t="n">
        <f aca="false">MAX(0,(Y$150-Y164)/Y$150*Y152)</f>
        <v>0</v>
      </c>
      <c r="Z175" s="88" t="n">
        <f aca="false">MAX(0,(Z$150-Z164)/Z$150*Z152)</f>
        <v>0.172099311190791</v>
      </c>
      <c r="AA175" s="88" t="n">
        <f aca="false">MAX(0,(AA$150-AA164)/AA$150*AA152)</f>
        <v>0.186020892819834</v>
      </c>
      <c r="AB175" s="88" t="n">
        <f aca="false">MAX(0,(AB$150-AB164)/AB$150*AB152)</f>
        <v>0.986749347258486</v>
      </c>
      <c r="AC175" s="88" t="n">
        <f aca="false">MAX(0,(AC$150-AC164)/AC$150*AC152)</f>
        <v>2.41452928094885</v>
      </c>
      <c r="AD175" s="88" t="n">
        <f aca="false">MAX(0,(AD$150-AD164)/AD$150*AD152)</f>
        <v>0.157695195751513</v>
      </c>
      <c r="AE175" s="88" t="n">
        <f aca="false">MAX(0,(AE$150-AE164)/AE$150*AE152)</f>
        <v>25.0412962864153</v>
      </c>
      <c r="AF175" s="88" t="n">
        <f aca="false">MAX(0,(AF$150-AF164)/AF$150*AF152)</f>
        <v>0.113713279354839</v>
      </c>
    </row>
    <row r="176" customFormat="false" ht="10.5" hidden="false" customHeight="true" outlineLevel="0" collapsed="false">
      <c r="A176" s="31"/>
      <c r="B176" s="31"/>
      <c r="C176" s="31"/>
      <c r="D176" s="31"/>
      <c r="E176" s="2" t="s">
        <v>195</v>
      </c>
      <c r="K176" s="88" t="n">
        <f aca="false">IFERROR(MAX(0,(K$150-K165)/K$150*K153),0)</f>
        <v>0</v>
      </c>
      <c r="L176" s="88" t="n">
        <f aca="false">MAX(0,(L$150-L165)/L$150*L153)</f>
        <v>0</v>
      </c>
      <c r="M176" s="88" t="n">
        <f aca="false">MAX(0,(M$150-M165)/M$150*M153)</f>
        <v>0</v>
      </c>
      <c r="N176" s="88" t="n">
        <f aca="false">MAX(0,(N$150-N165)/N$150*N153)</f>
        <v>0</v>
      </c>
      <c r="O176" s="88" t="n">
        <f aca="false">MAX(0,(O$150-O165)/O$150*O153)</f>
        <v>0</v>
      </c>
      <c r="P176" s="88" t="n">
        <f aca="false">MAX(0,(P$150-P165)/P$150*P153)</f>
        <v>0</v>
      </c>
      <c r="Q176" s="88" t="n">
        <f aca="false">MAX(0,(Q$150-Q165)/Q$150*Q153)</f>
        <v>0</v>
      </c>
      <c r="R176" s="88" t="n">
        <f aca="false">MAX(0,(R$150-R165)/R$150*R153)</f>
        <v>0</v>
      </c>
      <c r="S176" s="88" t="n">
        <f aca="false">MAX(0,(S$150-S165)/S$150*S153)</f>
        <v>0</v>
      </c>
      <c r="T176" s="88" t="n">
        <f aca="false">MAX(0,(T$150-T165)/T$150*T153)</f>
        <v>0</v>
      </c>
      <c r="U176" s="88" t="n">
        <f aca="false">MAX(0,(U$150-U165)/U$150*U153)</f>
        <v>0</v>
      </c>
      <c r="V176" s="88" t="n">
        <f aca="false">MAX(0,(V$150-V165)/V$150*V153)</f>
        <v>0</v>
      </c>
      <c r="W176" s="88" t="n">
        <f aca="false">MAX(0,(W$150-W165)/W$150*W153)</f>
        <v>0</v>
      </c>
      <c r="X176" s="88" t="n">
        <f aca="false">MAX(0,(X$150-X165)/X$150*X153)</f>
        <v>0</v>
      </c>
      <c r="Y176" s="88" t="n">
        <f aca="false">MAX(0,(Y$150-Y165)/Y$150*Y153)</f>
        <v>0</v>
      </c>
      <c r="Z176" s="88" t="n">
        <f aca="false">MAX(0,(Z$150-Z165)/Z$150*Z153)</f>
        <v>0</v>
      </c>
      <c r="AA176" s="88" t="n">
        <f aca="false">MAX(0,(AA$150-AA165)/AA$150*AA153)</f>
        <v>0</v>
      </c>
      <c r="AB176" s="88" t="n">
        <f aca="false">MAX(0,(AB$150-AB165)/AB$150*AB153)</f>
        <v>0</v>
      </c>
      <c r="AC176" s="88" t="n">
        <f aca="false">MAX(0,(AC$150-AC165)/AC$150*AC153)</f>
        <v>0</v>
      </c>
      <c r="AD176" s="88" t="n">
        <f aca="false">MAX(0,(AD$150-AD165)/AD$150*AD153)</f>
        <v>0</v>
      </c>
      <c r="AE176" s="88" t="n">
        <f aca="false">MAX(0,(AE$150-AE165)/AE$150*AE153)</f>
        <v>0</v>
      </c>
      <c r="AF176" s="88" t="n">
        <f aca="false">MAX(0,(AF$150-AF165)/AF$150*AF153)</f>
        <v>0</v>
      </c>
    </row>
    <row r="177" customFormat="false" ht="10.5" hidden="false" customHeight="true" outlineLevel="0" collapsed="false">
      <c r="A177" s="31"/>
      <c r="B177" s="31"/>
      <c r="C177" s="31"/>
      <c r="D177" s="31"/>
      <c r="E177" s="2" t="s">
        <v>195</v>
      </c>
      <c r="K177" s="88" t="n">
        <f aca="false">IFERROR(MAX(0,(K$150-K166)/K$150*K154),0)</f>
        <v>0</v>
      </c>
      <c r="L177" s="88" t="n">
        <f aca="false">MAX(0,(L$150-L166)/L$150*L154)</f>
        <v>0</v>
      </c>
      <c r="M177" s="88" t="n">
        <f aca="false">MAX(0,(M$150-M166)/M$150*M154)</f>
        <v>0</v>
      </c>
      <c r="N177" s="88" t="n">
        <f aca="false">MAX(0,(N$150-N166)/N$150*N154)</f>
        <v>0</v>
      </c>
      <c r="O177" s="88" t="n">
        <f aca="false">MAX(0,(O$150-O166)/O$150*O154)</f>
        <v>0</v>
      </c>
      <c r="P177" s="88" t="n">
        <f aca="false">MAX(0,(P$150-P166)/P$150*P154)</f>
        <v>0</v>
      </c>
      <c r="Q177" s="88" t="n">
        <f aca="false">MAX(0,(Q$150-Q166)/Q$150*Q154)</f>
        <v>0</v>
      </c>
      <c r="R177" s="88" t="n">
        <f aca="false">MAX(0,(R$150-R166)/R$150*R154)</f>
        <v>0</v>
      </c>
      <c r="S177" s="88" t="n">
        <f aca="false">MAX(0,(S$150-S166)/S$150*S154)</f>
        <v>0</v>
      </c>
      <c r="T177" s="88" t="n">
        <f aca="false">MAX(0,(T$150-T166)/T$150*T154)</f>
        <v>0</v>
      </c>
      <c r="U177" s="88" t="n">
        <f aca="false">MAX(0,(U$150-U166)/U$150*U154)</f>
        <v>0</v>
      </c>
      <c r="V177" s="88" t="n">
        <f aca="false">MAX(0,(V$150-V166)/V$150*V154)</f>
        <v>0</v>
      </c>
      <c r="W177" s="88" t="n">
        <f aca="false">MAX(0,(W$150-W166)/W$150*W154)</f>
        <v>0</v>
      </c>
      <c r="X177" s="88" t="n">
        <f aca="false">MAX(0,(X$150-X166)/X$150*X154)</f>
        <v>0</v>
      </c>
      <c r="Y177" s="88" t="n">
        <f aca="false">MAX(0,(Y$150-Y166)/Y$150*Y154)</f>
        <v>0</v>
      </c>
      <c r="Z177" s="88" t="n">
        <f aca="false">MAX(0,(Z$150-Z166)/Z$150*Z154)</f>
        <v>0</v>
      </c>
      <c r="AA177" s="88" t="n">
        <f aca="false">MAX(0,(AA$150-AA166)/AA$150*AA154)</f>
        <v>0</v>
      </c>
      <c r="AB177" s="88" t="n">
        <f aca="false">MAX(0,(AB$150-AB166)/AB$150*AB154)</f>
        <v>0</v>
      </c>
      <c r="AC177" s="88" t="n">
        <f aca="false">MAX(0,(AC$150-AC166)/AC$150*AC154)</f>
        <v>0</v>
      </c>
      <c r="AD177" s="88" t="n">
        <f aca="false">MAX(0,(AD$150-AD166)/AD$150*AD154)</f>
        <v>0</v>
      </c>
      <c r="AE177" s="88" t="n">
        <f aca="false">MAX(0,(AE$150-AE166)/AE$150*AE154)</f>
        <v>0</v>
      </c>
      <c r="AF177" s="88" t="n">
        <f aca="false">MAX(0,(AF$150-AF166)/AF$150*AF154)</f>
        <v>0</v>
      </c>
    </row>
    <row r="178" customFormat="false" ht="10.5" hidden="false" customHeight="true" outlineLevel="0" collapsed="false">
      <c r="A178" s="31"/>
      <c r="B178" s="31"/>
      <c r="C178" s="31"/>
      <c r="D178" s="31"/>
      <c r="E178" s="2" t="s">
        <v>195</v>
      </c>
      <c r="K178" s="88" t="n">
        <f aca="false">IFERROR(MAX(0,(K$150-K167)/K$150*K155),0)</f>
        <v>0</v>
      </c>
      <c r="L178" s="88" t="n">
        <f aca="false">MAX(0,(L$150-L167)/L$150*L155)</f>
        <v>0</v>
      </c>
      <c r="M178" s="88" t="n">
        <f aca="false">MAX(0,(M$150-M167)/M$150*M155)</f>
        <v>0</v>
      </c>
      <c r="N178" s="88" t="n">
        <f aca="false">MAX(0,(N$150-N167)/N$150*N155)</f>
        <v>0</v>
      </c>
      <c r="O178" s="88" t="n">
        <f aca="false">MAX(0,(O$150-O167)/O$150*O155)</f>
        <v>0</v>
      </c>
      <c r="P178" s="88" t="n">
        <f aca="false">MAX(0,(P$150-P167)/P$150*P155)</f>
        <v>0</v>
      </c>
      <c r="Q178" s="88" t="n">
        <f aca="false">MAX(0,(Q$150-Q167)/Q$150*Q155)</f>
        <v>0</v>
      </c>
      <c r="R178" s="88" t="n">
        <f aca="false">MAX(0,(R$150-R167)/R$150*R155)</f>
        <v>0</v>
      </c>
      <c r="S178" s="88" t="n">
        <f aca="false">MAX(0,(S$150-S167)/S$150*S155)</f>
        <v>0</v>
      </c>
      <c r="T178" s="88" t="n">
        <f aca="false">MAX(0,(T$150-T167)/T$150*T155)</f>
        <v>0</v>
      </c>
      <c r="U178" s="88" t="n">
        <f aca="false">MAX(0,(U$150-U167)/U$150*U155)</f>
        <v>0</v>
      </c>
      <c r="V178" s="88" t="n">
        <f aca="false">MAX(0,(V$150-V167)/V$150*V155)</f>
        <v>0</v>
      </c>
      <c r="W178" s="88" t="n">
        <f aca="false">MAX(0,(W$150-W167)/W$150*W155)</f>
        <v>0</v>
      </c>
      <c r="X178" s="88" t="n">
        <f aca="false">MAX(0,(X$150-X167)/X$150*X155)</f>
        <v>0</v>
      </c>
      <c r="Y178" s="88" t="n">
        <f aca="false">MAX(0,(Y$150-Y167)/Y$150*Y155)</f>
        <v>0</v>
      </c>
      <c r="Z178" s="88" t="n">
        <f aca="false">MAX(0,(Z$150-Z167)/Z$150*Z155)</f>
        <v>0</v>
      </c>
      <c r="AA178" s="88" t="n">
        <f aca="false">MAX(0,(AA$150-AA167)/AA$150*AA155)</f>
        <v>0</v>
      </c>
      <c r="AB178" s="88" t="n">
        <f aca="false">MAX(0,(AB$150-AB167)/AB$150*AB155)</f>
        <v>0</v>
      </c>
      <c r="AC178" s="88" t="n">
        <f aca="false">MAX(0,(AC$150-AC167)/AC$150*AC155)</f>
        <v>0</v>
      </c>
      <c r="AD178" s="88" t="n">
        <f aca="false">MAX(0,(AD$150-AD167)/AD$150*AD155)</f>
        <v>0</v>
      </c>
      <c r="AE178" s="88" t="n">
        <f aca="false">MAX(0,(AE$150-AE167)/AE$150*AE155)</f>
        <v>0</v>
      </c>
      <c r="AF178" s="88" t="n">
        <f aca="false">MAX(0,(AF$150-AF167)/AF$150*AF155)</f>
        <v>0</v>
      </c>
    </row>
    <row r="179" customFormat="false" ht="10.5" hidden="false" customHeight="true" outlineLevel="0" collapsed="false">
      <c r="A179" s="31"/>
      <c r="B179" s="31"/>
      <c r="C179" s="31"/>
      <c r="D179" s="31"/>
      <c r="E179" s="2" t="s">
        <v>195</v>
      </c>
      <c r="K179" s="88" t="n">
        <f aca="false">IFERROR(MAX(0,(K$150-K168)/K$150*K156),0)</f>
        <v>0</v>
      </c>
      <c r="L179" s="88" t="n">
        <f aca="false">MAX(0,(L$150-L168)/L$150*L156)</f>
        <v>0</v>
      </c>
      <c r="M179" s="88" t="n">
        <f aca="false">MAX(0,(M$150-M168)/M$150*M156)</f>
        <v>0</v>
      </c>
      <c r="N179" s="88" t="n">
        <f aca="false">MAX(0,(N$150-N168)/N$150*N156)</f>
        <v>0</v>
      </c>
      <c r="O179" s="88" t="n">
        <f aca="false">MAX(0,(O$150-O168)/O$150*O156)</f>
        <v>0</v>
      </c>
      <c r="P179" s="88" t="n">
        <f aca="false">MAX(0,(P$150-P168)/P$150*P156)</f>
        <v>0</v>
      </c>
      <c r="Q179" s="88" t="n">
        <f aca="false">MAX(0,(Q$150-Q168)/Q$150*Q156)</f>
        <v>0</v>
      </c>
      <c r="R179" s="88" t="n">
        <f aca="false">MAX(0,(R$150-R168)/R$150*R156)</f>
        <v>0</v>
      </c>
      <c r="S179" s="88" t="n">
        <f aca="false">MAX(0,(S$150-S168)/S$150*S156)</f>
        <v>0</v>
      </c>
      <c r="T179" s="88" t="n">
        <f aca="false">MAX(0,(T$150-T168)/T$150*T156)</f>
        <v>0</v>
      </c>
      <c r="U179" s="88" t="n">
        <f aca="false">MAX(0,(U$150-U168)/U$150*U156)</f>
        <v>0</v>
      </c>
      <c r="V179" s="88" t="n">
        <f aca="false">MAX(0,(V$150-V168)/V$150*V156)</f>
        <v>0</v>
      </c>
      <c r="W179" s="88" t="n">
        <f aca="false">MAX(0,(W$150-W168)/W$150*W156)</f>
        <v>0</v>
      </c>
      <c r="X179" s="88" t="n">
        <f aca="false">MAX(0,(X$150-X168)/X$150*X156)</f>
        <v>0</v>
      </c>
      <c r="Y179" s="88" t="n">
        <f aca="false">MAX(0,(Y$150-Y168)/Y$150*Y156)</f>
        <v>0</v>
      </c>
      <c r="Z179" s="88" t="n">
        <f aca="false">MAX(0,(Z$150-Z168)/Z$150*Z156)</f>
        <v>0</v>
      </c>
      <c r="AA179" s="88" t="n">
        <f aca="false">MAX(0,(AA$150-AA168)/AA$150*AA156)</f>
        <v>0</v>
      </c>
      <c r="AB179" s="88" t="n">
        <f aca="false">MAX(0,(AB$150-AB168)/AB$150*AB156)</f>
        <v>0</v>
      </c>
      <c r="AC179" s="88" t="n">
        <f aca="false">MAX(0,(AC$150-AC168)/AC$150*AC156)</f>
        <v>0</v>
      </c>
      <c r="AD179" s="88" t="n">
        <f aca="false">MAX(0,(AD$150-AD168)/AD$150*AD156)</f>
        <v>0</v>
      </c>
      <c r="AE179" s="88" t="n">
        <f aca="false">MAX(0,(AE$150-AE168)/AE$150*AE156)</f>
        <v>0</v>
      </c>
      <c r="AF179" s="88" t="n">
        <f aca="false">MAX(0,(AF$150-AF168)/AF$150*AF156)</f>
        <v>0</v>
      </c>
    </row>
    <row r="180" customFormat="false" ht="10.5" hidden="false" customHeight="true" outlineLevel="0" collapsed="false">
      <c r="A180" s="31"/>
      <c r="B180" s="31"/>
      <c r="C180" s="31"/>
      <c r="D180" s="31"/>
      <c r="E180" s="2" t="s">
        <v>195</v>
      </c>
      <c r="K180" s="88" t="n">
        <f aca="false">IFERROR(MAX(0,(K$150-K169)/K$150*K157),0)</f>
        <v>0</v>
      </c>
      <c r="L180" s="88" t="n">
        <f aca="false">MAX(0,(L$150-L169)/L$150*L157)</f>
        <v>0</v>
      </c>
      <c r="M180" s="88" t="n">
        <f aca="false">MAX(0,(M$150-M169)/M$150*M157)</f>
        <v>0</v>
      </c>
      <c r="N180" s="88" t="n">
        <f aca="false">MAX(0,(N$150-N169)/N$150*N157)</f>
        <v>0</v>
      </c>
      <c r="O180" s="88" t="n">
        <f aca="false">MAX(0,(O$150-O169)/O$150*O157)</f>
        <v>0</v>
      </c>
      <c r="P180" s="88" t="n">
        <f aca="false">MAX(0,(P$150-P169)/P$150*P157)</f>
        <v>0</v>
      </c>
      <c r="Q180" s="88" t="n">
        <f aca="false">MAX(0,(Q$150-Q169)/Q$150*Q157)</f>
        <v>0</v>
      </c>
      <c r="R180" s="88" t="n">
        <f aca="false">MAX(0,(R$150-R169)/R$150*R157)</f>
        <v>0</v>
      </c>
      <c r="S180" s="88" t="n">
        <f aca="false">MAX(0,(S$150-S169)/S$150*S157)</f>
        <v>0</v>
      </c>
      <c r="T180" s="88" t="n">
        <f aca="false">MAX(0,(T$150-T169)/T$150*T157)</f>
        <v>0</v>
      </c>
      <c r="U180" s="88" t="n">
        <f aca="false">MAX(0,(U$150-U169)/U$150*U157)</f>
        <v>0</v>
      </c>
      <c r="V180" s="88" t="n">
        <f aca="false">MAX(0,(V$150-V169)/V$150*V157)</f>
        <v>0</v>
      </c>
      <c r="W180" s="88" t="n">
        <f aca="false">MAX(0,(W$150-W169)/W$150*W157)</f>
        <v>0</v>
      </c>
      <c r="X180" s="88" t="n">
        <f aca="false">MAX(0,(X$150-X169)/X$150*X157)</f>
        <v>0</v>
      </c>
      <c r="Y180" s="88" t="n">
        <f aca="false">MAX(0,(Y$150-Y169)/Y$150*Y157)</f>
        <v>0</v>
      </c>
      <c r="Z180" s="88" t="n">
        <f aca="false">MAX(0,(Z$150-Z169)/Z$150*Z157)</f>
        <v>0</v>
      </c>
      <c r="AA180" s="88" t="n">
        <f aca="false">MAX(0,(AA$150-AA169)/AA$150*AA157)</f>
        <v>0</v>
      </c>
      <c r="AB180" s="88" t="n">
        <f aca="false">MAX(0,(AB$150-AB169)/AB$150*AB157)</f>
        <v>0</v>
      </c>
      <c r="AC180" s="88" t="n">
        <f aca="false">MAX(0,(AC$150-AC169)/AC$150*AC157)</f>
        <v>0</v>
      </c>
      <c r="AD180" s="88" t="n">
        <f aca="false">MAX(0,(AD$150-AD169)/AD$150*AD157)</f>
        <v>0</v>
      </c>
      <c r="AE180" s="88" t="n">
        <f aca="false">MAX(0,(AE$150-AE169)/AE$150*AE157)</f>
        <v>0</v>
      </c>
      <c r="AF180" s="88" t="n">
        <f aca="false">MAX(0,(AF$150-AF169)/AF$150*AF157)</f>
        <v>0</v>
      </c>
    </row>
    <row r="181" customFormat="false" ht="10.5" hidden="false" customHeight="true" outlineLevel="0" collapsed="false">
      <c r="A181" s="31"/>
      <c r="B181" s="31"/>
      <c r="C181" s="31"/>
      <c r="D181" s="31"/>
      <c r="E181" s="2" t="s">
        <v>195</v>
      </c>
      <c r="K181" s="88" t="n">
        <f aca="false">IFERROR(MAX(0,(K$150-K170)/K$150*K158),0)</f>
        <v>0</v>
      </c>
      <c r="L181" s="88" t="n">
        <f aca="false">MAX(0,(L$150-L170)/L$150*L158)</f>
        <v>0</v>
      </c>
      <c r="M181" s="88" t="n">
        <f aca="false">MAX(0,(M$150-M170)/M$150*M158)</f>
        <v>0</v>
      </c>
      <c r="N181" s="88" t="n">
        <f aca="false">MAX(0,(N$150-N170)/N$150*N158)</f>
        <v>0</v>
      </c>
      <c r="O181" s="88" t="n">
        <f aca="false">MAX(0,(O$150-O170)/O$150*O158)</f>
        <v>0</v>
      </c>
      <c r="P181" s="88" t="n">
        <f aca="false">MAX(0,(P$150-P170)/P$150*P158)</f>
        <v>0</v>
      </c>
      <c r="Q181" s="88" t="n">
        <f aca="false">MAX(0,(Q$150-Q170)/Q$150*Q158)</f>
        <v>0</v>
      </c>
      <c r="R181" s="88" t="n">
        <f aca="false">MAX(0,(R$150-R170)/R$150*R158)</f>
        <v>0</v>
      </c>
      <c r="S181" s="88" t="n">
        <f aca="false">MAX(0,(S$150-S170)/S$150*S158)</f>
        <v>0</v>
      </c>
      <c r="T181" s="88" t="n">
        <f aca="false">MAX(0,(T$150-T170)/T$150*T158)</f>
        <v>0</v>
      </c>
      <c r="U181" s="88" t="n">
        <f aca="false">MAX(0,(U$150-U170)/U$150*U158)</f>
        <v>0</v>
      </c>
      <c r="V181" s="88" t="n">
        <f aca="false">MAX(0,(V$150-V170)/V$150*V158)</f>
        <v>0</v>
      </c>
      <c r="W181" s="88" t="n">
        <f aca="false">MAX(0,(W$150-W170)/W$150*W158)</f>
        <v>0</v>
      </c>
      <c r="X181" s="88" t="n">
        <f aca="false">MAX(0,(X$150-X170)/X$150*X158)</f>
        <v>0</v>
      </c>
      <c r="Y181" s="88" t="n">
        <f aca="false">MAX(0,(Y$150-Y170)/Y$150*Y158)</f>
        <v>0</v>
      </c>
      <c r="Z181" s="88" t="n">
        <f aca="false">MAX(0,(Z$150-Z170)/Z$150*Z158)</f>
        <v>0</v>
      </c>
      <c r="AA181" s="88" t="n">
        <f aca="false">MAX(0,(AA$150-AA170)/AA$150*AA158)</f>
        <v>0</v>
      </c>
      <c r="AB181" s="88" t="n">
        <f aca="false">MAX(0,(AB$150-AB170)/AB$150*AB158)</f>
        <v>0</v>
      </c>
      <c r="AC181" s="88" t="n">
        <f aca="false">MAX(0,(AC$150-AC170)/AC$150*AC158)</f>
        <v>0</v>
      </c>
      <c r="AD181" s="88" t="n">
        <f aca="false">MAX(0,(AD$150-AD170)/AD$150*AD158)</f>
        <v>0</v>
      </c>
      <c r="AE181" s="88" t="n">
        <f aca="false">MAX(0,(AE$150-AE170)/AE$150*AE158)</f>
        <v>0</v>
      </c>
      <c r="AF181" s="88" t="n">
        <f aca="false">MAX(0,(AF$150-AF170)/AF$150*AF158)</f>
        <v>0</v>
      </c>
    </row>
    <row r="182" customFormat="false" ht="10.5" hidden="false" customHeight="true" outlineLevel="0" collapsed="false">
      <c r="A182" s="31"/>
      <c r="B182" s="31"/>
      <c r="C182" s="31"/>
      <c r="D182" s="31"/>
      <c r="E182" s="2" t="s">
        <v>196</v>
      </c>
      <c r="K182" s="88" t="n">
        <f aca="false">IFERROR(MAX(0,(K$150-K171)/K$150*K159),0)</f>
        <v>0</v>
      </c>
      <c r="L182" s="88" t="n">
        <f aca="false">MAX(0,(L$150-L171)/L$150*L159)</f>
        <v>3.086</v>
      </c>
      <c r="M182" s="88" t="n">
        <f aca="false">MAX(0,(M$150-M171)/M$150*M159)</f>
        <v>0.497874</v>
      </c>
      <c r="N182" s="88" t="n">
        <f aca="false">MAX(0,(N$150-N171)/N$150*N159)</f>
        <v>1.5</v>
      </c>
      <c r="O182" s="88" t="n">
        <f aca="false">MAX(0,(O$150-O171)/O$150*O159)</f>
        <v>11.609</v>
      </c>
      <c r="P182" s="88" t="n">
        <f aca="false">MAX(0,(P$150-P171)/P$150*P159)</f>
        <v>0</v>
      </c>
      <c r="Q182" s="88" t="n">
        <f aca="false">MAX(0,(Q$150-Q171)/Q$150*Q159)</f>
        <v>0</v>
      </c>
      <c r="R182" s="88" t="n">
        <f aca="false">MAX(0,(R$150-R171)/R$150*R159)</f>
        <v>0.119739</v>
      </c>
      <c r="S182" s="88" t="n">
        <f aca="false">MAX(0,(S$150-S171)/S$150*S159)</f>
        <v>0</v>
      </c>
      <c r="T182" s="88" t="n">
        <f aca="false">MAX(0,(T$150-T171)/T$150*T159)</f>
        <v>0</v>
      </c>
      <c r="U182" s="88" t="n">
        <f aca="false">MAX(0,(U$150-U171)/U$150*U159)</f>
        <v>0</v>
      </c>
      <c r="V182" s="88" t="n">
        <f aca="false">MAX(0,(V$150-V171)/V$150*V159)</f>
        <v>0.272375</v>
      </c>
      <c r="W182" s="88" t="n">
        <f aca="false">MAX(0,(W$150-W171)/W$150*W159)</f>
        <v>0.226783</v>
      </c>
      <c r="X182" s="88" t="n">
        <f aca="false">MAX(0,(X$150-X171)/X$150*X159)</f>
        <v>0</v>
      </c>
      <c r="Y182" s="88" t="n">
        <f aca="false">MAX(0,(Y$150-Y171)/Y$150*Y159)</f>
        <v>1.75214</v>
      </c>
      <c r="Z182" s="88" t="n">
        <f aca="false">MAX(0,(Z$150-Z171)/Z$150*Z159)</f>
        <v>0.27</v>
      </c>
      <c r="AA182" s="88" t="n">
        <f aca="false">MAX(0,(AA$150-AA171)/AA$150*AA159)</f>
        <v>0.329</v>
      </c>
      <c r="AB182" s="88" t="n">
        <f aca="false">MAX(0,(AB$150-AB171)/AB$150*AB159)</f>
        <v>0.8</v>
      </c>
      <c r="AC182" s="88" t="n">
        <f aca="false">MAX(0,(AC$150-AC171)/AC$150*AC159)</f>
        <v>2.3</v>
      </c>
      <c r="AD182" s="88" t="n">
        <f aca="false">MAX(0,(AD$150-AD171)/AD$150*AD159)</f>
        <v>2.04</v>
      </c>
      <c r="AE182" s="88" t="n">
        <f aca="false">MAX(0,(AE$150-AE171)/AE$150*AE159)</f>
        <v>101.089284</v>
      </c>
      <c r="AF182" s="88" t="n">
        <f aca="false">MAX(0,(AF$150-AF171)/AF$150*AF159)</f>
        <v>0.36913</v>
      </c>
    </row>
    <row r="183" customFormat="false" ht="10.5" hidden="false" customHeight="true" outlineLevel="0" collapsed="false">
      <c r="A183" s="31"/>
      <c r="B183" s="31"/>
      <c r="C183" s="31"/>
      <c r="D183" s="31"/>
      <c r="E183" s="2" t="s">
        <v>197</v>
      </c>
      <c r="K183" s="88" t="n">
        <f aca="false">IFERROR(MAX(0,(K$150-K172)/K$150*K160),0)</f>
        <v>0</v>
      </c>
      <c r="L183" s="88" t="n">
        <f aca="false">MAX(0,(L$150-L172)/L$150*L160)</f>
        <v>0</v>
      </c>
      <c r="M183" s="88" t="n">
        <f aca="false">MAX(0,(M$150-M172)/M$150*M160)</f>
        <v>0</v>
      </c>
      <c r="N183" s="88" t="n">
        <f aca="false">MAX(0,(N$150-N172)/N$150*N160)</f>
        <v>0.9</v>
      </c>
      <c r="O183" s="88" t="n">
        <f aca="false">MAX(0,(O$150-O172)/O$150*O160)</f>
        <v>0</v>
      </c>
      <c r="P183" s="88" t="n">
        <f aca="false">MAX(0,(P$150-P172)/P$150*P160)</f>
        <v>0</v>
      </c>
      <c r="Q183" s="88" t="n">
        <f aca="false">MAX(0,(Q$150-Q172)/Q$150*Q160)</f>
        <v>0.23362</v>
      </c>
      <c r="R183" s="88" t="n">
        <f aca="false">MAX(0,(R$150-R172)/R$150*R160)</f>
        <v>0.127761</v>
      </c>
      <c r="S183" s="88" t="n">
        <f aca="false">MAX(0,(S$150-S172)/S$150*S160)</f>
        <v>0</v>
      </c>
      <c r="T183" s="88" t="n">
        <f aca="false">MAX(0,(T$150-T172)/T$150*T160)</f>
        <v>0</v>
      </c>
      <c r="U183" s="88" t="n">
        <f aca="false">MAX(0,(U$150-U172)/U$150*U160)</f>
        <v>0</v>
      </c>
      <c r="V183" s="88" t="n">
        <f aca="false">MAX(0,(V$150-V172)/V$150*V160)</f>
        <v>0</v>
      </c>
      <c r="W183" s="88" t="n">
        <f aca="false">MAX(0,(W$150-W172)/W$150*W160)</f>
        <v>0.685737</v>
      </c>
      <c r="X183" s="88" t="n">
        <f aca="false">MAX(0,(X$150-X172)/X$150*X160)</f>
        <v>5.041114</v>
      </c>
      <c r="Y183" s="88" t="n">
        <f aca="false">MAX(0,(Y$150-Y172)/Y$150*Y160)</f>
        <v>0</v>
      </c>
      <c r="Z183" s="88" t="n">
        <f aca="false">MAX(0,(Z$150-Z172)/Z$150*Z160)</f>
        <v>0.122</v>
      </c>
      <c r="AA183" s="88" t="n">
        <f aca="false">MAX(0,(AA$150-AA172)/AA$150*AA160)</f>
        <v>0</v>
      </c>
      <c r="AB183" s="88" t="n">
        <f aca="false">MAX(0,(AB$150-AB172)/AB$150*AB160)</f>
        <v>0</v>
      </c>
      <c r="AC183" s="88" t="n">
        <f aca="false">MAX(0,(AC$150-AC172)/AC$150*AC160)</f>
        <v>0</v>
      </c>
      <c r="AD183" s="88" t="n">
        <f aca="false">MAX(0,(AD$150-AD172)/AD$150*AD160)</f>
        <v>0</v>
      </c>
      <c r="AE183" s="88" t="n">
        <f aca="false">MAX(0,(AE$150-AE172)/AE$150*AE160)</f>
        <v>0</v>
      </c>
      <c r="AF183" s="88" t="n">
        <f aca="false">MAX(0,(AF$150-AF172)/AF$150*AF160)</f>
        <v>5.111415</v>
      </c>
    </row>
    <row r="184" customFormat="false" ht="10.5" hidden="false" customHeight="true" outlineLevel="0" collapsed="false">
      <c r="A184" s="31"/>
      <c r="B184" s="31"/>
      <c r="C184" s="31"/>
      <c r="D184" s="31"/>
      <c r="E184" s="2" t="s">
        <v>198</v>
      </c>
      <c r="K184" s="88" t="n">
        <f aca="false">IFERROR(MAX(0,(K$150-K173)/K$150*K161),0)</f>
        <v>0</v>
      </c>
      <c r="L184" s="88" t="n">
        <f aca="false">MAX(0,(L$150-L173)/L$150*L161)</f>
        <v>0</v>
      </c>
      <c r="M184" s="88" t="n">
        <f aca="false">MAX(0,(M$150-M173)/M$150*M161)</f>
        <v>0</v>
      </c>
      <c r="N184" s="88" t="n">
        <f aca="false">MAX(0,(N$150-N173)/N$150*N161)</f>
        <v>0</v>
      </c>
      <c r="O184" s="88" t="n">
        <f aca="false">MAX(0,(O$150-O173)/O$150*O161)</f>
        <v>0</v>
      </c>
      <c r="P184" s="88" t="n">
        <f aca="false">MAX(0,(P$150-P173)/P$150*P161)</f>
        <v>0</v>
      </c>
      <c r="Q184" s="88" t="n">
        <f aca="false">MAX(0,(Q$150-Q173)/Q$150*Q161)</f>
        <v>0</v>
      </c>
      <c r="R184" s="88" t="n">
        <f aca="false">MAX(0,(R$150-R173)/R$150*R161)</f>
        <v>0</v>
      </c>
      <c r="S184" s="88" t="n">
        <f aca="false">MAX(0,(S$150-S173)/S$150*S161)</f>
        <v>0</v>
      </c>
      <c r="T184" s="88" t="n">
        <f aca="false">MAX(0,(T$150-T173)/T$150*T161)</f>
        <v>0</v>
      </c>
      <c r="U184" s="88" t="n">
        <f aca="false">MAX(0,(U$150-U173)/U$150*U161)</f>
        <v>0</v>
      </c>
      <c r="V184" s="88" t="n">
        <f aca="false">MAX(0,(V$150-V173)/V$150*V161)</f>
        <v>0.290482822828593</v>
      </c>
      <c r="W184" s="88" t="n">
        <f aca="false">MAX(0,(W$150-W173)/W$150*W161)</f>
        <v>0</v>
      </c>
      <c r="X184" s="88" t="n">
        <f aca="false">MAX(0,(X$150-X173)/X$150*X161)</f>
        <v>0</v>
      </c>
      <c r="Y184" s="88" t="n">
        <f aca="false">MAX(0,(Y$150-Y173)/Y$150*Y161)</f>
        <v>0</v>
      </c>
      <c r="Z184" s="88" t="n">
        <f aca="false">MAX(0,(Z$150-Z173)/Z$150*Z161)</f>
        <v>0</v>
      </c>
      <c r="AA184" s="88" t="n">
        <f aca="false">MAX(0,(AA$150-AA173)/AA$150*AA161)</f>
        <v>0</v>
      </c>
      <c r="AB184" s="88" t="n">
        <f aca="false">MAX(0,(AB$150-AB173)/AB$150*AB161)</f>
        <v>0</v>
      </c>
      <c r="AC184" s="88" t="n">
        <f aca="false">MAX(0,(AC$150-AC173)/AC$150*AC161)</f>
        <v>0</v>
      </c>
      <c r="AD184" s="88" t="n">
        <f aca="false">MAX(0,(AD$150-AD173)/AD$150*AD161)</f>
        <v>0</v>
      </c>
      <c r="AE184" s="88" t="n">
        <f aca="false">MAX(0,(AE$150-AE173)/AE$150*AE161)</f>
        <v>0</v>
      </c>
      <c r="AF184" s="88" t="n">
        <f aca="false">MAX(0,(AF$150-AF173)/AF$150*AF161)</f>
        <v>0</v>
      </c>
    </row>
    <row r="185" customFormat="false" ht="10.5" hidden="false" customHeight="true" outlineLevel="0" collapsed="false">
      <c r="A185" s="31"/>
      <c r="B185" s="31"/>
      <c r="C185" s="31"/>
      <c r="D185" s="31"/>
      <c r="E185" s="44" t="s">
        <v>199</v>
      </c>
      <c r="F185" s="54"/>
      <c r="G185" s="55"/>
      <c r="H185" s="55"/>
      <c r="I185" s="55"/>
      <c r="J185" s="55"/>
      <c r="K185" s="87" t="n">
        <f aca="false">SUM(K175:K184)</f>
        <v>0</v>
      </c>
      <c r="L185" s="87" t="n">
        <f aca="false">SUM(L175:L184)</f>
        <v>3.086</v>
      </c>
      <c r="M185" s="87" t="n">
        <f aca="false">SUM(M175:M184)</f>
        <v>0.512883048048128</v>
      </c>
      <c r="N185" s="87" t="n">
        <f aca="false">SUM(N175:N184)</f>
        <v>4.41410727406319</v>
      </c>
      <c r="O185" s="87" t="n">
        <f aca="false">SUM(O175:O184)</f>
        <v>11.609</v>
      </c>
      <c r="P185" s="87" t="n">
        <f aca="false">SUM(P175:P184)</f>
        <v>0</v>
      </c>
      <c r="Q185" s="87" t="n">
        <f aca="false">SUM(Q175:Q184)</f>
        <v>0.23362</v>
      </c>
      <c r="R185" s="87" t="n">
        <f aca="false">SUM(R175:R184)</f>
        <v>0.2475</v>
      </c>
      <c r="S185" s="87" t="n">
        <f aca="false">SUM(S175:S184)</f>
        <v>0</v>
      </c>
      <c r="T185" s="87" t="n">
        <f aca="false">SUM(T175:T184)</f>
        <v>0</v>
      </c>
      <c r="U185" s="87" t="n">
        <f aca="false">SUM(U175:U184)</f>
        <v>0</v>
      </c>
      <c r="V185" s="87" t="n">
        <f aca="false">SUM(V175:V184)</f>
        <v>2.62386260453497</v>
      </c>
      <c r="W185" s="87" t="n">
        <f aca="false">SUM(W175:W184)</f>
        <v>0.91252</v>
      </c>
      <c r="X185" s="87" t="n">
        <f aca="false">SUM(X175:X184)</f>
        <v>5.50783505561694</v>
      </c>
      <c r="Y185" s="87" t="n">
        <f aca="false">SUM(Y175:Y184)</f>
        <v>1.75214</v>
      </c>
      <c r="Z185" s="87" t="n">
        <f aca="false">SUM(Z175:Z184)</f>
        <v>0.564099311190791</v>
      </c>
      <c r="AA185" s="87" t="n">
        <f aca="false">SUM(AA175:AA184)</f>
        <v>0.515020892819834</v>
      </c>
      <c r="AB185" s="87" t="n">
        <f aca="false">SUM(AB175:AB184)</f>
        <v>1.78674934725849</v>
      </c>
      <c r="AC185" s="87" t="n">
        <f aca="false">SUM(AC175:AC184)</f>
        <v>4.71452928094885</v>
      </c>
      <c r="AD185" s="87" t="n">
        <f aca="false">SUM(AD175:AD184)</f>
        <v>2.19769519575151</v>
      </c>
      <c r="AE185" s="87" t="n">
        <f aca="false">SUM(AE175:AE184)</f>
        <v>126.130580286415</v>
      </c>
      <c r="AF185" s="87" t="n">
        <f aca="false">SUM(AF175:AF184)</f>
        <v>5.59425827935484</v>
      </c>
    </row>
    <row r="186" customFormat="false" ht="10.5" hidden="false" customHeight="true" outlineLevel="0" collapsed="false">
      <c r="A186" s="31"/>
      <c r="B186" s="31"/>
      <c r="C186" s="31"/>
      <c r="D186" s="31"/>
      <c r="AE186" s="3"/>
      <c r="AF186" s="3"/>
    </row>
    <row r="187" customFormat="false" ht="10.5" hidden="false" customHeight="true" outlineLevel="0" collapsed="false">
      <c r="A187" s="28" t="s">
        <v>28</v>
      </c>
      <c r="B187" s="28" t="s">
        <v>28</v>
      </c>
      <c r="C187" s="28"/>
      <c r="D187" s="28"/>
      <c r="E187" s="29" t="s">
        <v>200</v>
      </c>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row>
    <row r="188" customFormat="false" ht="10.5" hidden="false" customHeight="true" outlineLevel="0" collapsed="false">
      <c r="A188" s="62"/>
      <c r="B188" s="62"/>
      <c r="C188" s="62"/>
      <c r="D188" s="62"/>
      <c r="AE188" s="3"/>
      <c r="AF188" s="3"/>
    </row>
    <row r="189" customFormat="false" ht="10.5" hidden="false" customHeight="true" outlineLevel="0" collapsed="false">
      <c r="A189" s="31"/>
      <c r="B189" s="31"/>
      <c r="C189" s="89"/>
      <c r="D189" s="89"/>
      <c r="E189" s="2" t="s">
        <v>201</v>
      </c>
      <c r="K189" s="90" t="n">
        <v>12</v>
      </c>
      <c r="L189" s="91" t="n">
        <v>12</v>
      </c>
      <c r="M189" s="91" t="n">
        <v>12</v>
      </c>
      <c r="N189" s="91" t="n">
        <v>5</v>
      </c>
      <c r="O189" s="91" t="n">
        <v>12</v>
      </c>
      <c r="P189" s="91" t="n">
        <v>12</v>
      </c>
      <c r="Q189" s="91" t="n">
        <v>12</v>
      </c>
      <c r="R189" s="91" t="n">
        <v>12</v>
      </c>
      <c r="S189" s="91" t="n">
        <v>12</v>
      </c>
      <c r="T189" s="91" t="n">
        <v>12</v>
      </c>
      <c r="U189" s="91" t="n">
        <v>12</v>
      </c>
      <c r="V189" s="91" t="n">
        <v>12</v>
      </c>
      <c r="W189" s="91" t="n">
        <v>12</v>
      </c>
      <c r="X189" s="91" t="n">
        <v>12</v>
      </c>
      <c r="Y189" s="91" t="n">
        <v>12</v>
      </c>
      <c r="Z189" s="91" t="n">
        <v>12</v>
      </c>
      <c r="AA189" s="91" t="n">
        <v>12</v>
      </c>
      <c r="AB189" s="91" t="n">
        <v>12</v>
      </c>
      <c r="AC189" s="91" t="n">
        <v>12</v>
      </c>
      <c r="AD189" s="91" t="n">
        <v>10</v>
      </c>
      <c r="AE189" s="91" t="n">
        <v>12</v>
      </c>
      <c r="AF189" s="91" t="n">
        <v>12</v>
      </c>
    </row>
    <row r="190" customFormat="false" ht="10.5" hidden="false" customHeight="true" outlineLevel="0" collapsed="false">
      <c r="A190" s="31"/>
      <c r="B190" s="31"/>
      <c r="C190" s="89"/>
      <c r="D190" s="89"/>
      <c r="E190" s="2" t="s">
        <v>202</v>
      </c>
      <c r="K190" s="92" t="n">
        <v>12</v>
      </c>
      <c r="L190" s="92" t="n">
        <v>12</v>
      </c>
      <c r="M190" s="92" t="n">
        <v>12</v>
      </c>
      <c r="N190" s="92" t="n">
        <v>12</v>
      </c>
      <c r="O190" s="92" t="n">
        <v>12</v>
      </c>
      <c r="P190" s="92" t="n">
        <v>12</v>
      </c>
      <c r="Q190" s="92" t="n">
        <v>12</v>
      </c>
      <c r="R190" s="92" t="n">
        <v>12</v>
      </c>
      <c r="S190" s="92" t="n">
        <v>12</v>
      </c>
      <c r="T190" s="92" t="n">
        <v>12</v>
      </c>
      <c r="U190" s="92" t="n">
        <v>12</v>
      </c>
      <c r="V190" s="92" t="n">
        <v>12</v>
      </c>
      <c r="W190" s="92" t="n">
        <v>12</v>
      </c>
      <c r="X190" s="92" t="n">
        <v>12</v>
      </c>
      <c r="Y190" s="92" t="n">
        <v>12</v>
      </c>
      <c r="Z190" s="92" t="n">
        <v>12</v>
      </c>
      <c r="AA190" s="92" t="n">
        <v>12</v>
      </c>
      <c r="AB190" s="92" t="n">
        <v>12</v>
      </c>
      <c r="AC190" s="92" t="n">
        <v>12</v>
      </c>
      <c r="AD190" s="92" t="n">
        <v>12</v>
      </c>
      <c r="AE190" s="92" t="n">
        <v>12</v>
      </c>
      <c r="AF190" s="92" t="n">
        <v>12</v>
      </c>
    </row>
    <row r="191" customFormat="false" ht="10.5" hidden="false" customHeight="true" outlineLevel="0" collapsed="false">
      <c r="A191" s="31"/>
      <c r="B191" s="31"/>
      <c r="C191" s="31"/>
      <c r="D191" s="31"/>
      <c r="E191" s="2" t="s">
        <v>203</v>
      </c>
      <c r="K191" s="48" t="n">
        <f aca="false">ABS(K$190-K$189)</f>
        <v>0</v>
      </c>
      <c r="L191" s="48" t="n">
        <f aca="false">ABS(L$190-L$189)</f>
        <v>0</v>
      </c>
      <c r="M191" s="48" t="n">
        <f aca="false">ABS(M$190-M$189)</f>
        <v>0</v>
      </c>
      <c r="N191" s="48" t="n">
        <f aca="false">ABS(N$190-N$189)</f>
        <v>7</v>
      </c>
      <c r="O191" s="48" t="n">
        <f aca="false">ABS(O$190-O$189)</f>
        <v>0</v>
      </c>
      <c r="P191" s="48" t="n">
        <f aca="false">ABS(P$190-P$189)</f>
        <v>0</v>
      </c>
      <c r="Q191" s="48" t="n">
        <f aca="false">ABS(Q$190-Q$189)</f>
        <v>0</v>
      </c>
      <c r="R191" s="48" t="n">
        <f aca="false">ABS(R$190-R$189)</f>
        <v>0</v>
      </c>
      <c r="S191" s="48" t="n">
        <f aca="false">ABS(S$190-S$189)</f>
        <v>0</v>
      </c>
      <c r="T191" s="48" t="n">
        <f aca="false">ABS(T$190-T$189)</f>
        <v>0</v>
      </c>
      <c r="U191" s="48" t="n">
        <f aca="false">ABS(U$190-U$189)</f>
        <v>0</v>
      </c>
      <c r="V191" s="48" t="n">
        <f aca="false">ABS(V$190-V$189)</f>
        <v>0</v>
      </c>
      <c r="W191" s="48" t="n">
        <f aca="false">ABS(W$190-W$189)</f>
        <v>0</v>
      </c>
      <c r="X191" s="48" t="n">
        <f aca="false">ABS(X$190-X$189)</f>
        <v>0</v>
      </c>
      <c r="Y191" s="48" t="n">
        <f aca="false">ABS(Y$190-Y$189)</f>
        <v>0</v>
      </c>
      <c r="Z191" s="48" t="n">
        <f aca="false">ABS(Z$190-Z$189)</f>
        <v>0</v>
      </c>
      <c r="AA191" s="48" t="n">
        <f aca="false">ABS(AA$190-AA$189)</f>
        <v>0</v>
      </c>
      <c r="AB191" s="48" t="n">
        <f aca="false">ABS(AB$190-AB$189)</f>
        <v>0</v>
      </c>
      <c r="AC191" s="48" t="n">
        <f aca="false">ABS(AC$190-AC$189)</f>
        <v>0</v>
      </c>
      <c r="AD191" s="48" t="n">
        <f aca="false">ABS(AD$190-AD$189)</f>
        <v>2</v>
      </c>
      <c r="AE191" s="48" t="n">
        <f aca="false">ABS(AE$190-AE$189)</f>
        <v>0</v>
      </c>
      <c r="AF191" s="48" t="n">
        <f aca="false">ABS(AF$190-AF$189)</f>
        <v>0</v>
      </c>
    </row>
    <row r="192" customFormat="false" ht="10.5" hidden="false" customHeight="true" outlineLevel="0" collapsed="false">
      <c r="A192" s="31"/>
      <c r="B192" s="31"/>
      <c r="C192" s="31"/>
      <c r="D192" s="31"/>
      <c r="E192" s="2" t="s">
        <v>204</v>
      </c>
      <c r="K192" s="93" t="str">
        <f aca="false">+IF(K191=0,"NO","YES")</f>
        <v>NO</v>
      </c>
      <c r="L192" s="93" t="str">
        <f aca="false">+IF(L191=0,"NO","YES")</f>
        <v>NO</v>
      </c>
      <c r="M192" s="93" t="str">
        <f aca="false">+IF(M191=0,"NO","YES")</f>
        <v>NO</v>
      </c>
      <c r="N192" s="93" t="str">
        <f aca="false">+IF(N191=0,"NO","YES")</f>
        <v>YES</v>
      </c>
      <c r="O192" s="93" t="str">
        <f aca="false">+IF(O191=0,"NO","YES")</f>
        <v>NO</v>
      </c>
      <c r="P192" s="93" t="str">
        <f aca="false">+IF(P191=0,"NO","YES")</f>
        <v>NO</v>
      </c>
      <c r="Q192" s="93" t="str">
        <f aca="false">+IF(Q191=0,"NO","YES")</f>
        <v>NO</v>
      </c>
      <c r="R192" s="93" t="str">
        <f aca="false">+IF(R191=0,"NO","YES")</f>
        <v>NO</v>
      </c>
      <c r="S192" s="93" t="str">
        <f aca="false">+IF(S191=0,"NO","YES")</f>
        <v>NO</v>
      </c>
      <c r="T192" s="93" t="str">
        <f aca="false">+IF(T191=0,"NO","YES")</f>
        <v>NO</v>
      </c>
      <c r="U192" s="93" t="str">
        <f aca="false">+IF(U191=0,"NO","YES")</f>
        <v>NO</v>
      </c>
      <c r="V192" s="93" t="str">
        <f aca="false">+IF(V191=0,"NO","YES")</f>
        <v>NO</v>
      </c>
      <c r="W192" s="93" t="str">
        <f aca="false">+IF(W191=0,"NO","YES")</f>
        <v>NO</v>
      </c>
      <c r="X192" s="93" t="str">
        <f aca="false">+IF(X191=0,"NO","YES")</f>
        <v>NO</v>
      </c>
      <c r="Y192" s="93" t="str">
        <f aca="false">+IF(Y191=0,"NO","YES")</f>
        <v>NO</v>
      </c>
      <c r="Z192" s="93" t="str">
        <f aca="false">+IF(Z191=0,"NO","YES")</f>
        <v>NO</v>
      </c>
      <c r="AA192" s="93" t="str">
        <f aca="false">+IF(AA191=0,"NO","YES")</f>
        <v>NO</v>
      </c>
      <c r="AB192" s="93" t="str">
        <f aca="false">+IF(AB191=0,"NO","YES")</f>
        <v>NO</v>
      </c>
      <c r="AC192" s="93" t="str">
        <f aca="false">+IF(AC191=0,"NO","YES")</f>
        <v>NO</v>
      </c>
      <c r="AD192" s="93" t="str">
        <f aca="false">+IF(AD191=0,"NO","YES")</f>
        <v>YES</v>
      </c>
      <c r="AE192" s="93" t="str">
        <f aca="false">+IF(AE191=0,"NO","YES")</f>
        <v>NO</v>
      </c>
      <c r="AF192" s="93" t="str">
        <f aca="false">+IF(AF191=0,"NO","YES")</f>
        <v>NO</v>
      </c>
    </row>
    <row r="193" customFormat="false" ht="10.5" hidden="false" customHeight="true" outlineLevel="0" collapsed="false">
      <c r="A193" s="31"/>
      <c r="B193" s="31"/>
      <c r="C193" s="31"/>
      <c r="D193" s="31"/>
      <c r="E193" s="2" t="str">
        <f aca="false">"Spot Exchange Rate ("&amp;$F$4&amp;"/local)"</f>
        <v>Spot Exchange Rate (USD/local)</v>
      </c>
      <c r="K193" s="48" t="n">
        <f aca="false">+K313</f>
        <v>0</v>
      </c>
      <c r="L193" s="48" t="n">
        <f aca="false">+L313</f>
        <v>1</v>
      </c>
      <c r="M193" s="48" t="n">
        <f aca="false">+M313</f>
        <v>1</v>
      </c>
      <c r="N193" s="48" t="n">
        <f aca="false">+N313</f>
        <v>1</v>
      </c>
      <c r="O193" s="48" t="n">
        <f aca="false">+O313</f>
        <v>1</v>
      </c>
      <c r="P193" s="48" t="n">
        <f aca="false">+P313</f>
        <v>1.21741894</v>
      </c>
      <c r="Q193" s="48" t="n">
        <f aca="false">+Q313</f>
        <v>1.21741894</v>
      </c>
      <c r="R193" s="48" t="n">
        <f aca="false">+R313</f>
        <v>1.21741894</v>
      </c>
      <c r="S193" s="48" t="n">
        <f aca="false">+S313</f>
        <v>0.00072877</v>
      </c>
      <c r="T193" s="48" t="n">
        <f aca="false">+T313</f>
        <v>0.00072877</v>
      </c>
      <c r="U193" s="48" t="n">
        <f aca="false">+U313</f>
        <v>1.149</v>
      </c>
      <c r="V193" s="48" t="n">
        <f aca="false">+V313</f>
        <v>1.149</v>
      </c>
      <c r="W193" s="48" t="n">
        <f aca="false">+W313</f>
        <v>1.21741894</v>
      </c>
      <c r="X193" s="48" t="n">
        <f aca="false">+X313</f>
        <v>1.149</v>
      </c>
      <c r="Y193" s="48" t="n">
        <f aca="false">+Y313</f>
        <v>1.34228573</v>
      </c>
      <c r="Z193" s="48" t="n">
        <f aca="false">+Z313</f>
        <v>1</v>
      </c>
      <c r="AA193" s="48" t="n">
        <f aca="false">+AA313</f>
        <v>1</v>
      </c>
      <c r="AB193" s="48" t="n">
        <f aca="false">+AB313</f>
        <v>1</v>
      </c>
      <c r="AC193" s="48" t="n">
        <f aca="false">+AC313</f>
        <v>1</v>
      </c>
      <c r="AD193" s="48" t="n">
        <f aca="false">+AD313</f>
        <v>1</v>
      </c>
      <c r="AE193" s="94" t="n">
        <f aca="false">FX!F11</f>
        <v>0.14935656</v>
      </c>
      <c r="AF193" s="48" t="n">
        <f aca="false">+AF313</f>
        <v>1.33947307</v>
      </c>
    </row>
    <row r="194" customFormat="false" ht="10.5" hidden="false" customHeight="true" outlineLevel="0" collapsed="false">
      <c r="A194" s="31"/>
      <c r="B194" s="31"/>
      <c r="C194" s="31"/>
      <c r="D194" s="31"/>
      <c r="E194" s="2" t="str">
        <f aca="false">E310</f>
        <v>Avg 2024 Exch (USD/local)</v>
      </c>
      <c r="K194" s="48" t="n">
        <f aca="false">+K310</f>
        <v>0</v>
      </c>
      <c r="L194" s="48" t="n">
        <f aca="false">+L310</f>
        <v>1</v>
      </c>
      <c r="M194" s="48" t="n">
        <f aca="false">+M310</f>
        <v>1</v>
      </c>
      <c r="N194" s="48" t="n">
        <f aca="false">+N310</f>
        <v>1</v>
      </c>
      <c r="O194" s="48" t="n">
        <f aca="false">+O310</f>
        <v>1</v>
      </c>
      <c r="P194" s="48" t="n">
        <f aca="false">+P310</f>
        <v>1.13657124</v>
      </c>
      <c r="Q194" s="48" t="n">
        <f aca="false">+Q310</f>
        <v>1.13657124</v>
      </c>
      <c r="R194" s="48" t="n">
        <f aca="false">+R310</f>
        <v>1.13657124</v>
      </c>
      <c r="S194" s="48" t="n">
        <f aca="false">+S310</f>
        <v>0.00073382</v>
      </c>
      <c r="T194" s="48" t="n">
        <f aca="false">+T310</f>
        <v>0.00073382</v>
      </c>
      <c r="U194" s="48" t="n">
        <f aca="false">+U310</f>
        <v>1.08238047</v>
      </c>
      <c r="V194" s="48" t="n">
        <f aca="false">+V310</f>
        <v>1.08238047</v>
      </c>
      <c r="W194" s="48" t="n">
        <f aca="false">+W310</f>
        <v>1.13657124</v>
      </c>
      <c r="X194" s="48" t="n">
        <f aca="false">+X310</f>
        <v>1.08238047</v>
      </c>
      <c r="Y194" s="48" t="n">
        <f aca="false">+Y310</f>
        <v>1.27859417</v>
      </c>
      <c r="Z194" s="48" t="n">
        <f aca="false">+Z310</f>
        <v>1</v>
      </c>
      <c r="AA194" s="48" t="n">
        <f aca="false">+AA310</f>
        <v>1</v>
      </c>
      <c r="AB194" s="48" t="n">
        <f aca="false">+AB310</f>
        <v>1</v>
      </c>
      <c r="AC194" s="48" t="n">
        <f aca="false">+AC310</f>
        <v>1</v>
      </c>
      <c r="AD194" s="48" t="n">
        <f aca="false">+AD310</f>
        <v>1</v>
      </c>
      <c r="AE194" s="48" t="n">
        <f aca="false">+AE310</f>
        <v>0.13898663</v>
      </c>
      <c r="AF194" s="48" t="n">
        <f aca="false">+AF310</f>
        <v>1.27859417</v>
      </c>
    </row>
    <row r="195" customFormat="false" ht="10.5" hidden="false" customHeight="true" outlineLevel="0" collapsed="false">
      <c r="A195" s="31"/>
      <c r="B195" s="31"/>
      <c r="C195" s="31"/>
      <c r="D195" s="31"/>
      <c r="E195" s="2" t="str">
        <f aca="false">E311</f>
        <v>Avg 2023 Exch (USD/local)</v>
      </c>
      <c r="K195" s="48" t="n">
        <f aca="false">+K311</f>
        <v>0</v>
      </c>
      <c r="L195" s="48" t="n">
        <f aca="false">+L311</f>
        <v>1</v>
      </c>
      <c r="M195" s="48" t="n">
        <f aca="false">+M311</f>
        <v>1</v>
      </c>
      <c r="N195" s="48" t="n">
        <f aca="false">+N311</f>
        <v>1</v>
      </c>
      <c r="O195" s="48" t="n">
        <f aca="false">+O311</f>
        <v>1</v>
      </c>
      <c r="P195" s="48" t="n">
        <f aca="false">+P311</f>
        <v>1.1129794</v>
      </c>
      <c r="Q195" s="48" t="n">
        <f aca="false">+Q311</f>
        <v>1.1129794</v>
      </c>
      <c r="R195" s="48" t="n">
        <f aca="false">+R311</f>
        <v>1.1129794</v>
      </c>
      <c r="S195" s="48" t="n">
        <f aca="false">+S311</f>
        <v>0.00076563</v>
      </c>
      <c r="T195" s="48" t="n">
        <f aca="false">+T311</f>
        <v>0.00076563</v>
      </c>
      <c r="U195" s="48" t="n">
        <f aca="false">+U311</f>
        <v>1.08126863</v>
      </c>
      <c r="V195" s="48" t="n">
        <f aca="false">+V311</f>
        <v>1.08126863</v>
      </c>
      <c r="W195" s="48" t="n">
        <f aca="false">+W311</f>
        <v>1.1129794</v>
      </c>
      <c r="X195" s="48" t="n">
        <f aca="false">+X311</f>
        <v>1.08126863</v>
      </c>
      <c r="Y195" s="48" t="n">
        <f aca="false">+Y311</f>
        <v>1.24337584</v>
      </c>
      <c r="Z195" s="48" t="n">
        <f aca="false">+Z311</f>
        <v>1</v>
      </c>
      <c r="AA195" s="48" t="n">
        <f aca="false">+AA311</f>
        <v>1</v>
      </c>
      <c r="AB195" s="48" t="n">
        <f aca="false">+AB311</f>
        <v>1</v>
      </c>
      <c r="AC195" s="48" t="n">
        <f aca="false">+AC311</f>
        <v>1</v>
      </c>
      <c r="AD195" s="48" t="n">
        <f aca="false">+AD311</f>
        <v>1</v>
      </c>
      <c r="AE195" s="48" t="n">
        <f aca="false">+AE311</f>
        <v>0.14124959</v>
      </c>
      <c r="AF195" s="48" t="n">
        <f aca="false">+AF311</f>
        <v>1.24337584</v>
      </c>
    </row>
    <row r="196" customFormat="false" ht="10.5" hidden="false" customHeight="true" outlineLevel="0" collapsed="false">
      <c r="A196" s="31"/>
      <c r="B196" s="31"/>
      <c r="C196" s="31"/>
      <c r="D196" s="31"/>
      <c r="AE196" s="3"/>
      <c r="AF196" s="3"/>
    </row>
    <row r="197" customFormat="false" ht="10.5" hidden="false" customHeight="true" outlineLevel="0" collapsed="false">
      <c r="A197" s="28" t="s">
        <v>28</v>
      </c>
      <c r="B197" s="28" t="s">
        <v>28</v>
      </c>
      <c r="C197" s="28"/>
      <c r="D197" s="28"/>
      <c r="E197" s="29" t="str">
        <f aca="false">+"INCOME STATEMENT in "&amp;$F$4</f>
        <v>INCOME STATEMENT in USD</v>
      </c>
      <c r="F197" s="30"/>
      <c r="G197" s="95" t="s">
        <v>205</v>
      </c>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row>
    <row r="198" customFormat="false" ht="10.5" hidden="false" customHeight="true" outlineLevel="0" collapsed="false">
      <c r="A198" s="62"/>
      <c r="B198" s="62"/>
      <c r="C198" s="62"/>
      <c r="D198" s="62"/>
      <c r="AE198" s="3"/>
      <c r="AF198" s="3"/>
    </row>
    <row r="199" customFormat="false" ht="10.5" hidden="false" customHeight="true" outlineLevel="0" collapsed="false">
      <c r="A199" s="62"/>
      <c r="B199" s="62"/>
      <c r="C199" s="62"/>
      <c r="D199" s="62"/>
      <c r="E199" s="96" t="n">
        <f aca="false">E200+365</f>
        <v>48212</v>
      </c>
      <c r="F199" s="97" t="s">
        <v>206</v>
      </c>
      <c r="G199" s="4" t="str">
        <f aca="false">+TEXT(E199,"yyyy")&amp;F199</f>
        <v>2031Revenue</v>
      </c>
      <c r="H199" s="4" t="s">
        <v>28</v>
      </c>
      <c r="K199" s="63"/>
      <c r="L199" s="63"/>
      <c r="M199" s="63"/>
      <c r="N199" s="63"/>
      <c r="O199" s="63"/>
      <c r="P199" s="63"/>
      <c r="Q199" s="63"/>
      <c r="R199" s="63" t="n">
        <v>14678.402</v>
      </c>
      <c r="S199" s="63" t="n">
        <v>6823.7593</v>
      </c>
      <c r="T199" s="63" t="n">
        <v>772.5776</v>
      </c>
      <c r="U199" s="63"/>
      <c r="V199" s="63"/>
      <c r="W199" s="63"/>
      <c r="X199" s="63"/>
      <c r="Y199" s="63"/>
      <c r="Z199" s="63"/>
      <c r="AA199" s="63"/>
      <c r="AB199" s="63"/>
      <c r="AC199" s="63"/>
      <c r="AD199" s="63"/>
      <c r="AE199" s="63" t="n">
        <v>7273.039</v>
      </c>
      <c r="AF199" s="63"/>
    </row>
    <row r="200" customFormat="false" ht="10.5" hidden="false" customHeight="true" outlineLevel="0" collapsed="false">
      <c r="A200" s="62"/>
      <c r="B200" s="62"/>
      <c r="C200" s="62"/>
      <c r="D200" s="62"/>
      <c r="E200" s="96" t="n">
        <f aca="false">E201+365</f>
        <v>47847</v>
      </c>
      <c r="F200" s="97" t="s">
        <v>206</v>
      </c>
      <c r="G200" s="33" t="str">
        <f aca="false">+TEXT(E200,"yyyy")&amp;F200</f>
        <v>2030Revenue</v>
      </c>
      <c r="H200" s="4" t="s">
        <v>28</v>
      </c>
      <c r="K200" s="98"/>
      <c r="L200" s="98" t="n">
        <v>2710.1846</v>
      </c>
      <c r="M200" s="98" t="n">
        <v>2900.2</v>
      </c>
      <c r="N200" s="98" t="n">
        <v>982.8581</v>
      </c>
      <c r="O200" s="98" t="n">
        <v>272.8</v>
      </c>
      <c r="P200" s="98" t="n">
        <v>2094.5913</v>
      </c>
      <c r="Q200" s="98" t="n">
        <v>2350.443</v>
      </c>
      <c r="R200" s="98" t="n">
        <v>13795.834</v>
      </c>
      <c r="S200" s="98" t="n">
        <v>6203.352</v>
      </c>
      <c r="T200" s="98" t="n">
        <v>669.05566</v>
      </c>
      <c r="U200" s="98" t="n">
        <v>1310.2166</v>
      </c>
      <c r="V200" s="98"/>
      <c r="W200" s="98"/>
      <c r="X200" s="98"/>
      <c r="Y200" s="98"/>
      <c r="Z200" s="98" t="n">
        <v>8494</v>
      </c>
      <c r="AA200" s="98" t="n">
        <v>3579.1326</v>
      </c>
      <c r="AB200" s="98" t="n">
        <v>58775</v>
      </c>
      <c r="AC200" s="98" t="n">
        <v>33857.5</v>
      </c>
      <c r="AD200" s="98"/>
      <c r="AE200" s="98" t="n">
        <v>6652.4775</v>
      </c>
      <c r="AF200" s="98" t="n">
        <v>582.75024</v>
      </c>
    </row>
    <row r="201" customFormat="false" ht="10.5" hidden="false" customHeight="true" outlineLevel="0" collapsed="false">
      <c r="A201" s="62"/>
      <c r="B201" s="62"/>
      <c r="C201" s="62"/>
      <c r="D201" s="62"/>
      <c r="E201" s="96" t="n">
        <f aca="false">E202+365</f>
        <v>47482</v>
      </c>
      <c r="F201" s="97" t="s">
        <v>206</v>
      </c>
      <c r="G201" s="33" t="str">
        <f aca="false">+TEXT(E201,"yyyy")&amp;F201</f>
        <v>2029Revenue</v>
      </c>
      <c r="H201" s="4" t="s">
        <v>28</v>
      </c>
      <c r="K201" s="98"/>
      <c r="L201" s="98" t="n">
        <v>2622</v>
      </c>
      <c r="M201" s="98" t="n">
        <v>2821.1</v>
      </c>
      <c r="N201" s="98" t="n">
        <v>936.31683</v>
      </c>
      <c r="O201" s="98" t="n">
        <v>253.2</v>
      </c>
      <c r="P201" s="98" t="n">
        <v>1863.199</v>
      </c>
      <c r="Q201" s="98" t="n">
        <v>2167.86</v>
      </c>
      <c r="R201" s="98" t="n">
        <v>12287.347</v>
      </c>
      <c r="S201" s="98" t="n">
        <v>5588.736</v>
      </c>
      <c r="T201" s="98" t="n">
        <v>572.9902</v>
      </c>
      <c r="U201" s="98" t="n">
        <v>1223.4503</v>
      </c>
      <c r="V201" s="98" t="n">
        <v>10839.108</v>
      </c>
      <c r="W201" s="98" t="n">
        <v>10932.577</v>
      </c>
      <c r="X201" s="98" t="n">
        <v>8551.656</v>
      </c>
      <c r="Y201" s="98" t="n">
        <v>5570.689</v>
      </c>
      <c r="Z201" s="98" t="n">
        <v>7993</v>
      </c>
      <c r="AA201" s="98" t="n">
        <v>3385.05</v>
      </c>
      <c r="AB201" s="98" t="n">
        <v>56793.5</v>
      </c>
      <c r="AC201" s="98" t="n">
        <v>32218.877</v>
      </c>
      <c r="AD201" s="98" t="n">
        <v>9168.613</v>
      </c>
      <c r="AE201" s="98" t="n">
        <v>6090.586</v>
      </c>
      <c r="AF201" s="98" t="n">
        <v>482.78336</v>
      </c>
    </row>
    <row r="202" customFormat="false" ht="10.5" hidden="false" customHeight="true" outlineLevel="0" collapsed="false">
      <c r="A202" s="62"/>
      <c r="B202" s="62"/>
      <c r="C202" s="62"/>
      <c r="D202" s="62"/>
      <c r="E202" s="96" t="n">
        <f aca="false">E203+365</f>
        <v>47117</v>
      </c>
      <c r="F202" s="97" t="s">
        <v>206</v>
      </c>
      <c r="G202" s="33" t="str">
        <f aca="false">+TEXT(E202,"yyyy")&amp;F202</f>
        <v>2028Revenue</v>
      </c>
      <c r="H202" s="4" t="s">
        <v>28</v>
      </c>
      <c r="K202" s="98"/>
      <c r="L202" s="98" t="n">
        <v>2481.0632</v>
      </c>
      <c r="M202" s="98" t="n">
        <v>2743.0957</v>
      </c>
      <c r="N202" s="98" t="n">
        <v>867.2136</v>
      </c>
      <c r="O202" s="98" t="n">
        <v>238.12054</v>
      </c>
      <c r="P202" s="98" t="n">
        <v>1653.0637</v>
      </c>
      <c r="Q202" s="98" t="n">
        <v>2044.1589</v>
      </c>
      <c r="R202" s="98" t="n">
        <v>10846.832</v>
      </c>
      <c r="S202" s="98" t="n">
        <v>5138.4517</v>
      </c>
      <c r="T202" s="98" t="n">
        <v>448.98108</v>
      </c>
      <c r="U202" s="98" t="n">
        <v>1120.7345</v>
      </c>
      <c r="V202" s="98" t="n">
        <v>9571.13</v>
      </c>
      <c r="W202" s="98" t="n">
        <v>10450.112</v>
      </c>
      <c r="X202" s="98" t="n">
        <v>8523.005</v>
      </c>
      <c r="Y202" s="98" t="n">
        <v>5300.266</v>
      </c>
      <c r="Z202" s="98" t="n">
        <v>7541.374</v>
      </c>
      <c r="AA202" s="98" t="n">
        <v>3190.8806</v>
      </c>
      <c r="AB202" s="98" t="n">
        <v>53331.508</v>
      </c>
      <c r="AC202" s="98" t="n">
        <v>30325.955</v>
      </c>
      <c r="AD202" s="98" t="n">
        <v>8594.055</v>
      </c>
      <c r="AE202" s="98" t="n">
        <v>5527.253</v>
      </c>
      <c r="AF202" s="98" t="n">
        <v>396.12308</v>
      </c>
    </row>
    <row r="203" customFormat="false" ht="10.5" hidden="false" customHeight="true" outlineLevel="0" collapsed="false">
      <c r="A203" s="62"/>
      <c r="B203" s="62"/>
      <c r="C203" s="62"/>
      <c r="D203" s="62"/>
      <c r="E203" s="96" t="n">
        <f aca="false">E204+365</f>
        <v>46752</v>
      </c>
      <c r="F203" s="97" t="s">
        <v>206</v>
      </c>
      <c r="G203" s="4" t="str">
        <f aca="false">+TEXT(E203,"yyyy")&amp;F203</f>
        <v>2027Revenue</v>
      </c>
      <c r="H203" s="4" t="s">
        <v>28</v>
      </c>
      <c r="K203" s="63"/>
      <c r="L203" s="63" t="n">
        <v>2330.985</v>
      </c>
      <c r="M203" s="63" t="n">
        <v>2663.7</v>
      </c>
      <c r="N203" s="63" t="n">
        <v>846.26526</v>
      </c>
      <c r="O203" s="63" t="n">
        <v>225.306</v>
      </c>
      <c r="P203" s="63" t="n">
        <v>1410.1597</v>
      </c>
      <c r="Q203" s="63" t="n">
        <v>1902.913</v>
      </c>
      <c r="R203" s="63" t="n">
        <v>9672.002</v>
      </c>
      <c r="S203" s="63" t="n">
        <v>4583.255</v>
      </c>
      <c r="T203" s="63" t="n">
        <v>376.51575</v>
      </c>
      <c r="U203" s="63" t="n">
        <v>1028.5544</v>
      </c>
      <c r="V203" s="63" t="n">
        <v>9075.831</v>
      </c>
      <c r="W203" s="63" t="n">
        <v>9845.184</v>
      </c>
      <c r="X203" s="63" t="n">
        <v>7830.7813</v>
      </c>
      <c r="Y203" s="63" t="n">
        <v>5062.821</v>
      </c>
      <c r="Z203" s="63" t="n">
        <v>7115.502</v>
      </c>
      <c r="AA203" s="63" t="n">
        <v>3000.9775</v>
      </c>
      <c r="AB203" s="63" t="n">
        <v>50312.742</v>
      </c>
      <c r="AC203" s="63" t="n">
        <v>28398</v>
      </c>
      <c r="AD203" s="63" t="n">
        <v>8075.049</v>
      </c>
      <c r="AE203" s="63" t="n">
        <v>4597.224</v>
      </c>
      <c r="AF203" s="63" t="n">
        <v>321.09775</v>
      </c>
    </row>
    <row r="204" customFormat="false" ht="10.5" hidden="false" customHeight="true" outlineLevel="0" collapsed="false">
      <c r="A204" s="62"/>
      <c r="B204" s="62"/>
      <c r="C204" s="62"/>
      <c r="D204" s="62"/>
      <c r="E204" s="96" t="n">
        <f aca="false">E205+365</f>
        <v>46387</v>
      </c>
      <c r="F204" s="97" t="s">
        <v>206</v>
      </c>
      <c r="G204" s="4" t="str">
        <f aca="false">+TEXT(E204,"yyyy")&amp;F204</f>
        <v>2026Revenue</v>
      </c>
      <c r="H204" s="4" t="s">
        <v>28</v>
      </c>
      <c r="K204" s="63"/>
      <c r="L204" s="63" t="n">
        <v>2200</v>
      </c>
      <c r="M204" s="63" t="n">
        <v>2586.2898</v>
      </c>
      <c r="N204" s="63" t="n">
        <v>877.2011</v>
      </c>
      <c r="O204" s="63" t="n">
        <v>211.95934</v>
      </c>
      <c r="P204" s="63" t="n">
        <v>1144.2928</v>
      </c>
      <c r="Q204" s="63" t="n">
        <v>1730.6146</v>
      </c>
      <c r="R204" s="63" t="n">
        <v>8672.067</v>
      </c>
      <c r="S204" s="63" t="n">
        <v>3951.5981</v>
      </c>
      <c r="T204" s="63" t="n">
        <v>302.45773</v>
      </c>
      <c r="U204" s="63" t="n">
        <v>890.5916</v>
      </c>
      <c r="V204" s="63" t="n">
        <v>8645.25</v>
      </c>
      <c r="W204" s="63" t="n">
        <v>9274.882</v>
      </c>
      <c r="X204" s="63" t="n">
        <v>7763.7793</v>
      </c>
      <c r="Y204" s="63" t="n">
        <v>4820.0093</v>
      </c>
      <c r="Z204" s="63" t="n">
        <v>6454.389</v>
      </c>
      <c r="AA204" s="63" t="n">
        <v>2849.8247</v>
      </c>
      <c r="AB204" s="63" t="n">
        <v>47823</v>
      </c>
      <c r="AC204" s="63" t="n">
        <v>26348.656</v>
      </c>
      <c r="AD204" s="63" t="n">
        <v>7582.93</v>
      </c>
      <c r="AE204" s="63" t="n">
        <v>3822.296</v>
      </c>
      <c r="AF204" s="63" t="n">
        <v>255.23325</v>
      </c>
    </row>
    <row r="205" customFormat="false" ht="10.5" hidden="false" customHeight="true" outlineLevel="0" collapsed="false">
      <c r="A205" s="62"/>
      <c r="B205" s="62" t="s">
        <v>28</v>
      </c>
      <c r="C205" s="62"/>
      <c r="D205" s="62"/>
      <c r="E205" s="99" t="n">
        <f aca="false">+$F$3</f>
        <v>46022</v>
      </c>
      <c r="F205" s="100" t="s">
        <v>206</v>
      </c>
      <c r="G205" s="34" t="str">
        <f aca="false">+TEXT(E205,"yyyy")&amp;F205</f>
        <v>2025Revenue</v>
      </c>
      <c r="H205" s="34" t="s">
        <v>28</v>
      </c>
      <c r="K205" s="101"/>
      <c r="L205" s="102" t="n">
        <v>2089.999</v>
      </c>
      <c r="M205" s="102" t="n">
        <v>2583.2</v>
      </c>
      <c r="N205" s="102" t="n">
        <v>880.525</v>
      </c>
      <c r="O205" s="102" t="n">
        <v>185.743</v>
      </c>
      <c r="P205" s="102" t="n">
        <f aca="false">695.07*FX!D6</f>
        <v>838.4182201962</v>
      </c>
      <c r="Q205" s="102" t="n">
        <f aca="false">1327.834*FX!D6</f>
        <v>1601.68072136044</v>
      </c>
      <c r="R205" s="102" t="n">
        <f aca="false">6531*FX!D6</f>
        <v>7877.92509546</v>
      </c>
      <c r="S205" s="102" t="n">
        <f aca="false">4556971.69518*FX!D9</f>
        <v>3207.83465510501</v>
      </c>
      <c r="T205" s="102" t="n">
        <f aca="false">331681.282447*FX!D9</f>
        <v>233.483721965741</v>
      </c>
      <c r="U205" s="102" t="n">
        <f aca="false">743.483*FX!D7</f>
        <v>840.12325487662</v>
      </c>
      <c r="V205" s="102" t="n">
        <f aca="false">7296.1*FX!D7</f>
        <v>8244.469987754</v>
      </c>
      <c r="W205" s="102" t="n">
        <f aca="false">6945*FX!D6</f>
        <v>8377.3066587</v>
      </c>
      <c r="X205" s="102" t="n">
        <f aca="false">6466.4*FX!D7</f>
        <v>7306.922976496</v>
      </c>
      <c r="Y205" s="102" t="n">
        <f aca="false">3431.6*FX!D8</f>
        <v>4524.29624888</v>
      </c>
      <c r="Z205" s="102" t="n">
        <v>3165.286</v>
      </c>
      <c r="AA205" s="102" t="n">
        <v>2856.051</v>
      </c>
      <c r="AB205" s="102" t="n">
        <v>44556</v>
      </c>
      <c r="AC205" s="102" t="n">
        <v>24568</v>
      </c>
      <c r="AD205" s="102" t="n">
        <v>7065</v>
      </c>
      <c r="AE205" s="102" t="n">
        <f aca="false">21790.018*FX!D11</f>
        <v>3032.08601640414</v>
      </c>
      <c r="AF205" s="102" t="n">
        <f aca="false">168.741*FX!D8</f>
        <v>222.4718129538</v>
      </c>
    </row>
    <row r="206" customFormat="false" ht="10.5" hidden="false" customHeight="true" outlineLevel="0" collapsed="false">
      <c r="A206" s="62"/>
      <c r="B206" s="62"/>
      <c r="C206" s="62"/>
      <c r="D206" s="62"/>
      <c r="E206" s="96" t="n">
        <f aca="false">E205-366</f>
        <v>45656</v>
      </c>
      <c r="F206" s="97" t="s">
        <v>206</v>
      </c>
      <c r="G206" s="4" t="str">
        <f aca="false">+TEXT(E206,"yyyy")&amp;F206</f>
        <v>2024Revenue</v>
      </c>
      <c r="H206" s="4" t="s">
        <v>28</v>
      </c>
      <c r="K206" s="63"/>
      <c r="L206" s="64" t="n">
        <v>1978.214</v>
      </c>
      <c r="M206" s="64" t="n">
        <v>2566.5</v>
      </c>
      <c r="N206" s="64" t="n">
        <v>906.991666666667</v>
      </c>
      <c r="O206" s="64" t="n">
        <v>259.185</v>
      </c>
      <c r="P206" s="64" t="n">
        <f aca="false">605.259*FX!C6</f>
        <v>687.91997215116</v>
      </c>
      <c r="Q206" s="64" t="n">
        <f aca="false">1294.573*FX!C6</f>
        <v>1471.37443988052</v>
      </c>
      <c r="R206" s="64" t="n">
        <f aca="false">5480*FX!C6</f>
        <v>6228.4103952</v>
      </c>
      <c r="S206" s="64" t="n">
        <f aca="false">3497145.675782*FX!C9</f>
        <v>2566.27543980235</v>
      </c>
      <c r="T206" s="64" t="n">
        <f aca="false">273751.34284*FX!C9</f>
        <v>200.884210402849</v>
      </c>
      <c r="U206" s="64" t="n">
        <f aca="false">763.749*FX!C7</f>
        <v>826.66700158203</v>
      </c>
      <c r="V206" s="64" t="n">
        <f aca="false">6951*FX!C7</f>
        <v>7523.62664697</v>
      </c>
      <c r="W206" s="64" t="n">
        <f aca="false">6794*FX!C6</f>
        <v>7721.86500456</v>
      </c>
      <c r="X206" s="64" t="n">
        <f aca="false">6240.9*FX!C7</f>
        <v>6755.028275223</v>
      </c>
      <c r="Y206" s="64" t="n">
        <f aca="false">3393.2*FX!C8</f>
        <v>4338.525737644</v>
      </c>
      <c r="Z206" s="64" t="n">
        <v>2958.387</v>
      </c>
      <c r="AA206" s="64" t="n">
        <v>2755.026</v>
      </c>
      <c r="AB206" s="64" t="n">
        <v>42879</v>
      </c>
      <c r="AC206" s="64" t="n">
        <v>23875</v>
      </c>
      <c r="AD206" s="64" t="n">
        <v>6533</v>
      </c>
      <c r="AE206" s="64" t="n">
        <f aca="false">18675.371*FX!C11</f>
        <v>2595.62687928973</v>
      </c>
      <c r="AF206" s="64" t="n">
        <f aca="false">128.797*FX!C8</f>
        <v>164.67909331349</v>
      </c>
    </row>
    <row r="207" customFormat="false" ht="10.5" hidden="false" customHeight="true" outlineLevel="0" collapsed="false">
      <c r="A207" s="62"/>
      <c r="B207" s="62"/>
      <c r="C207" s="62"/>
      <c r="D207" s="62"/>
      <c r="E207" s="96" t="n">
        <f aca="false">E206-366</f>
        <v>45290</v>
      </c>
      <c r="F207" s="97" t="s">
        <v>206</v>
      </c>
      <c r="G207" s="4" t="str">
        <f aca="false">+TEXT(E207,"yyyy")&amp;F207</f>
        <v>2023Revenue</v>
      </c>
      <c r="H207" s="4" t="s">
        <v>28</v>
      </c>
      <c r="K207" s="63"/>
      <c r="L207" s="64" t="n">
        <v>1965.311</v>
      </c>
      <c r="M207" s="64" t="n">
        <v>2671.2</v>
      </c>
      <c r="N207" s="64" t="n">
        <v>881.802916666667</v>
      </c>
      <c r="O207" s="64" t="n">
        <v>288.945</v>
      </c>
      <c r="P207" s="64" t="n">
        <f aca="false">577.316*FX!B6</f>
        <v>642.5408152904</v>
      </c>
      <c r="Q207" s="64" t="n">
        <f aca="false">1271.494*FX!B6</f>
        <v>1415.1466292236</v>
      </c>
      <c r="R207" s="64" t="n">
        <f aca="false">6717*FX!B6</f>
        <v>7475.8826298</v>
      </c>
      <c r="S207" s="64" t="n">
        <f aca="false">3694588.767068*FX!B9</f>
        <v>2828.68799773027</v>
      </c>
      <c r="T207" s="64" t="n">
        <f aca="false">284991.652409*FX!B9</f>
        <v>218.198158833903</v>
      </c>
      <c r="U207" s="64" t="n">
        <f aca="false">829.509*FX!B7</f>
        <v>896.92206000267</v>
      </c>
      <c r="V207" s="64" t="n">
        <f aca="false">6514.6*FX!B7</f>
        <v>7044.032616998</v>
      </c>
      <c r="W207" s="64" t="n">
        <f aca="false">6622*FX!B6</f>
        <v>7370.1495868</v>
      </c>
      <c r="X207" s="64" t="n">
        <f aca="false">5867.8*FX!B7</f>
        <v>6344.668067114</v>
      </c>
      <c r="Y207" s="64" t="n">
        <f aca="false">3328.7*FX!B8</f>
        <v>4138.825158608</v>
      </c>
      <c r="Z207" s="64" t="n">
        <v>2956.416</v>
      </c>
      <c r="AA207" s="64" t="n">
        <v>2750.571</v>
      </c>
      <c r="AB207" s="64" t="n">
        <v>42857</v>
      </c>
      <c r="AC207" s="64" t="n">
        <v>23890</v>
      </c>
      <c r="AD207" s="64" t="n">
        <v>6735</v>
      </c>
      <c r="AE207" s="64" t="n">
        <f aca="false">17034.255*FX!B11</f>
        <v>2406.08153470545</v>
      </c>
      <c r="AF207" s="64" t="n">
        <f aca="false">89.539*FX!B8</f>
        <v>111.33062933776</v>
      </c>
    </row>
    <row r="208" customFormat="false" ht="10.5" hidden="false" customHeight="true" outlineLevel="0" collapsed="false">
      <c r="A208" s="31"/>
      <c r="B208" s="31"/>
      <c r="C208" s="31"/>
      <c r="D208" s="31"/>
      <c r="E208" s="97"/>
      <c r="F208" s="97"/>
      <c r="AE208" s="3"/>
      <c r="AF208" s="3"/>
    </row>
    <row r="209" customFormat="false" ht="10.5" hidden="false" customHeight="true" outlineLevel="0" collapsed="false">
      <c r="A209" s="62"/>
      <c r="B209" s="62" t="s">
        <v>28</v>
      </c>
      <c r="C209" s="62"/>
      <c r="D209" s="62"/>
      <c r="E209" s="96" t="n">
        <f aca="false">E210+365</f>
        <v>48212</v>
      </c>
      <c r="F209" s="97" t="s">
        <v>207</v>
      </c>
      <c r="G209" s="4" t="str">
        <f aca="false">+TEXT(E209,"yyyy")&amp;F209</f>
        <v>2031Gross Profit</v>
      </c>
      <c r="H209" s="4" t="s">
        <v>28</v>
      </c>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customFormat="false" ht="10.5" hidden="false" customHeight="true" outlineLevel="0" collapsed="false">
      <c r="A210" s="62"/>
      <c r="B210" s="62"/>
      <c r="C210" s="62"/>
      <c r="D210" s="62"/>
      <c r="E210" s="96" t="n">
        <f aca="false">E211+365</f>
        <v>47847</v>
      </c>
      <c r="F210" s="97" t="s">
        <v>207</v>
      </c>
      <c r="G210" s="4" t="str">
        <f aca="false">+TEXT(E210,"yyyy")&amp;F210</f>
        <v>2030Gross Profit</v>
      </c>
      <c r="H210" s="4" t="s">
        <v>28</v>
      </c>
      <c r="K210" s="63"/>
      <c r="L210" s="63"/>
      <c r="M210" s="63" t="n">
        <v>1580.3</v>
      </c>
      <c r="N210" s="63" t="n">
        <v>495.38766</v>
      </c>
      <c r="O210" s="63" t="n">
        <v>109.1</v>
      </c>
      <c r="P210" s="63" t="n">
        <v>708.7952</v>
      </c>
      <c r="Q210" s="63" t="n">
        <v>668.16907</v>
      </c>
      <c r="R210" s="63" t="n">
        <v>5459.9224</v>
      </c>
      <c r="S210" s="63"/>
      <c r="T210" s="63"/>
      <c r="U210" s="63" t="n">
        <v>943.0806</v>
      </c>
      <c r="V210" s="63"/>
      <c r="W210" s="63"/>
      <c r="X210" s="63"/>
      <c r="Y210" s="63"/>
      <c r="Z210" s="63" t="n">
        <v>4872</v>
      </c>
      <c r="AA210" s="63" t="n">
        <v>2219.7285</v>
      </c>
      <c r="AB210" s="63" t="n">
        <v>24926</v>
      </c>
      <c r="AC210" s="63" t="n">
        <v>20604.5</v>
      </c>
      <c r="AD210" s="63"/>
      <c r="AE210" s="63"/>
      <c r="AF210" s="63" t="n">
        <v>295.8218</v>
      </c>
    </row>
    <row r="211" customFormat="false" ht="10.5" hidden="false" customHeight="true" outlineLevel="0" collapsed="false">
      <c r="A211" s="62"/>
      <c r="B211" s="62"/>
      <c r="C211" s="62"/>
      <c r="D211" s="62"/>
      <c r="E211" s="96" t="n">
        <f aca="false">E212+365</f>
        <v>47482</v>
      </c>
      <c r="F211" s="97" t="s">
        <v>207</v>
      </c>
      <c r="G211" s="4" t="str">
        <f aca="false">+TEXT(E211,"yyyy")&amp;F211</f>
        <v>2029Gross Profit</v>
      </c>
      <c r="H211" s="4" t="s">
        <v>28</v>
      </c>
      <c r="K211" s="63"/>
      <c r="L211" s="63" t="n">
        <v>1720</v>
      </c>
      <c r="M211" s="63" t="n">
        <v>1528.8</v>
      </c>
      <c r="N211" s="63" t="n">
        <v>469.1315</v>
      </c>
      <c r="O211" s="63" t="n">
        <v>101.3</v>
      </c>
      <c r="P211" s="63" t="n">
        <v>629.7966</v>
      </c>
      <c r="Q211" s="63" t="n">
        <v>616.0312</v>
      </c>
      <c r="R211" s="63" t="n">
        <v>4866.366</v>
      </c>
      <c r="S211" s="63"/>
      <c r="T211" s="63"/>
      <c r="U211" s="63" t="n">
        <v>905.2197</v>
      </c>
      <c r="V211" s="63"/>
      <c r="W211" s="63"/>
      <c r="X211" s="63"/>
      <c r="Y211" s="63"/>
      <c r="Z211" s="63" t="n">
        <v>4538.15</v>
      </c>
      <c r="AA211" s="63" t="n">
        <v>2090.777</v>
      </c>
      <c r="AB211" s="63" t="n">
        <v>24194</v>
      </c>
      <c r="AC211" s="63" t="n">
        <v>19594</v>
      </c>
      <c r="AD211" s="63" t="n">
        <v>5107.8657</v>
      </c>
      <c r="AE211" s="63"/>
      <c r="AF211" s="63" t="n">
        <v>230.22481</v>
      </c>
    </row>
    <row r="212" customFormat="false" ht="10.5" hidden="false" customHeight="true" outlineLevel="0" collapsed="false">
      <c r="A212" s="62"/>
      <c r="B212" s="62"/>
      <c r="C212" s="62"/>
      <c r="D212" s="62"/>
      <c r="E212" s="96" t="n">
        <f aca="false">E213+365</f>
        <v>47117</v>
      </c>
      <c r="F212" s="97" t="s">
        <v>207</v>
      </c>
      <c r="G212" s="4" t="str">
        <f aca="false">+TEXT(E212,"yyyy")&amp;F212</f>
        <v>2028Gross Profit</v>
      </c>
      <c r="H212" s="4" t="s">
        <v>28</v>
      </c>
      <c r="K212" s="63"/>
      <c r="L212" s="63" t="n">
        <v>1674</v>
      </c>
      <c r="M212" s="63" t="n">
        <v>1479</v>
      </c>
      <c r="N212" s="63" t="n">
        <v>426.61636</v>
      </c>
      <c r="O212" s="63" t="n">
        <v>94</v>
      </c>
      <c r="P212" s="63" t="n">
        <v>510.78085</v>
      </c>
      <c r="Q212" s="63" t="n">
        <v>566.1469</v>
      </c>
      <c r="R212" s="63" t="n">
        <v>4215.678</v>
      </c>
      <c r="S212" s="63" t="n">
        <v>2807.0366</v>
      </c>
      <c r="T212" s="63" t="n">
        <v>178.44862</v>
      </c>
      <c r="U212" s="63" t="n">
        <v>794.50525</v>
      </c>
      <c r="V212" s="63" t="n">
        <v>6934.2813</v>
      </c>
      <c r="W212" s="63" t="n">
        <v>4576.684</v>
      </c>
      <c r="X212" s="63" t="n">
        <v>7377.139</v>
      </c>
      <c r="Y212" s="63" t="n">
        <v>1226.1309</v>
      </c>
      <c r="Z212" s="63" t="n">
        <v>4290.6035</v>
      </c>
      <c r="AA212" s="63" t="n">
        <v>1966</v>
      </c>
      <c r="AB212" s="63" t="n">
        <v>22679.7</v>
      </c>
      <c r="AC212" s="63" t="n">
        <v>18363.5</v>
      </c>
      <c r="AD212" s="63" t="n">
        <v>4751.466</v>
      </c>
      <c r="AE212" s="63" t="n">
        <v>2632.7185</v>
      </c>
      <c r="AF212" s="63" t="n">
        <v>179.2049</v>
      </c>
    </row>
    <row r="213" customFormat="false" ht="10.5" hidden="false" customHeight="true" outlineLevel="0" collapsed="false">
      <c r="A213" s="62"/>
      <c r="B213" s="62"/>
      <c r="C213" s="62"/>
      <c r="D213" s="62"/>
      <c r="E213" s="96" t="n">
        <f aca="false">E214+365</f>
        <v>46752</v>
      </c>
      <c r="F213" s="97" t="s">
        <v>207</v>
      </c>
      <c r="G213" s="4" t="str">
        <f aca="false">+TEXT(E213,"yyyy")&amp;F213</f>
        <v>2027Gross Profit</v>
      </c>
      <c r="H213" s="4" t="s">
        <v>28</v>
      </c>
      <c r="K213" s="63"/>
      <c r="L213" s="63" t="n">
        <v>1557</v>
      </c>
      <c r="M213" s="63" t="n">
        <v>1433.05</v>
      </c>
      <c r="N213" s="63" t="n">
        <v>408.6305</v>
      </c>
      <c r="O213" s="63" t="n">
        <v>92.75</v>
      </c>
      <c r="P213" s="63" t="n">
        <v>427.33585</v>
      </c>
      <c r="Q213" s="63" t="n">
        <v>523.5717</v>
      </c>
      <c r="R213" s="63" t="n">
        <v>3663.6619</v>
      </c>
      <c r="S213" s="63" t="n">
        <v>2540.9924</v>
      </c>
      <c r="T213" s="63" t="n">
        <v>143.01227</v>
      </c>
      <c r="U213" s="63" t="n">
        <v>691.8219</v>
      </c>
      <c r="V213" s="63" t="n">
        <v>6545.3467</v>
      </c>
      <c r="W213" s="63" t="n">
        <v>4353.7583</v>
      </c>
      <c r="X213" s="63" t="n">
        <v>6937.723</v>
      </c>
      <c r="Y213" s="63" t="n">
        <v>1172.471</v>
      </c>
      <c r="Z213" s="63" t="n">
        <v>4058.85</v>
      </c>
      <c r="AA213" s="63" t="n">
        <v>1846.15</v>
      </c>
      <c r="AB213" s="63" t="n">
        <v>21267.6</v>
      </c>
      <c r="AC213" s="63" t="n">
        <v>17024</v>
      </c>
      <c r="AD213" s="63" t="n">
        <v>4434.997</v>
      </c>
      <c r="AE213" s="63" t="n">
        <v>2148.7405</v>
      </c>
      <c r="AF213" s="63" t="n">
        <v>139.77875</v>
      </c>
    </row>
    <row r="214" customFormat="false" ht="10.5" hidden="false" customHeight="true" outlineLevel="0" collapsed="false">
      <c r="A214" s="62"/>
      <c r="B214" s="62"/>
      <c r="C214" s="62"/>
      <c r="D214" s="62"/>
      <c r="E214" s="96" t="n">
        <f aca="false">E215+365</f>
        <v>46387</v>
      </c>
      <c r="F214" s="97" t="s">
        <v>207</v>
      </c>
      <c r="G214" s="4" t="str">
        <f aca="false">+TEXT(E214,"yyyy")&amp;F214</f>
        <v>2026Gross Profit</v>
      </c>
      <c r="H214" s="4" t="s">
        <v>28</v>
      </c>
      <c r="K214" s="63"/>
      <c r="L214" s="63" t="n">
        <v>1471</v>
      </c>
      <c r="M214" s="63" t="n">
        <v>1379.5</v>
      </c>
      <c r="N214" s="63" t="n">
        <v>417.2359</v>
      </c>
      <c r="O214" s="63" t="n">
        <v>86.65</v>
      </c>
      <c r="P214" s="63" t="n">
        <v>332.56183</v>
      </c>
      <c r="Q214" s="63" t="n">
        <v>471.49472</v>
      </c>
      <c r="R214" s="63" t="n">
        <v>3303.6912</v>
      </c>
      <c r="S214" s="63" t="n">
        <v>2119.6655</v>
      </c>
      <c r="T214" s="63" t="n">
        <v>118.72444</v>
      </c>
      <c r="U214" s="63" t="n">
        <v>575.9446</v>
      </c>
      <c r="V214" s="63" t="n">
        <v>6228.692</v>
      </c>
      <c r="W214" s="63" t="n">
        <v>4090.6323</v>
      </c>
      <c r="X214" s="63" t="n">
        <v>6470.772</v>
      </c>
      <c r="Y214" s="63" t="n">
        <v>1109.4204</v>
      </c>
      <c r="Z214" s="63" t="n">
        <v>3614.75</v>
      </c>
      <c r="AA214" s="63" t="n">
        <v>1751.45</v>
      </c>
      <c r="AB214" s="63" t="n">
        <v>20017.5</v>
      </c>
      <c r="AC214" s="63" t="n">
        <v>15542</v>
      </c>
      <c r="AD214" s="63" t="n">
        <v>4171.1177</v>
      </c>
      <c r="AE214" s="63" t="n">
        <v>1754.2247</v>
      </c>
      <c r="AF214" s="63" t="n">
        <v>109.14635</v>
      </c>
    </row>
    <row r="215" s="104" customFormat="true" ht="10.5" hidden="false" customHeight="true" outlineLevel="0" collapsed="false">
      <c r="A215" s="103"/>
      <c r="B215" s="103" t="s">
        <v>28</v>
      </c>
      <c r="C215" s="103"/>
      <c r="D215" s="103"/>
      <c r="E215" s="99" t="n">
        <f aca="false">+$F$3</f>
        <v>46022</v>
      </c>
      <c r="F215" s="100" t="s">
        <v>207</v>
      </c>
      <c r="G215" s="34" t="str">
        <f aca="false">+TEXT(E215,"yyyy")&amp;F215</f>
        <v>2025Gross Profit</v>
      </c>
      <c r="H215" s="34" t="s">
        <v>28</v>
      </c>
      <c r="I215" s="34"/>
      <c r="J215" s="34"/>
      <c r="K215" s="101"/>
      <c r="L215" s="102" t="n">
        <v>1299.495</v>
      </c>
      <c r="M215" s="102" t="n">
        <v>1339.9</v>
      </c>
      <c r="N215" s="102" t="n">
        <v>413.875</v>
      </c>
      <c r="O215" s="102" t="n">
        <v>33.99</v>
      </c>
      <c r="P215" s="102" t="n">
        <f aca="false">199.732*FX!D6</f>
        <v>240.92386084312</v>
      </c>
      <c r="Q215" s="102" t="n">
        <f aca="false">353.994*FX!D6</f>
        <v>427.00018622604</v>
      </c>
      <c r="R215" s="102" t="n">
        <f aca="false">2309*FX!D6</f>
        <v>2785.19813894</v>
      </c>
      <c r="S215" s="102" t="n">
        <f aca="false">2516640.411646*FX!D9</f>
        <v>1771.56385137409</v>
      </c>
      <c r="T215" s="102" t="n">
        <f aca="false">136202.62089*FX!D9</f>
        <v>95.8784729493066</v>
      </c>
      <c r="U215" s="102" t="n">
        <f aca="false">494.667*FX!D7</f>
        <v>558.96536991438</v>
      </c>
      <c r="V215" s="102" t="s">
        <v>208</v>
      </c>
      <c r="W215" s="102" t="s">
        <v>208</v>
      </c>
      <c r="X215" s="102" t="s">
        <v>208</v>
      </c>
      <c r="Y215" s="102" t="s">
        <v>208</v>
      </c>
      <c r="Z215" s="102" t="n">
        <v>1876.464</v>
      </c>
      <c r="AA215" s="102" t="n">
        <v>1564.365</v>
      </c>
      <c r="AB215" s="102" t="n">
        <v>18238</v>
      </c>
      <c r="AC215" s="102" t="n">
        <v>14523</v>
      </c>
      <c r="AD215" s="102" t="n">
        <v>3690</v>
      </c>
      <c r="AE215" s="102" t="n">
        <f aca="false">10018.512*FX!D11</f>
        <v>1394.07824905776</v>
      </c>
      <c r="AF215" s="102" t="n">
        <f aca="false">65.98*FX!D8</f>
        <v>86.989470364</v>
      </c>
    </row>
    <row r="216" customFormat="false" ht="10.5" hidden="false" customHeight="true" outlineLevel="0" collapsed="false">
      <c r="A216" s="62"/>
      <c r="B216" s="62"/>
      <c r="C216" s="62"/>
      <c r="D216" s="62"/>
      <c r="E216" s="96" t="n">
        <f aca="false">E215-366</f>
        <v>45656</v>
      </c>
      <c r="F216" s="97" t="s">
        <v>207</v>
      </c>
      <c r="G216" s="4" t="str">
        <f aca="false">+TEXT(E216,"yyyy")&amp;F216</f>
        <v>2024Gross Profit</v>
      </c>
      <c r="H216" s="4" t="s">
        <v>28</v>
      </c>
      <c r="K216" s="63"/>
      <c r="L216" s="64" t="n">
        <v>967.35</v>
      </c>
      <c r="M216" s="64" t="n">
        <v>1378.9</v>
      </c>
      <c r="N216" s="64" t="n">
        <v>439.108333333333</v>
      </c>
      <c r="O216" s="64" t="n">
        <v>108.309</v>
      </c>
      <c r="P216" s="64" t="n">
        <f aca="false">182.555*FX!C6</f>
        <v>207.4867627182</v>
      </c>
      <c r="Q216" s="64" t="n">
        <f aca="false">329.057*FX!C6</f>
        <v>373.99672252068</v>
      </c>
      <c r="R216" s="64" t="n">
        <f aca="false">1793*FX!C6</f>
        <v>2037.87223332</v>
      </c>
      <c r="S216" s="64" t="n">
        <f aca="false">1711184.700054*FX!C9</f>
        <v>1255.70155659363</v>
      </c>
      <c r="T216" s="64" t="n">
        <f aca="false">96162.795005*FX!C9</f>
        <v>70.5661822305691</v>
      </c>
      <c r="U216" s="64" t="n">
        <f aca="false">478.538*FX!C7</f>
        <v>517.96018535286</v>
      </c>
      <c r="V216" s="64" t="s">
        <v>208</v>
      </c>
      <c r="W216" s="64" t="s">
        <v>208</v>
      </c>
      <c r="X216" s="64" t="s">
        <v>208</v>
      </c>
      <c r="Y216" s="64" t="s">
        <v>208</v>
      </c>
      <c r="Z216" s="64" t="n">
        <v>1758.186</v>
      </c>
      <c r="AA216" s="64" t="n">
        <v>1537.659</v>
      </c>
      <c r="AB216" s="64" t="n">
        <v>17702</v>
      </c>
      <c r="AC216" s="64" t="n">
        <v>14206</v>
      </c>
      <c r="AD216" s="64" t="n">
        <v>3526</v>
      </c>
      <c r="AE216" s="64" t="n">
        <f aca="false">7650.82*FX!C11</f>
        <v>1063.3616885366</v>
      </c>
      <c r="AF216" s="64" t="n">
        <f aca="false">53.021*FX!C8</f>
        <v>67.79234148757</v>
      </c>
    </row>
    <row r="217" customFormat="false" ht="10.5" hidden="false" customHeight="true" outlineLevel="0" collapsed="false">
      <c r="A217" s="62"/>
      <c r="B217" s="62"/>
      <c r="C217" s="62"/>
      <c r="D217" s="62"/>
      <c r="E217" s="96" t="n">
        <f aca="false">E216-366</f>
        <v>45290</v>
      </c>
      <c r="F217" s="97" t="s">
        <v>207</v>
      </c>
      <c r="G217" s="4" t="str">
        <f aca="false">+TEXT(E217,"yyyy")&amp;F217</f>
        <v>2023Gross Profit</v>
      </c>
      <c r="H217" s="4" t="s">
        <v>28</v>
      </c>
      <c r="K217" s="63"/>
      <c r="L217" s="64" t="n">
        <v>1233.688</v>
      </c>
      <c r="M217" s="64" t="n">
        <v>1426.9</v>
      </c>
      <c r="N217" s="64" t="n">
        <v>439.75625</v>
      </c>
      <c r="O217" s="64" t="n">
        <v>140.202</v>
      </c>
      <c r="P217" s="64" t="n">
        <f aca="false">176.963*FX!B6</f>
        <v>196.9561735622</v>
      </c>
      <c r="Q217" s="64" t="n">
        <f aca="false">320.408*FX!B6</f>
        <v>356.6075035952</v>
      </c>
      <c r="R217" s="64" t="n">
        <f aca="false">1948*FX!B6</f>
        <v>2168.0838712</v>
      </c>
      <c r="S217" s="64" t="n">
        <f aca="false">1802764.561293*FX!B9</f>
        <v>1380.25063106276</v>
      </c>
      <c r="T217" s="64" t="n">
        <f aca="false">112115.158244*FX!B9</f>
        <v>85.8387286063537</v>
      </c>
      <c r="U217" s="64" t="n">
        <f aca="false">489.201*FX!B7</f>
        <v>528.95769506463</v>
      </c>
      <c r="V217" s="64" t="s">
        <v>208</v>
      </c>
      <c r="W217" s="64" t="s">
        <v>208</v>
      </c>
      <c r="X217" s="64" t="s">
        <v>208</v>
      </c>
      <c r="Y217" s="64" t="s">
        <v>208</v>
      </c>
      <c r="Z217" s="64" t="n">
        <v>1761.193</v>
      </c>
      <c r="AA217" s="64" t="n">
        <v>1539.691</v>
      </c>
      <c r="AB217" s="64" t="n">
        <v>17100</v>
      </c>
      <c r="AC217" s="64" t="n">
        <v>14034</v>
      </c>
      <c r="AD217" s="64" t="n">
        <v>3405</v>
      </c>
      <c r="AE217" s="64" t="n">
        <f aca="false">6827.901*FX!B11</f>
        <v>964.43821681059</v>
      </c>
      <c r="AF217" s="64" t="n">
        <f aca="false">39.727*FX!B8</f>
        <v>49.39559199568</v>
      </c>
    </row>
    <row r="218" customFormat="false" ht="10.5" hidden="false" customHeight="true" outlineLevel="0" collapsed="false">
      <c r="A218" s="31"/>
      <c r="B218" s="31"/>
      <c r="C218" s="31"/>
      <c r="D218" s="31"/>
      <c r="E218" s="97"/>
      <c r="F218" s="97"/>
      <c r="AE218" s="3"/>
      <c r="AF218" s="3"/>
    </row>
    <row r="219" customFormat="false" ht="10.5" hidden="false" customHeight="true" outlineLevel="0" collapsed="false">
      <c r="A219" s="62"/>
      <c r="B219" s="62" t="s">
        <v>28</v>
      </c>
      <c r="C219" s="62"/>
      <c r="D219" s="62"/>
      <c r="E219" s="96" t="n">
        <f aca="false">E220+365</f>
        <v>48212</v>
      </c>
      <c r="F219" s="97" t="s">
        <v>209</v>
      </c>
      <c r="G219" s="4" t="str">
        <f aca="false">+TEXT(E219,"yyyy")&amp;F219</f>
        <v>2031R&amp;D</v>
      </c>
      <c r="H219" s="4" t="s">
        <v>28</v>
      </c>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customFormat="false" ht="10.5" hidden="false" customHeight="true" outlineLevel="0" collapsed="false">
      <c r="A220" s="62"/>
      <c r="B220" s="62"/>
      <c r="C220" s="62"/>
      <c r="D220" s="62"/>
      <c r="E220" s="96" t="n">
        <f aca="false">E221+365</f>
        <v>47847</v>
      </c>
      <c r="F220" s="97" t="s">
        <v>209</v>
      </c>
      <c r="G220" s="4" t="str">
        <f aca="false">+TEXT(E220,"yyyy")&amp;F220</f>
        <v>2030R&amp;D</v>
      </c>
      <c r="H220" s="4" t="s">
        <v>28</v>
      </c>
      <c r="K220" s="63"/>
      <c r="L220" s="63"/>
      <c r="M220" s="63" t="n">
        <v>263.9</v>
      </c>
      <c r="N220" s="63" t="n">
        <v>23.024109</v>
      </c>
      <c r="O220" s="63" t="n">
        <v>15.5</v>
      </c>
      <c r="P220" s="63" t="n">
        <v>28.870752</v>
      </c>
      <c r="Q220" s="63" t="n">
        <v>82.59228</v>
      </c>
      <c r="R220" s="63" t="n">
        <v>272.87125</v>
      </c>
      <c r="S220" s="63"/>
      <c r="T220" s="63"/>
      <c r="U220" s="63"/>
      <c r="V220" s="63"/>
      <c r="W220" s="63"/>
      <c r="X220" s="63"/>
      <c r="Y220" s="63"/>
      <c r="Z220" s="63" t="n">
        <v>552</v>
      </c>
      <c r="AA220" s="63" t="n">
        <v>249.883</v>
      </c>
      <c r="AB220" s="63" t="n">
        <v>1509</v>
      </c>
      <c r="AC220" s="63" t="n">
        <v>2204.5</v>
      </c>
      <c r="AD220" s="63"/>
      <c r="AE220" s="63"/>
      <c r="AF220" s="63"/>
    </row>
    <row r="221" customFormat="false" ht="10.5" hidden="false" customHeight="true" outlineLevel="0" collapsed="false">
      <c r="A221" s="62"/>
      <c r="B221" s="62"/>
      <c r="C221" s="62"/>
      <c r="D221" s="62"/>
      <c r="E221" s="96" t="n">
        <f aca="false">E222+365</f>
        <v>47482</v>
      </c>
      <c r="F221" s="97" t="s">
        <v>209</v>
      </c>
      <c r="G221" s="4" t="str">
        <f aca="false">+TEXT(E221,"yyyy")&amp;F221</f>
        <v>2029R&amp;D</v>
      </c>
      <c r="H221" s="4" t="s">
        <v>28</v>
      </c>
      <c r="K221" s="63"/>
      <c r="L221" s="63" t="n">
        <v>236</v>
      </c>
      <c r="M221" s="63" t="n">
        <v>262.3</v>
      </c>
      <c r="N221" s="63" t="n">
        <v>22.331232</v>
      </c>
      <c r="O221" s="63" t="n">
        <v>15.2</v>
      </c>
      <c r="P221" s="63" t="n">
        <v>25.520771</v>
      </c>
      <c r="Q221" s="63" t="n">
        <v>76.86685</v>
      </c>
      <c r="R221" s="63" t="n">
        <v>242.41687</v>
      </c>
      <c r="S221" s="63"/>
      <c r="T221" s="63"/>
      <c r="U221" s="63"/>
      <c r="V221" s="63"/>
      <c r="W221" s="63"/>
      <c r="X221" s="63"/>
      <c r="Y221" s="63"/>
      <c r="Z221" s="63" t="n">
        <v>520</v>
      </c>
      <c r="AA221" s="63" t="n">
        <v>238.508</v>
      </c>
      <c r="AB221" s="63" t="n">
        <v>1621</v>
      </c>
      <c r="AC221" s="63" t="n">
        <v>2101</v>
      </c>
      <c r="AD221" s="63" t="n">
        <v>548.5123</v>
      </c>
      <c r="AE221" s="63"/>
      <c r="AF221" s="63" t="n">
        <v>40.1205</v>
      </c>
    </row>
    <row r="222" customFormat="false" ht="10.5" hidden="false" customHeight="true" outlineLevel="0" collapsed="false">
      <c r="A222" s="62"/>
      <c r="B222" s="62"/>
      <c r="C222" s="62"/>
      <c r="D222" s="62"/>
      <c r="E222" s="96" t="n">
        <f aca="false">E223+365</f>
        <v>47117</v>
      </c>
      <c r="F222" s="97" t="s">
        <v>209</v>
      </c>
      <c r="G222" s="4" t="str">
        <f aca="false">+TEXT(E222,"yyyy")&amp;F222</f>
        <v>2028R&amp;D</v>
      </c>
      <c r="H222" s="4" t="s">
        <v>28</v>
      </c>
      <c r="K222" s="63"/>
      <c r="L222" s="63" t="n">
        <v>223</v>
      </c>
      <c r="M222" s="63" t="n">
        <v>260.7</v>
      </c>
      <c r="N222" s="63" t="n">
        <v>20.67697</v>
      </c>
      <c r="O222" s="63" t="n">
        <v>14.7</v>
      </c>
      <c r="P222" s="63" t="n">
        <v>26.068949</v>
      </c>
      <c r="Q222" s="63" t="n">
        <v>69.43599</v>
      </c>
      <c r="R222" s="63" t="n">
        <v>170.54453</v>
      </c>
      <c r="S222" s="63" t="n">
        <v>2.895718</v>
      </c>
      <c r="T222" s="63"/>
      <c r="U222" s="63"/>
      <c r="V222" s="63"/>
      <c r="W222" s="63"/>
      <c r="X222" s="63"/>
      <c r="Y222" s="63"/>
      <c r="Z222" s="63" t="n">
        <v>489</v>
      </c>
      <c r="AA222" s="63" t="n">
        <v>225.25</v>
      </c>
      <c r="AB222" s="63" t="n">
        <v>1511</v>
      </c>
      <c r="AC222" s="63" t="n">
        <v>1950</v>
      </c>
      <c r="AD222" s="63" t="n">
        <v>518.41504</v>
      </c>
      <c r="AE222" s="63" t="n">
        <v>204.76285</v>
      </c>
      <c r="AF222" s="63" t="n">
        <v>24.0723</v>
      </c>
    </row>
    <row r="223" customFormat="false" ht="10.5" hidden="false" customHeight="true" outlineLevel="0" collapsed="false">
      <c r="A223" s="62"/>
      <c r="B223" s="62"/>
      <c r="C223" s="62"/>
      <c r="D223" s="62"/>
      <c r="E223" s="96" t="n">
        <f aca="false">E224+365</f>
        <v>46752</v>
      </c>
      <c r="F223" s="97" t="s">
        <v>209</v>
      </c>
      <c r="G223" s="4" t="str">
        <f aca="false">+TEXT(E223,"yyyy")&amp;F223</f>
        <v>2027R&amp;D</v>
      </c>
      <c r="H223" s="4" t="s">
        <v>28</v>
      </c>
      <c r="K223" s="63"/>
      <c r="L223" s="63" t="n">
        <v>213</v>
      </c>
      <c r="M223" s="63" t="n">
        <v>257.8</v>
      </c>
      <c r="N223" s="63" t="n">
        <v>23.070702</v>
      </c>
      <c r="O223" s="63" t="n">
        <v>14.2</v>
      </c>
      <c r="P223" s="63" t="n">
        <v>21.68352</v>
      </c>
      <c r="Q223" s="63" t="n">
        <v>65.05055</v>
      </c>
      <c r="R223" s="63" t="n">
        <v>157.7537</v>
      </c>
      <c r="S223" s="63" t="n">
        <v>2.1717885</v>
      </c>
      <c r="T223" s="63"/>
      <c r="U223" s="63"/>
      <c r="V223" s="63"/>
      <c r="W223" s="63"/>
      <c r="X223" s="63"/>
      <c r="Y223" s="63"/>
      <c r="Z223" s="63" t="n">
        <v>474.5</v>
      </c>
      <c r="AA223" s="63" t="n">
        <v>217.1</v>
      </c>
      <c r="AB223" s="63" t="n">
        <v>1489.5</v>
      </c>
      <c r="AC223" s="63" t="n">
        <v>1855</v>
      </c>
      <c r="AD223" s="63" t="n">
        <v>496.9411</v>
      </c>
      <c r="AE223" s="63" t="n">
        <v>175.04163</v>
      </c>
      <c r="AF223" s="63" t="n">
        <v>7.622895</v>
      </c>
    </row>
    <row r="224" customFormat="false" ht="10.5" hidden="false" customHeight="true" outlineLevel="0" collapsed="false">
      <c r="A224" s="62"/>
      <c r="B224" s="62"/>
      <c r="C224" s="62"/>
      <c r="D224" s="62"/>
      <c r="E224" s="96" t="n">
        <f aca="false">E225+365</f>
        <v>46387</v>
      </c>
      <c r="F224" s="97" t="s">
        <v>209</v>
      </c>
      <c r="G224" s="4" t="str">
        <f aca="false">+TEXT(E224,"yyyy")&amp;F224</f>
        <v>2026R&amp;D</v>
      </c>
      <c r="H224" s="4" t="s">
        <v>28</v>
      </c>
      <c r="K224" s="63"/>
      <c r="L224" s="63" t="n">
        <v>200.8</v>
      </c>
      <c r="M224" s="63" t="n">
        <v>253.1</v>
      </c>
      <c r="N224" s="63" t="n">
        <v>23.735342</v>
      </c>
      <c r="O224" s="63" t="n">
        <v>15.595</v>
      </c>
      <c r="P224" s="63" t="n">
        <v>15.958096</v>
      </c>
      <c r="Q224" s="63" t="n">
        <v>60.665127</v>
      </c>
      <c r="R224" s="63" t="n">
        <v>145.57193</v>
      </c>
      <c r="S224" s="63" t="n">
        <v>2.1717885</v>
      </c>
      <c r="T224" s="63"/>
      <c r="U224" s="63"/>
      <c r="V224" s="63"/>
      <c r="W224" s="63"/>
      <c r="X224" s="63"/>
      <c r="Y224" s="63"/>
      <c r="Z224" s="63" t="n">
        <v>439</v>
      </c>
      <c r="AA224" s="63" t="n">
        <v>210.534</v>
      </c>
      <c r="AB224" s="63" t="n">
        <v>1422.7</v>
      </c>
      <c r="AC224" s="63" t="n">
        <v>1689</v>
      </c>
      <c r="AD224" s="63" t="n">
        <v>475.67673</v>
      </c>
      <c r="AE224" s="63" t="n">
        <v>147.93407</v>
      </c>
      <c r="AF224" s="63" t="n">
        <v>7.22169</v>
      </c>
    </row>
    <row r="225" s="104" customFormat="true" ht="10.5" hidden="false" customHeight="true" outlineLevel="0" collapsed="false">
      <c r="A225" s="103"/>
      <c r="B225" s="103" t="s">
        <v>28</v>
      </c>
      <c r="C225" s="103"/>
      <c r="D225" s="103"/>
      <c r="E225" s="99" t="n">
        <f aca="false">+$F$3</f>
        <v>46022</v>
      </c>
      <c r="F225" s="100" t="s">
        <v>209</v>
      </c>
      <c r="G225" s="34" t="str">
        <f aca="false">+TEXT(E225,"yyyy")&amp;F225</f>
        <v>2025R&amp;D</v>
      </c>
      <c r="H225" s="34" t="s">
        <v>28</v>
      </c>
      <c r="I225" s="34"/>
      <c r="J225" s="34"/>
      <c r="K225" s="101"/>
      <c r="L225" s="102" t="n">
        <v>187.516</v>
      </c>
      <c r="M225" s="102" t="n">
        <v>275.6</v>
      </c>
      <c r="N225" s="102" t="n">
        <v>19.525</v>
      </c>
      <c r="O225" s="102" t="n">
        <v>17.402</v>
      </c>
      <c r="P225" s="102" t="n">
        <f aca="false">10.228*FX!D6</f>
        <v>12.33737833048</v>
      </c>
      <c r="Q225" s="102" t="n">
        <f aca="false">46.182*FX!D6</f>
        <v>55.70637525012</v>
      </c>
      <c r="R225" s="102" t="n">
        <f aca="false">112*FX!D6</f>
        <v>135.09839392</v>
      </c>
      <c r="S225" s="102" t="n">
        <f aca="false">37181.220139*FX!D9</f>
        <v>26.1733481046477</v>
      </c>
      <c r="T225" s="102" t="n">
        <f aca="false">23710.036*FX!D9</f>
        <v>16.69044274184</v>
      </c>
      <c r="U225" s="102" t="n">
        <f aca="false">37.8*FX!D7</f>
        <v>42.713362692</v>
      </c>
      <c r="V225" s="102" t="s">
        <v>208</v>
      </c>
      <c r="W225" s="102" t="s">
        <v>208</v>
      </c>
      <c r="X225" s="102" t="s">
        <v>208</v>
      </c>
      <c r="Y225" s="102" t="s">
        <v>208</v>
      </c>
      <c r="Z225" s="102" t="n">
        <v>195.711</v>
      </c>
      <c r="AA225" s="102" t="n">
        <v>215.84</v>
      </c>
      <c r="AB225" s="102" t="n">
        <v>1397</v>
      </c>
      <c r="AC225" s="102" t="n">
        <v>1598</v>
      </c>
      <c r="AD225" s="102" t="n">
        <v>459</v>
      </c>
      <c r="AE225" s="102" t="n">
        <f aca="false">853.374*FX!D11</f>
        <v>118.74718837602</v>
      </c>
      <c r="AF225" s="102" t="n">
        <f aca="false">5.062*FX!D8</f>
        <v>6.6738511516</v>
      </c>
    </row>
    <row r="226" customFormat="false" ht="10.5" hidden="false" customHeight="true" outlineLevel="0" collapsed="false">
      <c r="A226" s="62"/>
      <c r="B226" s="62"/>
      <c r="C226" s="62"/>
      <c r="D226" s="62"/>
      <c r="E226" s="96" t="n">
        <f aca="false">E225-366</f>
        <v>45656</v>
      </c>
      <c r="F226" s="97" t="s">
        <v>209</v>
      </c>
      <c r="G226" s="4" t="str">
        <f aca="false">+TEXT(E226,"yyyy")&amp;F226</f>
        <v>2024R&amp;D</v>
      </c>
      <c r="H226" s="4" t="s">
        <v>28</v>
      </c>
      <c r="K226" s="63"/>
      <c r="L226" s="64" t="n">
        <v>193.494</v>
      </c>
      <c r="M226" s="64" t="n">
        <v>295.9</v>
      </c>
      <c r="N226" s="64" t="n">
        <v>21.6833333333333</v>
      </c>
      <c r="O226" s="64" t="n">
        <v>19.221</v>
      </c>
      <c r="P226" s="64" t="n">
        <f aca="false">11.378*FX!C6</f>
        <v>12.93190756872</v>
      </c>
      <c r="Q226" s="64" t="n">
        <f aca="false">41.115*FX!C6</f>
        <v>46.7301265326</v>
      </c>
      <c r="R226" s="64" t="n">
        <f aca="false">102*FX!C6</f>
        <v>115.93026648</v>
      </c>
      <c r="S226" s="64" t="n">
        <f aca="false">36710.810368*FX!C9</f>
        <v>26.9391268642458</v>
      </c>
      <c r="T226" s="64" t="n">
        <f aca="false">22108.405*FX!C9</f>
        <v>16.2235897571</v>
      </c>
      <c r="U226" s="64" t="n">
        <f aca="false">25.8*FX!C7</f>
        <v>27.925416126</v>
      </c>
      <c r="V226" s="64" t="s">
        <v>208</v>
      </c>
      <c r="W226" s="64" t="s">
        <v>208</v>
      </c>
      <c r="X226" s="64" t="s">
        <v>208</v>
      </c>
      <c r="Y226" s="64" t="s">
        <v>208</v>
      </c>
      <c r="Z226" s="64" t="n">
        <v>183.027</v>
      </c>
      <c r="AA226" s="64" t="n">
        <v>196.844</v>
      </c>
      <c r="AB226" s="64" t="n">
        <v>1390</v>
      </c>
      <c r="AC226" s="64" t="n">
        <v>1584</v>
      </c>
      <c r="AD226" s="64" t="n">
        <v>464</v>
      </c>
      <c r="AE226" s="64" t="n">
        <f aca="false">766.443*FX!C11</f>
        <v>106.52532965709</v>
      </c>
      <c r="AF226" s="64" t="n">
        <f aca="false">4.544*FX!C8</f>
        <v>5.80993190848</v>
      </c>
    </row>
    <row r="227" customFormat="false" ht="10.5" hidden="false" customHeight="true" outlineLevel="0" collapsed="false">
      <c r="A227" s="62"/>
      <c r="B227" s="62"/>
      <c r="C227" s="62"/>
      <c r="D227" s="62"/>
      <c r="E227" s="96" t="n">
        <f aca="false">E226-366</f>
        <v>45290</v>
      </c>
      <c r="F227" s="97" t="s">
        <v>209</v>
      </c>
      <c r="G227" s="4" t="str">
        <f aca="false">+TEXT(E227,"yyyy")&amp;F227</f>
        <v>2023R&amp;D</v>
      </c>
      <c r="H227" s="4" t="s">
        <v>28</v>
      </c>
      <c r="K227" s="63"/>
      <c r="L227" s="64" t="n">
        <v>198.511</v>
      </c>
      <c r="M227" s="64" t="n">
        <v>247.4</v>
      </c>
      <c r="N227" s="64" t="n">
        <v>23.9745833333333</v>
      </c>
      <c r="O227" s="64" t="n">
        <v>17.28</v>
      </c>
      <c r="P227" s="64" t="n">
        <f aca="false">11.041*FX!B6</f>
        <v>12.2884055554</v>
      </c>
      <c r="Q227" s="64" t="n">
        <f aca="false">44.503*FX!B6</f>
        <v>49.5309222382</v>
      </c>
      <c r="R227" s="64" t="n">
        <f aca="false">105*FX!B6</f>
        <v>116.862837</v>
      </c>
      <c r="S227" s="64" t="n">
        <f aca="false">81587.987609*FX!B9</f>
        <v>62.4662109530787</v>
      </c>
      <c r="T227" s="64" t="n">
        <f aca="false">30449.585*FX!B9</f>
        <v>23.31311576355</v>
      </c>
      <c r="U227" s="64" t="n">
        <f aca="false">24.9*FX!B7</f>
        <v>26.923588887</v>
      </c>
      <c r="V227" s="64" t="s">
        <v>208</v>
      </c>
      <c r="W227" s="64" t="s">
        <v>208</v>
      </c>
      <c r="X227" s="64" t="s">
        <v>208</v>
      </c>
      <c r="Y227" s="64" t="s">
        <v>208</v>
      </c>
      <c r="Z227" s="64" t="n">
        <v>174.945</v>
      </c>
      <c r="AA227" s="64" t="n">
        <v>216.578</v>
      </c>
      <c r="AB227" s="64" t="n">
        <v>1337</v>
      </c>
      <c r="AC227" s="64" t="n">
        <v>1503</v>
      </c>
      <c r="AD227" s="64" t="n">
        <v>486</v>
      </c>
      <c r="AE227" s="64" t="n">
        <f aca="false">785.822*FX!B11</f>
        <v>110.99703531298</v>
      </c>
      <c r="AF227" s="64" t="n">
        <f aca="false">11.471*FX!B8</f>
        <v>14.26276426064</v>
      </c>
    </row>
    <row r="228" customFormat="false" ht="10.5" hidden="false" customHeight="true" outlineLevel="0" collapsed="false">
      <c r="A228" s="31"/>
      <c r="B228" s="31"/>
      <c r="C228" s="31"/>
      <c r="D228" s="31"/>
      <c r="E228" s="97"/>
      <c r="F228" s="97"/>
      <c r="AE228" s="3"/>
      <c r="AF228" s="3"/>
    </row>
    <row r="229" customFormat="false" ht="10.5" hidden="false" customHeight="true" outlineLevel="0" collapsed="false">
      <c r="A229" s="62"/>
      <c r="B229" s="62" t="s">
        <v>28</v>
      </c>
      <c r="C229" s="62"/>
      <c r="D229" s="62"/>
      <c r="E229" s="96" t="n">
        <f aca="false">E230+365</f>
        <v>48212</v>
      </c>
      <c r="F229" s="97" t="s">
        <v>210</v>
      </c>
      <c r="G229" s="4" t="str">
        <f aca="false">+TEXT(E229,"yyyy")&amp;F229</f>
        <v>2031SG&amp;A</v>
      </c>
      <c r="H229" s="4" t="s">
        <v>28</v>
      </c>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customFormat="false" ht="10.5" hidden="false" customHeight="true" outlineLevel="0" collapsed="false">
      <c r="A230" s="62"/>
      <c r="B230" s="62"/>
      <c r="C230" s="62"/>
      <c r="D230" s="62"/>
      <c r="E230" s="96" t="n">
        <f aca="false">E231+365</f>
        <v>47847</v>
      </c>
      <c r="F230" s="97" t="s">
        <v>210</v>
      </c>
      <c r="G230" s="4" t="str">
        <f aca="false">+TEXT(E230,"yyyy")&amp;F230</f>
        <v>2030SG&amp;A</v>
      </c>
      <c r="H230" s="4" t="s">
        <v>28</v>
      </c>
      <c r="K230" s="63"/>
      <c r="L230" s="63"/>
      <c r="M230" s="63" t="n">
        <v>916.6</v>
      </c>
      <c r="N230" s="63"/>
      <c r="O230" s="63" t="n">
        <v>128.2</v>
      </c>
      <c r="P230" s="63"/>
      <c r="Q230" s="63"/>
      <c r="R230" s="63"/>
      <c r="S230" s="63"/>
      <c r="T230" s="63"/>
      <c r="U230" s="63"/>
      <c r="V230" s="63"/>
      <c r="W230" s="63"/>
      <c r="X230" s="63"/>
      <c r="Y230" s="63"/>
      <c r="Z230" s="63" t="n">
        <v>1628</v>
      </c>
      <c r="AA230" s="63" t="n">
        <v>883.772</v>
      </c>
      <c r="AB230" s="63" t="n">
        <v>8450</v>
      </c>
      <c r="AC230" s="63" t="n">
        <v>7735.5</v>
      </c>
      <c r="AD230" s="63"/>
      <c r="AE230" s="63"/>
      <c r="AF230" s="63"/>
    </row>
    <row r="231" customFormat="false" ht="10.5" hidden="false" customHeight="true" outlineLevel="0" collapsed="false">
      <c r="A231" s="62"/>
      <c r="B231" s="62"/>
      <c r="C231" s="62"/>
      <c r="D231" s="62"/>
      <c r="E231" s="96" t="n">
        <f aca="false">E232+365</f>
        <v>47482</v>
      </c>
      <c r="F231" s="97" t="s">
        <v>210</v>
      </c>
      <c r="G231" s="4" t="str">
        <f aca="false">+TEXT(E231,"yyyy")&amp;F231</f>
        <v>2029SG&amp;A</v>
      </c>
      <c r="H231" s="4" t="s">
        <v>28</v>
      </c>
      <c r="K231" s="63"/>
      <c r="L231" s="63"/>
      <c r="M231" s="63" t="n">
        <v>900.1</v>
      </c>
      <c r="N231" s="63"/>
      <c r="O231" s="63" t="n">
        <v>121.5</v>
      </c>
      <c r="P231" s="63"/>
      <c r="Q231" s="63"/>
      <c r="R231" s="63"/>
      <c r="S231" s="63"/>
      <c r="T231" s="63"/>
      <c r="U231" s="63"/>
      <c r="V231" s="63"/>
      <c r="W231" s="63"/>
      <c r="X231" s="63"/>
      <c r="Y231" s="63"/>
      <c r="Z231" s="63" t="n">
        <v>1631</v>
      </c>
      <c r="AA231" s="63" t="n">
        <v>813.313</v>
      </c>
      <c r="AB231" s="63" t="n">
        <v>8346</v>
      </c>
      <c r="AC231" s="63" t="n">
        <v>7441.29</v>
      </c>
      <c r="AD231" s="63" t="n">
        <v>1877.0767</v>
      </c>
      <c r="AE231" s="63"/>
      <c r="AF231" s="63"/>
    </row>
    <row r="232" customFormat="false" ht="10.5" hidden="false" customHeight="true" outlineLevel="0" collapsed="false">
      <c r="A232" s="62"/>
      <c r="B232" s="62"/>
      <c r="C232" s="62"/>
      <c r="D232" s="62"/>
      <c r="E232" s="96" t="n">
        <f aca="false">E233+365</f>
        <v>47117</v>
      </c>
      <c r="F232" s="97" t="s">
        <v>210</v>
      </c>
      <c r="G232" s="4" t="str">
        <f aca="false">+TEXT(E232,"yyyy")&amp;F232</f>
        <v>2028SG&amp;A</v>
      </c>
      <c r="H232" s="4" t="s">
        <v>28</v>
      </c>
      <c r="K232" s="63"/>
      <c r="L232" s="63" t="n">
        <v>682.45</v>
      </c>
      <c r="M232" s="63" t="n">
        <v>883.9</v>
      </c>
      <c r="N232" s="63"/>
      <c r="O232" s="63" t="n">
        <v>117.5</v>
      </c>
      <c r="P232" s="63" t="n">
        <v>88.92679</v>
      </c>
      <c r="Q232" s="63"/>
      <c r="R232" s="63" t="n">
        <v>1538.5553</v>
      </c>
      <c r="S232" s="63" t="n">
        <v>449.19824</v>
      </c>
      <c r="T232" s="63" t="n">
        <v>81.44207</v>
      </c>
      <c r="U232" s="63"/>
      <c r="V232" s="63"/>
      <c r="W232" s="63"/>
      <c r="X232" s="63"/>
      <c r="Y232" s="63"/>
      <c r="Z232" s="63" t="n">
        <v>1501</v>
      </c>
      <c r="AA232" s="63" t="n">
        <v>788.652</v>
      </c>
      <c r="AB232" s="63" t="n">
        <v>8011</v>
      </c>
      <c r="AC232" s="63" t="n">
        <v>7102.45</v>
      </c>
      <c r="AD232" s="63" t="n">
        <v>1804.8442</v>
      </c>
      <c r="AE232" s="63" t="n">
        <v>664.6205</v>
      </c>
      <c r="AF232" s="63" t="n">
        <v>69.675934</v>
      </c>
    </row>
    <row r="233" customFormat="false" ht="10.5" hidden="false" customHeight="true" outlineLevel="0" collapsed="false">
      <c r="A233" s="62"/>
      <c r="B233" s="62"/>
      <c r="C233" s="62"/>
      <c r="D233" s="62"/>
      <c r="E233" s="96" t="n">
        <f aca="false">E234+365</f>
        <v>46752</v>
      </c>
      <c r="F233" s="97" t="s">
        <v>210</v>
      </c>
      <c r="G233" s="4" t="str">
        <f aca="false">+TEXT(E233,"yyyy")&amp;F233</f>
        <v>2027SG&amp;A</v>
      </c>
      <c r="H233" s="4" t="s">
        <v>28</v>
      </c>
      <c r="K233" s="63"/>
      <c r="L233" s="63" t="n">
        <v>647.1</v>
      </c>
      <c r="M233" s="63" t="n">
        <v>862.4</v>
      </c>
      <c r="N233" s="63" t="n">
        <v>330.0924</v>
      </c>
      <c r="O233" s="63" t="n">
        <v>125</v>
      </c>
      <c r="P233" s="63" t="n">
        <v>70.65416</v>
      </c>
      <c r="Q233" s="63"/>
      <c r="R233" s="63" t="n">
        <v>1402.1196</v>
      </c>
      <c r="S233" s="63" t="n">
        <v>424.2227</v>
      </c>
      <c r="T233" s="63" t="n">
        <v>67.68741</v>
      </c>
      <c r="U233" s="63"/>
      <c r="V233" s="63"/>
      <c r="W233" s="63"/>
      <c r="X233" s="63"/>
      <c r="Y233" s="63"/>
      <c r="Z233" s="63" t="n">
        <v>1473.5</v>
      </c>
      <c r="AA233" s="63" t="n">
        <v>754.8705</v>
      </c>
      <c r="AB233" s="63" t="n">
        <v>7607</v>
      </c>
      <c r="AC233" s="63" t="n">
        <v>6735.35</v>
      </c>
      <c r="AD233" s="63" t="n">
        <v>1732.7557</v>
      </c>
      <c r="AE233" s="63" t="n">
        <v>571.42426</v>
      </c>
      <c r="AF233" s="63" t="n">
        <v>60.581955</v>
      </c>
    </row>
    <row r="234" customFormat="false" ht="10.5" hidden="false" customHeight="true" outlineLevel="0" collapsed="false">
      <c r="A234" s="62"/>
      <c r="B234" s="62"/>
      <c r="C234" s="62"/>
      <c r="D234" s="62"/>
      <c r="E234" s="96" t="n">
        <f aca="false">E235+365</f>
        <v>46387</v>
      </c>
      <c r="F234" s="97" t="s">
        <v>210</v>
      </c>
      <c r="G234" s="4" t="str">
        <f aca="false">+TEXT(E234,"yyyy")&amp;F234</f>
        <v>2026SG&amp;A</v>
      </c>
      <c r="H234" s="4" t="s">
        <v>28</v>
      </c>
      <c r="K234" s="63"/>
      <c r="L234" s="63" t="n">
        <v>622.6</v>
      </c>
      <c r="M234" s="63" t="n">
        <v>845.3</v>
      </c>
      <c r="N234" s="63" t="n">
        <v>373.29727</v>
      </c>
      <c r="O234" s="63" t="n">
        <v>125.677</v>
      </c>
      <c r="P234" s="63" t="n">
        <v>59.690586</v>
      </c>
      <c r="Q234" s="63"/>
      <c r="R234" s="63" t="n">
        <v>1286.3931</v>
      </c>
      <c r="S234" s="63" t="n">
        <v>357.6212</v>
      </c>
      <c r="T234" s="63" t="n">
        <v>63.705795</v>
      </c>
      <c r="U234" s="63"/>
      <c r="V234" s="63"/>
      <c r="W234" s="63"/>
      <c r="X234" s="63"/>
      <c r="Y234" s="63"/>
      <c r="Z234" s="63" t="n">
        <v>1345</v>
      </c>
      <c r="AA234" s="63" t="n">
        <v>728.649</v>
      </c>
      <c r="AB234" s="63" t="n">
        <v>7347</v>
      </c>
      <c r="AC234" s="63" t="n">
        <v>6274.55</v>
      </c>
      <c r="AD234" s="63" t="n">
        <v>1650.2473</v>
      </c>
      <c r="AE234" s="63" t="n">
        <v>502.72192</v>
      </c>
      <c r="AF234" s="63" t="n">
        <v>58.04099</v>
      </c>
    </row>
    <row r="235" s="104" customFormat="true" ht="10.5" hidden="false" customHeight="true" outlineLevel="0" collapsed="false">
      <c r="A235" s="103"/>
      <c r="B235" s="103" t="s">
        <v>28</v>
      </c>
      <c r="C235" s="103"/>
      <c r="D235" s="103"/>
      <c r="E235" s="99" t="n">
        <f aca="false">+$F$3</f>
        <v>46022</v>
      </c>
      <c r="F235" s="100" t="s">
        <v>210</v>
      </c>
      <c r="G235" s="34" t="str">
        <f aca="false">+TEXT(E235,"yyyy")&amp;F235</f>
        <v>2025SG&amp;A</v>
      </c>
      <c r="H235" s="34" t="s">
        <v>28</v>
      </c>
      <c r="I235" s="34"/>
      <c r="J235" s="34"/>
      <c r="K235" s="101"/>
      <c r="L235" s="102" t="n">
        <v>583.669</v>
      </c>
      <c r="M235" s="102" t="n">
        <v>844.3</v>
      </c>
      <c r="N235" s="102" t="n">
        <v>407.658333333333</v>
      </c>
      <c r="O235" s="102" t="n">
        <v>145.118</v>
      </c>
      <c r="P235" s="102" t="n">
        <f aca="false">39.219*FX!D6</f>
        <v>47.30735634954</v>
      </c>
      <c r="Q235" s="102" t="n">
        <f aca="false">98.779*FX!D6</f>
        <v>119.15075225914</v>
      </c>
      <c r="R235" s="102" t="n">
        <f aca="false">916*FX!D6</f>
        <v>1104.91186456</v>
      </c>
      <c r="S235" s="102" t="n">
        <f aca="false">410237.924877*FX!D9</f>
        <v>288.782884837915</v>
      </c>
      <c r="T235" s="102" t="n">
        <f aca="false">57560.04114*FX!D9</f>
        <v>40.5188153600916</v>
      </c>
      <c r="U235" s="102" t="n">
        <f aca="false">240.7*FX!D7</f>
        <v>271.986941798</v>
      </c>
      <c r="V235" s="102" t="s">
        <v>208</v>
      </c>
      <c r="W235" s="102" t="s">
        <v>208</v>
      </c>
      <c r="X235" s="102" t="s">
        <v>208</v>
      </c>
      <c r="Y235" s="102" t="s">
        <v>208</v>
      </c>
      <c r="Z235" s="102" t="n">
        <v>830.374</v>
      </c>
      <c r="AA235" s="102" t="n">
        <v>991.89</v>
      </c>
      <c r="AB235" s="102" t="n">
        <v>8732</v>
      </c>
      <c r="AC235" s="102" t="n">
        <v>8235</v>
      </c>
      <c r="AD235" s="102" t="n">
        <v>1775</v>
      </c>
      <c r="AE235" s="102" t="n">
        <f aca="false">2313.306*FX!D11</f>
        <v>321.89706196038</v>
      </c>
      <c r="AF235" s="102" t="n">
        <f aca="false">43.723*FX!D8</f>
        <v>57.6453563614</v>
      </c>
    </row>
    <row r="236" customFormat="false" ht="10.5" hidden="false" customHeight="true" outlineLevel="0" collapsed="false">
      <c r="A236" s="62"/>
      <c r="B236" s="62"/>
      <c r="C236" s="62"/>
      <c r="D236" s="62"/>
      <c r="E236" s="96" t="n">
        <f aca="false">E235-366</f>
        <v>45656</v>
      </c>
      <c r="F236" s="97" t="s">
        <v>210</v>
      </c>
      <c r="G236" s="4" t="str">
        <f aca="false">+TEXT(E236,"yyyy")&amp;F236</f>
        <v>2024SG&amp;A</v>
      </c>
      <c r="H236" s="4" t="s">
        <v>28</v>
      </c>
      <c r="K236" s="63"/>
      <c r="L236" s="64" t="n">
        <v>564.361</v>
      </c>
      <c r="M236" s="64" t="n">
        <v>814</v>
      </c>
      <c r="N236" s="64" t="n">
        <v>394</v>
      </c>
      <c r="O236" s="64" t="n">
        <v>161.771</v>
      </c>
      <c r="P236" s="64" t="n">
        <f aca="false">39.234*FX!C6</f>
        <v>44.59223603016</v>
      </c>
      <c r="Q236" s="64" t="n">
        <f aca="false">98.361*FX!C6</f>
        <v>111.79428373764</v>
      </c>
      <c r="R236" s="64" t="n">
        <f aca="false">785*FX!C6</f>
        <v>892.2084234</v>
      </c>
      <c r="S236" s="64" t="n">
        <f aca="false">353107.509098*FX!C9</f>
        <v>259.117352326294</v>
      </c>
      <c r="T236" s="64" t="n">
        <f aca="false">46361.856813*FX!C9</f>
        <v>34.0212577665157</v>
      </c>
      <c r="U236" s="64" t="n">
        <f aca="false">245.2*FX!C7</f>
        <v>265.399691244</v>
      </c>
      <c r="V236" s="64" t="s">
        <v>208</v>
      </c>
      <c r="W236" s="64" t="s">
        <v>208</v>
      </c>
      <c r="X236" s="64" t="s">
        <v>208</v>
      </c>
      <c r="Y236" s="64" t="s">
        <v>208</v>
      </c>
      <c r="Z236" s="64" t="n">
        <v>690.148</v>
      </c>
      <c r="AA236" s="64" t="n">
        <v>994.074</v>
      </c>
      <c r="AB236" s="64" t="n">
        <v>8595</v>
      </c>
      <c r="AC236" s="64" t="n">
        <v>7759</v>
      </c>
      <c r="AD236" s="64" t="n">
        <v>1582</v>
      </c>
      <c r="AE236" s="64" t="n">
        <f aca="false">2147.115*FX!C11</f>
        <v>298.42027807245</v>
      </c>
      <c r="AF236" s="64" t="n">
        <f aca="false">35.776*FX!C8</f>
        <v>45.74298502592</v>
      </c>
    </row>
    <row r="237" customFormat="false" ht="10.5" hidden="false" customHeight="true" outlineLevel="0" collapsed="false">
      <c r="A237" s="62"/>
      <c r="B237" s="62"/>
      <c r="C237" s="62"/>
      <c r="D237" s="62"/>
      <c r="E237" s="96" t="n">
        <f aca="false">E236-366</f>
        <v>45290</v>
      </c>
      <c r="F237" s="97" t="s">
        <v>210</v>
      </c>
      <c r="G237" s="4" t="str">
        <f aca="false">+TEXT(E237,"yyyy")&amp;F237</f>
        <v>2023SG&amp;A</v>
      </c>
      <c r="H237" s="4" t="s">
        <v>28</v>
      </c>
      <c r="K237" s="63"/>
      <c r="L237" s="64" t="n">
        <v>579.166</v>
      </c>
      <c r="M237" s="64" t="n">
        <v>841.7</v>
      </c>
      <c r="N237" s="64" t="n">
        <v>365.967083333333</v>
      </c>
      <c r="O237" s="64" t="n">
        <v>151.39</v>
      </c>
      <c r="P237" s="64" t="n">
        <f aca="false">37.36*FX!B6</f>
        <v>41.580910384</v>
      </c>
      <c r="Q237" s="64" t="n">
        <f aca="false">108.823*FX!B6</f>
        <v>121.1177572462</v>
      </c>
      <c r="R237" s="64" t="n">
        <f aca="false">969*FX!B6</f>
        <v>1078.4770386</v>
      </c>
      <c r="S237" s="64" t="n">
        <f aca="false">607496.563969*FX!B9</f>
        <v>465.117594271585</v>
      </c>
      <c r="T237" s="64" t="n">
        <f aca="false">48153.911655*FX!B9</f>
        <v>36.8680793804177</v>
      </c>
      <c r="U237" s="64" t="n">
        <f aca="false">219.7*FX!B7</f>
        <v>237.554718011</v>
      </c>
      <c r="V237" s="64" t="s">
        <v>208</v>
      </c>
      <c r="W237" s="64" t="s">
        <v>208</v>
      </c>
      <c r="X237" s="64" t="s">
        <v>208</v>
      </c>
      <c r="Y237" s="64" t="s">
        <v>208</v>
      </c>
      <c r="Z237" s="64" t="n">
        <v>736.014</v>
      </c>
      <c r="AA237" s="64" t="n">
        <v>1022.551</v>
      </c>
      <c r="AB237" s="64" t="n">
        <v>8445</v>
      </c>
      <c r="AC237" s="64" t="n">
        <v>7329</v>
      </c>
      <c r="AD237" s="64" t="n">
        <v>1611</v>
      </c>
      <c r="AE237" s="64" t="n">
        <f aca="false">1789.361*FX!B11</f>
        <v>252.74650761199</v>
      </c>
      <c r="AF237" s="64" t="n">
        <f aca="false">30.804*FX!B8</f>
        <v>38.30094937536</v>
      </c>
    </row>
    <row r="238" customFormat="false" ht="10.5" hidden="false" customHeight="true" outlineLevel="0" collapsed="false">
      <c r="A238" s="31"/>
      <c r="B238" s="31"/>
      <c r="C238" s="31"/>
      <c r="D238" s="31"/>
      <c r="E238" s="97"/>
      <c r="F238" s="97"/>
      <c r="AE238" s="3"/>
      <c r="AF238" s="3"/>
    </row>
    <row r="239" customFormat="false" ht="10.5" hidden="false" customHeight="true" outlineLevel="0" collapsed="false">
      <c r="A239" s="62"/>
      <c r="B239" s="62" t="s">
        <v>28</v>
      </c>
      <c r="C239" s="62"/>
      <c r="D239" s="62"/>
      <c r="E239" s="96" t="s">
        <v>211</v>
      </c>
      <c r="F239" s="97" t="s">
        <v>211</v>
      </c>
      <c r="G239" s="4" t="str">
        <f aca="false">+TEXT(E239,"yyyy")&amp;F239</f>
        <v>EBIT (reported)EBIT (reported)</v>
      </c>
      <c r="H239" s="4" t="s">
        <v>28</v>
      </c>
      <c r="K239" s="63" t="s">
        <v>104</v>
      </c>
      <c r="L239" s="63" t="s">
        <v>104</v>
      </c>
      <c r="M239" s="63" t="s">
        <v>104</v>
      </c>
      <c r="N239" s="63" t="s">
        <v>104</v>
      </c>
      <c r="O239" s="63" t="s">
        <v>104</v>
      </c>
      <c r="P239" s="63" t="s">
        <v>104</v>
      </c>
      <c r="Q239" s="63" t="s">
        <v>104</v>
      </c>
      <c r="R239" s="63" t="s">
        <v>104</v>
      </c>
      <c r="S239" s="63" t="s">
        <v>104</v>
      </c>
      <c r="T239" s="63" t="s">
        <v>104</v>
      </c>
      <c r="U239" s="63" t="s">
        <v>104</v>
      </c>
      <c r="V239" s="63" t="s">
        <v>104</v>
      </c>
      <c r="W239" s="63" t="s">
        <v>104</v>
      </c>
      <c r="X239" s="63" t="s">
        <v>104</v>
      </c>
      <c r="Y239" s="63" t="s">
        <v>104</v>
      </c>
      <c r="Z239" s="63" t="s">
        <v>104</v>
      </c>
      <c r="AA239" s="63" t="s">
        <v>104</v>
      </c>
      <c r="AB239" s="63" t="s">
        <v>104</v>
      </c>
      <c r="AC239" s="63" t="s">
        <v>104</v>
      </c>
      <c r="AD239" s="63" t="s">
        <v>104</v>
      </c>
      <c r="AE239" s="63" t="s">
        <v>104</v>
      </c>
      <c r="AF239" s="63" t="s">
        <v>104</v>
      </c>
    </row>
    <row r="240" customFormat="false" ht="10.5" hidden="false" customHeight="true" outlineLevel="0" collapsed="false">
      <c r="A240" s="62"/>
      <c r="B240" s="62"/>
      <c r="C240" s="62"/>
      <c r="D240" s="62"/>
      <c r="E240" s="96" t="n">
        <f aca="false">E241+365</f>
        <v>47847</v>
      </c>
      <c r="F240" s="97" t="s">
        <v>211</v>
      </c>
      <c r="G240" s="4" t="str">
        <f aca="false">+TEXT(E240,"yyyy")&amp;F240</f>
        <v>2030EBIT (reported)</v>
      </c>
      <c r="H240" s="4" t="s">
        <v>28</v>
      </c>
      <c r="K240" s="63"/>
      <c r="L240" s="63"/>
      <c r="M240" s="63" t="n">
        <v>399.8</v>
      </c>
      <c r="N240" s="63" t="n">
        <v>35.704384</v>
      </c>
      <c r="O240" s="63"/>
      <c r="P240" s="63" t="n">
        <v>581.1914</v>
      </c>
      <c r="Q240" s="63" t="n">
        <v>414.27167</v>
      </c>
      <c r="R240" s="63" t="n">
        <v>3587.465</v>
      </c>
      <c r="S240" s="63" t="n">
        <v>2839.9753</v>
      </c>
      <c r="T240" s="63" t="n">
        <v>174.32222</v>
      </c>
      <c r="U240" s="63" t="n">
        <v>504.812</v>
      </c>
      <c r="V240" s="63"/>
      <c r="W240" s="63"/>
      <c r="X240" s="63"/>
      <c r="Y240" s="63"/>
      <c r="Z240" s="63" t="n">
        <v>2718</v>
      </c>
      <c r="AA240" s="63" t="n">
        <v>1086.123</v>
      </c>
      <c r="AB240" s="63" t="n">
        <v>14967</v>
      </c>
      <c r="AC240" s="63" t="n">
        <v>10664.5</v>
      </c>
      <c r="AD240" s="63"/>
      <c r="AE240" s="63" t="n">
        <v>2281.0671</v>
      </c>
      <c r="AF240" s="63" t="n">
        <v>94.550644</v>
      </c>
    </row>
    <row r="241" customFormat="false" ht="10.5" hidden="false" customHeight="true" outlineLevel="0" collapsed="false">
      <c r="A241" s="62"/>
      <c r="B241" s="62"/>
      <c r="C241" s="62"/>
      <c r="D241" s="62"/>
      <c r="E241" s="96" t="n">
        <f aca="false">E242+365</f>
        <v>47482</v>
      </c>
      <c r="F241" s="97" t="s">
        <v>211</v>
      </c>
      <c r="G241" s="4" t="str">
        <f aca="false">+TEXT(E241,"yyyy")&amp;F241</f>
        <v>2029EBIT (reported)</v>
      </c>
      <c r="H241" s="4" t="s">
        <v>28</v>
      </c>
      <c r="K241" s="63"/>
      <c r="L241" s="63" t="n">
        <v>821</v>
      </c>
      <c r="M241" s="63" t="n">
        <v>366.3</v>
      </c>
      <c r="N241" s="63" t="n">
        <v>27.252329</v>
      </c>
      <c r="O241" s="63"/>
      <c r="P241" s="63" t="n">
        <v>514.7399</v>
      </c>
      <c r="Q241" s="63" t="n">
        <v>401.64716</v>
      </c>
      <c r="R241" s="63" t="n">
        <v>3224.388</v>
      </c>
      <c r="S241" s="63" t="n">
        <v>2547.5078</v>
      </c>
      <c r="T241" s="63" t="n">
        <v>134.6509</v>
      </c>
      <c r="U241" s="63" t="n">
        <v>431.95844</v>
      </c>
      <c r="V241" s="63" t="n">
        <v>1822.3926</v>
      </c>
      <c r="W241" s="63" t="n">
        <v>1801.0313</v>
      </c>
      <c r="X241" s="63" t="n">
        <v>1451.6073</v>
      </c>
      <c r="Y241" s="63" t="n">
        <v>977.73395</v>
      </c>
      <c r="Z241" s="63" t="n">
        <v>2468.3</v>
      </c>
      <c r="AA241" s="63" t="n">
        <v>1035.86</v>
      </c>
      <c r="AB241" s="63" t="n">
        <v>14045</v>
      </c>
      <c r="AC241" s="63" t="n">
        <v>10046.5</v>
      </c>
      <c r="AD241" s="63" t="n">
        <v>2662.3218</v>
      </c>
      <c r="AE241" s="63" t="n">
        <v>2088.4397</v>
      </c>
      <c r="AF241" s="63" t="n">
        <v>68.4422</v>
      </c>
    </row>
    <row r="242" customFormat="false" ht="10.5" hidden="false" customHeight="true" outlineLevel="0" collapsed="false">
      <c r="A242" s="62"/>
      <c r="B242" s="62"/>
      <c r="C242" s="62"/>
      <c r="D242" s="62"/>
      <c r="E242" s="96" t="n">
        <f aca="false">E243+365</f>
        <v>47117</v>
      </c>
      <c r="F242" s="97" t="s">
        <v>211</v>
      </c>
      <c r="G242" s="4" t="str">
        <f aca="false">+TEXT(E242,"yyyy")&amp;F242</f>
        <v>2028EBIT (reported)</v>
      </c>
      <c r="H242" s="4" t="s">
        <v>28</v>
      </c>
      <c r="K242" s="63"/>
      <c r="L242" s="63" t="n">
        <v>776</v>
      </c>
      <c r="M242" s="63" t="n">
        <v>328.76923</v>
      </c>
      <c r="N242" s="63" t="n">
        <v>21.751852</v>
      </c>
      <c r="O242" s="63" t="n">
        <v>9.160214</v>
      </c>
      <c r="P242" s="63" t="n">
        <v>400.90146</v>
      </c>
      <c r="Q242" s="63" t="n">
        <v>358.33472</v>
      </c>
      <c r="R242" s="63" t="n">
        <v>2767.84</v>
      </c>
      <c r="S242" s="63" t="n">
        <v>2311.869</v>
      </c>
      <c r="T242" s="63" t="n">
        <v>94.653786</v>
      </c>
      <c r="U242" s="63" t="n">
        <v>313.2129</v>
      </c>
      <c r="V242" s="63" t="n">
        <v>1575.3075</v>
      </c>
      <c r="W242" s="63" t="n">
        <v>1740.1218</v>
      </c>
      <c r="X242" s="63" t="n">
        <v>1392.8221</v>
      </c>
      <c r="Y242" s="63" t="n">
        <v>991.08496</v>
      </c>
      <c r="Z242" s="63" t="n">
        <v>2278.253</v>
      </c>
      <c r="AA242" s="63" t="n">
        <v>957.2</v>
      </c>
      <c r="AB242" s="63" t="n">
        <v>13124.342</v>
      </c>
      <c r="AC242" s="63" t="n">
        <v>9020.009</v>
      </c>
      <c r="AD242" s="63" t="n">
        <v>2435.4355</v>
      </c>
      <c r="AE242" s="63" t="n">
        <v>1893.8918</v>
      </c>
      <c r="AF242" s="63" t="n">
        <v>36.25442</v>
      </c>
    </row>
    <row r="243" customFormat="false" ht="10.5" hidden="false" customHeight="true" outlineLevel="0" collapsed="false">
      <c r="A243" s="62"/>
      <c r="B243" s="62"/>
      <c r="C243" s="62"/>
      <c r="D243" s="62"/>
      <c r="E243" s="96" t="n">
        <f aca="false">E244+365</f>
        <v>46752</v>
      </c>
      <c r="F243" s="97" t="s">
        <v>211</v>
      </c>
      <c r="G243" s="4" t="str">
        <f aca="false">+TEXT(E243,"yyyy")&amp;F243</f>
        <v>2027EBIT (reported)</v>
      </c>
      <c r="H243" s="4" t="s">
        <v>28</v>
      </c>
      <c r="K243" s="63"/>
      <c r="L243" s="63" t="n">
        <v>714.09485</v>
      </c>
      <c r="M243" s="63" t="n">
        <v>312.85</v>
      </c>
      <c r="N243" s="63" t="n">
        <v>16.107874</v>
      </c>
      <c r="O243" s="63" t="n">
        <v>1.9</v>
      </c>
      <c r="P243" s="63" t="n">
        <v>329.92773</v>
      </c>
      <c r="Q243" s="63" t="n">
        <v>326.68582</v>
      </c>
      <c r="R243" s="63" t="n">
        <v>2379.0962</v>
      </c>
      <c r="S243" s="63" t="n">
        <v>2068.9905</v>
      </c>
      <c r="T243" s="63" t="n">
        <v>73.84081</v>
      </c>
      <c r="U243" s="63" t="n">
        <v>243.2276</v>
      </c>
      <c r="V243" s="63" t="n">
        <v>1409.3033</v>
      </c>
      <c r="W243" s="63" t="n">
        <v>1620.8916</v>
      </c>
      <c r="X243" s="63" t="n">
        <v>1304.4801</v>
      </c>
      <c r="Y243" s="63" t="n">
        <v>929.3026</v>
      </c>
      <c r="Z243" s="63" t="n">
        <v>2091</v>
      </c>
      <c r="AA243" s="63" t="n">
        <v>877</v>
      </c>
      <c r="AB243" s="63" t="n">
        <v>12074.454</v>
      </c>
      <c r="AC243" s="63" t="n">
        <v>8338.919</v>
      </c>
      <c r="AD243" s="63" t="n">
        <v>2231.9087</v>
      </c>
      <c r="AE243" s="63" t="n">
        <v>1541.5679</v>
      </c>
      <c r="AF243" s="63" t="n">
        <v>0.26747</v>
      </c>
    </row>
    <row r="244" customFormat="false" ht="10.5" hidden="false" customHeight="true" outlineLevel="0" collapsed="false">
      <c r="A244" s="62"/>
      <c r="B244" s="62"/>
      <c r="C244" s="62"/>
      <c r="D244" s="62"/>
      <c r="E244" s="96" t="n">
        <f aca="false">E245+365</f>
        <v>46387</v>
      </c>
      <c r="F244" s="97" t="s">
        <v>211</v>
      </c>
      <c r="G244" s="4" t="str">
        <f aca="false">+TEXT(E244,"yyyy")&amp;F244</f>
        <v>2026EBIT (reported)</v>
      </c>
      <c r="H244" s="4" t="s">
        <v>28</v>
      </c>
      <c r="K244" s="63"/>
      <c r="L244" s="63" t="n">
        <v>658.55</v>
      </c>
      <c r="M244" s="63" t="n">
        <v>282.908</v>
      </c>
      <c r="N244" s="63" t="n">
        <v>-2.0589042</v>
      </c>
      <c r="O244" s="63" t="n">
        <v>-14.3</v>
      </c>
      <c r="P244" s="63" t="n">
        <v>257.74234</v>
      </c>
      <c r="Q244" s="63" t="n">
        <v>285.1748</v>
      </c>
      <c r="R244" s="63" t="n">
        <v>2044.098</v>
      </c>
      <c r="S244" s="63" t="n">
        <v>1770.0076</v>
      </c>
      <c r="T244" s="63" t="n">
        <v>54.656677</v>
      </c>
      <c r="U244" s="63" t="n">
        <v>187.3541</v>
      </c>
      <c r="V244" s="63" t="n">
        <v>1286.6924</v>
      </c>
      <c r="W244" s="63" t="n">
        <v>1502.023</v>
      </c>
      <c r="X244" s="63" t="n">
        <v>1284.235</v>
      </c>
      <c r="Y244" s="63" t="n">
        <v>881.4996</v>
      </c>
      <c r="Z244" s="63" t="n">
        <v>1817</v>
      </c>
      <c r="AA244" s="63" t="n">
        <v>818.5221</v>
      </c>
      <c r="AB244" s="63" t="n">
        <v>11231.522</v>
      </c>
      <c r="AC244" s="63" t="n">
        <v>7556</v>
      </c>
      <c r="AD244" s="63" t="n">
        <v>2053.4138</v>
      </c>
      <c r="AE244" s="63" t="n">
        <v>1232.1403</v>
      </c>
      <c r="AF244" s="63" t="n">
        <v>-25.909151</v>
      </c>
    </row>
    <row r="245" customFormat="false" ht="10.5" hidden="false" customHeight="true" outlineLevel="0" collapsed="false">
      <c r="A245" s="62"/>
      <c r="B245" s="62" t="s">
        <v>28</v>
      </c>
      <c r="C245" s="62"/>
      <c r="D245" s="62"/>
      <c r="E245" s="99" t="n">
        <f aca="false">+$F$3</f>
        <v>46022</v>
      </c>
      <c r="F245" s="100" t="s">
        <v>211</v>
      </c>
      <c r="G245" s="34" t="str">
        <f aca="false">+TEXT(E245,"yyyy")&amp;F245</f>
        <v>2025EBIT (reported)</v>
      </c>
      <c r="H245" s="34" t="s">
        <v>28</v>
      </c>
      <c r="I245" s="34"/>
      <c r="J245" s="34"/>
      <c r="K245" s="101"/>
      <c r="L245" s="102" t="n">
        <v>465.851</v>
      </c>
      <c r="M245" s="102" t="n">
        <v>47.2</v>
      </c>
      <c r="N245" s="102" t="n">
        <v>-454.683333333333</v>
      </c>
      <c r="O245" s="102" t="n">
        <v>-215.266</v>
      </c>
      <c r="P245" s="102" t="n">
        <f aca="false">167.303*FX!D6</f>
        <v>201.80684462498</v>
      </c>
      <c r="Q245" s="102" t="n">
        <f aca="false">223.764*FX!D6</f>
        <v>269.91211622424</v>
      </c>
      <c r="R245" s="102" t="n">
        <f aca="false">1239*FX!D6</f>
        <v>1494.52598274</v>
      </c>
      <c r="S245" s="102" t="n">
        <f aca="false">2069221.26663*FX!D9</f>
        <v>1456.60761843152</v>
      </c>
      <c r="T245" s="102" t="n">
        <f aca="false">54932.54375*FX!D9</f>
        <v>38.669214847375</v>
      </c>
      <c r="U245" s="102" t="n">
        <f aca="false">185.784*FX!D7</f>
        <v>209.93278768176</v>
      </c>
      <c r="V245" s="102" t="n">
        <f aca="false">784.5*FX!D7</f>
        <v>886.47177333</v>
      </c>
      <c r="W245" s="102" t="n">
        <f aca="false">1014*FX!D6</f>
        <v>1223.12295924</v>
      </c>
      <c r="X245" s="102" t="n">
        <f aca="false">992.4*FX!D7</f>
        <v>1121.395268136</v>
      </c>
      <c r="Y245" s="102" t="n">
        <f aca="false">542.3*FX!D8</f>
        <v>714.98014214</v>
      </c>
      <c r="Z245" s="102" t="n">
        <v>802.588</v>
      </c>
      <c r="AA245" s="102" t="n">
        <v>356.635</v>
      </c>
      <c r="AB245" s="102" t="n">
        <v>7746</v>
      </c>
      <c r="AC245" s="102" t="n">
        <v>4690</v>
      </c>
      <c r="AD245" s="102" t="n">
        <v>1456</v>
      </c>
      <c r="AE245" s="102" t="n">
        <f aca="false">7399.966*FX!D11</f>
        <v>1029.70697089218</v>
      </c>
      <c r="AF245" s="102" t="n">
        <f aca="false">-22.484*FX!D8</f>
        <v>-29.6433957512</v>
      </c>
    </row>
    <row r="246" customFormat="false" ht="10.5" hidden="false" customHeight="true" outlineLevel="0" collapsed="false">
      <c r="A246" s="62"/>
      <c r="B246" s="62"/>
      <c r="C246" s="62"/>
      <c r="D246" s="62"/>
      <c r="E246" s="96" t="n">
        <f aca="false">E245-366</f>
        <v>45656</v>
      </c>
      <c r="F246" s="97" t="s">
        <v>211</v>
      </c>
      <c r="G246" s="4" t="str">
        <f aca="false">+TEXT(E246,"yyyy")&amp;F246</f>
        <v>2024EBIT (reported)</v>
      </c>
      <c r="H246" s="4" t="s">
        <v>28</v>
      </c>
      <c r="K246" s="63"/>
      <c r="L246" s="64" t="n">
        <v>97.711</v>
      </c>
      <c r="M246" s="64" t="n">
        <v>269</v>
      </c>
      <c r="N246" s="64" t="n">
        <v>-594.5</v>
      </c>
      <c r="O246" s="64" t="n">
        <v>-235.617</v>
      </c>
      <c r="P246" s="64" t="n">
        <f aca="false">133.048*FX!C6</f>
        <v>151.21853033952</v>
      </c>
      <c r="Q246" s="64" t="n">
        <f aca="false">199.26*FX!C6</f>
        <v>226.4731852824</v>
      </c>
      <c r="R246" s="64" t="n">
        <f aca="false">908*FX!C6</f>
        <v>1032.00668592</v>
      </c>
      <c r="S246" s="64" t="n">
        <f aca="false">1321366.380588*FX!C9</f>
        <v>969.645077403086</v>
      </c>
      <c r="T246" s="64" t="n">
        <f aca="false">27692.533192*FX!C9</f>
        <v>20.3213347069534</v>
      </c>
      <c r="U246" s="64" t="n">
        <f aca="false">179.545*FX!C7</f>
        <v>194.33600148615</v>
      </c>
      <c r="V246" s="64" t="n">
        <f aca="false">680.5*FX!C7</f>
        <v>736.559909835</v>
      </c>
      <c r="W246" s="64" t="n">
        <f aca="false">904*FX!C6</f>
        <v>1027.46040096</v>
      </c>
      <c r="X246" s="64" t="n">
        <f aca="false">933.4*FX!C7</f>
        <v>1010.293930698</v>
      </c>
      <c r="Y246" s="64" t="n">
        <f aca="false">535.7*FX!C8</f>
        <v>684.942896869</v>
      </c>
      <c r="Z246" s="64" t="n">
        <v>826.353</v>
      </c>
      <c r="AA246" s="64" t="n">
        <v>346.741</v>
      </c>
      <c r="AB246" s="64" t="n">
        <v>7337</v>
      </c>
      <c r="AC246" s="64" t="n">
        <v>4863</v>
      </c>
      <c r="AD246" s="64" t="n">
        <v>1480</v>
      </c>
      <c r="AE246" s="64" t="n">
        <f aca="false">4991.985*FX!C11</f>
        <v>693.81917216055</v>
      </c>
      <c r="AF246" s="64" t="n">
        <f aca="false">-39.375*FX!C8</f>
        <v>-50.34464544375</v>
      </c>
    </row>
    <row r="247" customFormat="false" ht="10.5" hidden="false" customHeight="true" outlineLevel="0" collapsed="false">
      <c r="A247" s="62"/>
      <c r="B247" s="62"/>
      <c r="C247" s="62"/>
      <c r="D247" s="62"/>
      <c r="E247" s="96" t="n">
        <f aca="false">E246-366</f>
        <v>45290</v>
      </c>
      <c r="F247" s="97" t="s">
        <v>211</v>
      </c>
      <c r="G247" s="4" t="str">
        <f aca="false">+TEXT(E247,"yyyy")&amp;F247</f>
        <v>2023EBIT (reported)</v>
      </c>
      <c r="H247" s="4" t="s">
        <v>28</v>
      </c>
      <c r="K247" s="63"/>
      <c r="L247" s="64" t="n">
        <v>409.938</v>
      </c>
      <c r="M247" s="64" t="n">
        <v>337.8</v>
      </c>
      <c r="N247" s="64" t="n">
        <v>49.8145833333333</v>
      </c>
      <c r="O247" s="64" t="n">
        <v>-31.648</v>
      </c>
      <c r="P247" s="64" t="n">
        <f aca="false">129.38*FX!B6</f>
        <v>143.997274772</v>
      </c>
      <c r="Q247" s="64" t="n">
        <f aca="false">172.068*FX!B6</f>
        <v>191.5081393992</v>
      </c>
      <c r="R247" s="64" t="n">
        <f aca="false">880*FX!B6</f>
        <v>979.421872</v>
      </c>
      <c r="S247" s="64" t="n">
        <f aca="false">1113680.009715*FX!B9</f>
        <v>852.666825838095</v>
      </c>
      <c r="T247" s="64" t="n">
        <f aca="false">33511.661589*FX!B9</f>
        <v>25.6575334623861</v>
      </c>
      <c r="U247" s="64" t="n">
        <f aca="false">220.254*FX!B7</f>
        <v>238.15374083202</v>
      </c>
      <c r="V247" s="64" t="n">
        <f aca="false">529.9*FX!B7</f>
        <v>572.964247037</v>
      </c>
      <c r="W247" s="64" t="n">
        <f aca="false">857*FX!B6</f>
        <v>953.8233458</v>
      </c>
      <c r="X247" s="64" t="n">
        <f aca="false">824.4*FX!B7</f>
        <v>891.397858572</v>
      </c>
      <c r="Y247" s="64" t="n">
        <f aca="false">486.2*FX!B8</f>
        <v>604.529333408</v>
      </c>
      <c r="Z247" s="64" t="n">
        <v>817.676</v>
      </c>
      <c r="AA247" s="64" t="n">
        <v>300.562</v>
      </c>
      <c r="AB247" s="64" t="n">
        <v>6859</v>
      </c>
      <c r="AC247" s="64" t="n">
        <v>5202</v>
      </c>
      <c r="AD247" s="64" t="n">
        <v>1308</v>
      </c>
      <c r="AE247" s="64" t="n">
        <f aca="false">4332.291*FX!B11</f>
        <v>611.93432751069</v>
      </c>
      <c r="AF247" s="64" t="n">
        <f aca="false">-184.174*FX!B8</f>
        <v>-228.99750195616</v>
      </c>
    </row>
    <row r="248" customFormat="false" ht="10.5" hidden="false" customHeight="true" outlineLevel="0" collapsed="false">
      <c r="A248" s="31"/>
      <c r="B248" s="31"/>
      <c r="C248" s="31"/>
      <c r="D248" s="31"/>
      <c r="E248" s="97"/>
      <c r="F248" s="97"/>
      <c r="AE248" s="3"/>
      <c r="AF248" s="3"/>
    </row>
    <row r="249" customFormat="false" ht="10.5" hidden="false" customHeight="true" outlineLevel="0" collapsed="false">
      <c r="A249" s="62"/>
      <c r="B249" s="62" t="s">
        <v>28</v>
      </c>
      <c r="C249" s="62"/>
      <c r="D249" s="62"/>
      <c r="E249" s="96" t="s">
        <v>212</v>
      </c>
      <c r="F249" s="97" t="s">
        <v>213</v>
      </c>
      <c r="G249" s="4" t="str">
        <f aca="false">+TEXT(E249,"yyyy")&amp;F249</f>
        <v>EBIT – pre-IFRS 16 basis (reported + adj. row below)EBIT</v>
      </c>
      <c r="H249" s="4" t="s">
        <v>28</v>
      </c>
      <c r="K249" s="63" t="str">
        <f aca="false">IFERROR(K239+K$330,"--")</f>
        <v>--</v>
      </c>
      <c r="L249" s="63" t="str">
        <f aca="false">IFERROR(L239+L$330,"--")</f>
        <v>--</v>
      </c>
      <c r="M249" s="63" t="str">
        <f aca="false">IFERROR(M239+M$330,"--")</f>
        <v>--</v>
      </c>
      <c r="N249" s="63" t="str">
        <f aca="false">IFERROR(N239+N$330,"--")</f>
        <v>--</v>
      </c>
      <c r="O249" s="63" t="str">
        <f aca="false">IFERROR(O239+O$330,"--")</f>
        <v>--</v>
      </c>
      <c r="P249" s="63" t="str">
        <f aca="false">IFERROR(P239+P$330,"--")</f>
        <v>--</v>
      </c>
      <c r="Q249" s="63" t="str">
        <f aca="false">IFERROR(Q239+Q$330,"--")</f>
        <v>--</v>
      </c>
      <c r="R249" s="63" t="str">
        <f aca="false">IFERROR(R239+R$330,"--")</f>
        <v>--</v>
      </c>
      <c r="S249" s="63" t="str">
        <f aca="false">IFERROR(S239+S$330,"--")</f>
        <v>--</v>
      </c>
      <c r="T249" s="63" t="str">
        <f aca="false">IFERROR(T239+T$330,"--")</f>
        <v>--</v>
      </c>
      <c r="U249" s="63" t="str">
        <f aca="false">IFERROR(U239+U$330,"--")</f>
        <v>--</v>
      </c>
      <c r="V249" s="63" t="str">
        <f aca="false">IFERROR(V239+V$330,"--")</f>
        <v>--</v>
      </c>
      <c r="W249" s="63" t="str">
        <f aca="false">IFERROR(W239+W$330,"--")</f>
        <v>--</v>
      </c>
      <c r="X249" s="63" t="str">
        <f aca="false">IFERROR(X239+X$330,"--")</f>
        <v>--</v>
      </c>
      <c r="Y249" s="63" t="str">
        <f aca="false">IFERROR(Y239+Y$330,"--")</f>
        <v>--</v>
      </c>
      <c r="Z249" s="63" t="str">
        <f aca="false">IFERROR(Z239+Z$330,"--")</f>
        <v>--</v>
      </c>
      <c r="AA249" s="63" t="str">
        <f aca="false">IFERROR(AA239+AA$330,"--")</f>
        <v>--</v>
      </c>
      <c r="AB249" s="63" t="str">
        <f aca="false">IFERROR(AB239+AB$330,"--")</f>
        <v>--</v>
      </c>
      <c r="AC249" s="63" t="str">
        <f aca="false">IFERROR(AC239+AC$330,"--")</f>
        <v>--</v>
      </c>
      <c r="AD249" s="63" t="str">
        <f aca="false">IFERROR(AD239+AD$330,"--")</f>
        <v>--</v>
      </c>
      <c r="AE249" s="63" t="str">
        <f aca="false">IFERROR(AE239+AE$330,"--")</f>
        <v>--</v>
      </c>
      <c r="AF249" s="63" t="str">
        <f aca="false">IFERROR(AF239+AF$330,"--")</f>
        <v>--</v>
      </c>
    </row>
    <row r="250" customFormat="false" ht="10.5" hidden="false" customHeight="true" outlineLevel="0" collapsed="false">
      <c r="A250" s="62"/>
      <c r="B250" s="62"/>
      <c r="C250" s="62"/>
      <c r="D250" s="62"/>
      <c r="E250" s="96" t="n">
        <f aca="false">E251+365</f>
        <v>47847</v>
      </c>
      <c r="F250" s="97" t="s">
        <v>213</v>
      </c>
      <c r="G250" s="4" t="str">
        <f aca="false">+TEXT(E250,"yyyy")&amp;F250</f>
        <v>2030EBIT</v>
      </c>
      <c r="H250" s="4" t="s">
        <v>28</v>
      </c>
      <c r="K250" s="63" t="n">
        <f aca="false">IFERROR(K240+K$330,"--")</f>
        <v>0</v>
      </c>
      <c r="L250" s="63" t="n">
        <f aca="false">IFERROR(L240+L$330,"--")</f>
        <v>0</v>
      </c>
      <c r="M250" s="63" t="n">
        <f aca="false">IFERROR(M240+M$330,"--")</f>
        <v>399.8</v>
      </c>
      <c r="N250" s="63" t="n">
        <f aca="false">IFERROR(N240+N$330,"--")</f>
        <v>35.704384</v>
      </c>
      <c r="O250" s="63" t="n">
        <f aca="false">IFERROR(O240+O$330,"--")</f>
        <v>0</v>
      </c>
      <c r="P250" s="63" t="n">
        <f aca="false">IFERROR(P240+P$330,"--")</f>
        <v>581.1914</v>
      </c>
      <c r="Q250" s="63" t="n">
        <f aca="false">IFERROR(Q240+Q$330,"--")</f>
        <v>414.27167</v>
      </c>
      <c r="R250" s="63" t="n">
        <f aca="false">IFERROR(R240+R$330,"--")</f>
        <v>3570.42113484</v>
      </c>
      <c r="S250" s="63" t="n">
        <f aca="false">IFERROR(S240+S$330,"--")</f>
        <v>2837.09673432415</v>
      </c>
      <c r="T250" s="63" t="n">
        <f aca="false">IFERROR(T240+T$330,"--")</f>
        <v>174.23196037796</v>
      </c>
      <c r="U250" s="63" t="n">
        <f aca="false">IFERROR(U240+U$330,"--")</f>
        <v>504.812</v>
      </c>
      <c r="V250" s="63" t="n">
        <f aca="false">IFERROR(V240+V$330,"--")</f>
        <v>-23.5545</v>
      </c>
      <c r="W250" s="63" t="n">
        <f aca="false">IFERROR(W240+W$330,"--")</f>
        <v>-24.3483788</v>
      </c>
      <c r="X250" s="63" t="n">
        <f aca="false">IFERROR(X240+X$330,"--")</f>
        <v>-25.7376</v>
      </c>
      <c r="Y250" s="63" t="n">
        <f aca="false">IFERROR(Y240+Y$330,"--")</f>
        <v>-15.436285895</v>
      </c>
      <c r="Z250" s="63" t="n">
        <f aca="false">IFERROR(Z240+Z$330,"--")</f>
        <v>2718</v>
      </c>
      <c r="AA250" s="63" t="n">
        <f aca="false">IFERROR(AA240+AA$330,"--")</f>
        <v>1086.123</v>
      </c>
      <c r="AB250" s="63" t="n">
        <f aca="false">IFERROR(AB240+AB$330,"--")</f>
        <v>14967</v>
      </c>
      <c r="AC250" s="63" t="n">
        <f aca="false">IFERROR(AC240+AC$330,"--")</f>
        <v>10664.5</v>
      </c>
      <c r="AD250" s="63" t="n">
        <f aca="false">IFERROR(AD240+AD$330,"--")</f>
        <v>0</v>
      </c>
      <c r="AE250" s="63" t="n">
        <f aca="false">IFERROR(AE240+AE$330,"--")</f>
        <v>2269.6443102912</v>
      </c>
      <c r="AF250" s="63" t="n">
        <f aca="false">IFERROR(AF240+AF$330,"--")</f>
        <v>82.95214668687</v>
      </c>
    </row>
    <row r="251" customFormat="false" ht="10.5" hidden="false" customHeight="true" outlineLevel="0" collapsed="false">
      <c r="A251" s="62"/>
      <c r="B251" s="62"/>
      <c r="C251" s="62"/>
      <c r="D251" s="62"/>
      <c r="E251" s="96" t="n">
        <f aca="false">E252+365</f>
        <v>47482</v>
      </c>
      <c r="F251" s="97" t="s">
        <v>213</v>
      </c>
      <c r="G251" s="4" t="str">
        <f aca="false">+TEXT(E251,"yyyy")&amp;F251</f>
        <v>2029EBIT</v>
      </c>
      <c r="H251" s="4" t="s">
        <v>28</v>
      </c>
      <c r="K251" s="63" t="n">
        <f aca="false">IFERROR(K241+K$330,"--")</f>
        <v>0</v>
      </c>
      <c r="L251" s="63" t="n">
        <f aca="false">IFERROR(L241+L$330,"--")</f>
        <v>821</v>
      </c>
      <c r="M251" s="63" t="n">
        <f aca="false">IFERROR(M241+M$330,"--")</f>
        <v>366.3</v>
      </c>
      <c r="N251" s="63" t="n">
        <f aca="false">IFERROR(N241+N$330,"--")</f>
        <v>27.252329</v>
      </c>
      <c r="O251" s="63" t="n">
        <f aca="false">IFERROR(O241+O$330,"--")</f>
        <v>0</v>
      </c>
      <c r="P251" s="63" t="n">
        <f aca="false">IFERROR(P241+P$330,"--")</f>
        <v>514.7399</v>
      </c>
      <c r="Q251" s="63" t="n">
        <f aca="false">IFERROR(Q241+Q$330,"--")</f>
        <v>401.64716</v>
      </c>
      <c r="R251" s="63" t="n">
        <f aca="false">IFERROR(R241+R$330,"--")</f>
        <v>3207.34413484</v>
      </c>
      <c r="S251" s="63" t="n">
        <f aca="false">IFERROR(S241+S$330,"--")</f>
        <v>2544.62923432415</v>
      </c>
      <c r="T251" s="63" t="n">
        <f aca="false">IFERROR(T241+T$330,"--")</f>
        <v>134.56064037796</v>
      </c>
      <c r="U251" s="63" t="n">
        <f aca="false">IFERROR(U241+U$330,"--")</f>
        <v>431.95844</v>
      </c>
      <c r="V251" s="63" t="n">
        <f aca="false">IFERROR(V241+V$330,"--")</f>
        <v>1798.8381</v>
      </c>
      <c r="W251" s="63" t="n">
        <f aca="false">IFERROR(W241+W$330,"--")</f>
        <v>1776.6829212</v>
      </c>
      <c r="X251" s="63" t="n">
        <f aca="false">IFERROR(X241+X$330,"--")</f>
        <v>1425.8697</v>
      </c>
      <c r="Y251" s="63" t="n">
        <f aca="false">IFERROR(Y241+Y$330,"--")</f>
        <v>962.297664105</v>
      </c>
      <c r="Z251" s="63" t="n">
        <f aca="false">IFERROR(Z241+Z$330,"--")</f>
        <v>2468.3</v>
      </c>
      <c r="AA251" s="63" t="n">
        <f aca="false">IFERROR(AA241+AA$330,"--")</f>
        <v>1035.86</v>
      </c>
      <c r="AB251" s="63" t="n">
        <f aca="false">IFERROR(AB241+AB$330,"--")</f>
        <v>14045</v>
      </c>
      <c r="AC251" s="63" t="n">
        <f aca="false">IFERROR(AC241+AC$330,"--")</f>
        <v>10046.5</v>
      </c>
      <c r="AD251" s="63" t="n">
        <f aca="false">IFERROR(AD241+AD$330,"--")</f>
        <v>2662.3218</v>
      </c>
      <c r="AE251" s="63" t="n">
        <f aca="false">IFERROR(AE241+AE$330,"--")</f>
        <v>2077.0169102912</v>
      </c>
      <c r="AF251" s="63" t="n">
        <f aca="false">IFERROR(AF241+AF$330,"--")</f>
        <v>56.84370268687</v>
      </c>
    </row>
    <row r="252" customFormat="false" ht="10.5" hidden="false" customHeight="true" outlineLevel="0" collapsed="false">
      <c r="A252" s="62"/>
      <c r="B252" s="62"/>
      <c r="C252" s="62"/>
      <c r="D252" s="62"/>
      <c r="E252" s="96" t="n">
        <f aca="false">E253+365</f>
        <v>47117</v>
      </c>
      <c r="F252" s="97" t="s">
        <v>213</v>
      </c>
      <c r="G252" s="4" t="str">
        <f aca="false">+TEXT(E252,"yyyy")&amp;F252</f>
        <v>2028EBIT</v>
      </c>
      <c r="H252" s="4" t="s">
        <v>28</v>
      </c>
      <c r="K252" s="63" t="n">
        <f aca="false">IFERROR(K242+K$330,"--")</f>
        <v>0</v>
      </c>
      <c r="L252" s="63" t="n">
        <f aca="false">IFERROR(L242+L$330,"--")</f>
        <v>776</v>
      </c>
      <c r="M252" s="63" t="n">
        <f aca="false">IFERROR(M242+M$330,"--")</f>
        <v>328.76923</v>
      </c>
      <c r="N252" s="63" t="n">
        <f aca="false">IFERROR(N242+N$330,"--")</f>
        <v>21.751852</v>
      </c>
      <c r="O252" s="63" t="n">
        <f aca="false">IFERROR(O242+O$330,"--")</f>
        <v>9.160214</v>
      </c>
      <c r="P252" s="63" t="n">
        <f aca="false">IFERROR(P242+P$330,"--")</f>
        <v>400.90146</v>
      </c>
      <c r="Q252" s="63" t="n">
        <f aca="false">IFERROR(Q242+Q$330,"--")</f>
        <v>358.33472</v>
      </c>
      <c r="R252" s="63" t="n">
        <f aca="false">IFERROR(R242+R$330,"--")</f>
        <v>2750.79613484</v>
      </c>
      <c r="S252" s="63" t="n">
        <f aca="false">IFERROR(S242+S$330,"--")</f>
        <v>2308.99043432415</v>
      </c>
      <c r="T252" s="63" t="n">
        <f aca="false">IFERROR(T242+T$330,"--")</f>
        <v>94.56352637796</v>
      </c>
      <c r="U252" s="63" t="n">
        <f aca="false">IFERROR(U242+U$330,"--")</f>
        <v>313.2129</v>
      </c>
      <c r="V252" s="63" t="n">
        <f aca="false">IFERROR(V242+V$330,"--")</f>
        <v>1551.753</v>
      </c>
      <c r="W252" s="63" t="n">
        <f aca="false">IFERROR(W242+W$330,"--")</f>
        <v>1715.7734212</v>
      </c>
      <c r="X252" s="63" t="n">
        <f aca="false">IFERROR(X242+X$330,"--")</f>
        <v>1367.0845</v>
      </c>
      <c r="Y252" s="63" t="n">
        <f aca="false">IFERROR(Y242+Y$330,"--")</f>
        <v>975.648674105</v>
      </c>
      <c r="Z252" s="63" t="n">
        <f aca="false">IFERROR(Z242+Z$330,"--")</f>
        <v>2278.253</v>
      </c>
      <c r="AA252" s="63" t="n">
        <f aca="false">IFERROR(AA242+AA$330,"--")</f>
        <v>957.2</v>
      </c>
      <c r="AB252" s="63" t="n">
        <f aca="false">IFERROR(AB242+AB$330,"--")</f>
        <v>13124.342</v>
      </c>
      <c r="AC252" s="63" t="n">
        <f aca="false">IFERROR(AC242+AC$330,"--")</f>
        <v>9020.009</v>
      </c>
      <c r="AD252" s="63" t="n">
        <f aca="false">IFERROR(AD242+AD$330,"--")</f>
        <v>2435.4355</v>
      </c>
      <c r="AE252" s="63" t="n">
        <f aca="false">IFERROR(AE242+AE$330,"--")</f>
        <v>1882.4690102912</v>
      </c>
      <c r="AF252" s="63" t="n">
        <f aca="false">IFERROR(AF242+AF$330,"--")</f>
        <v>24.65592268687</v>
      </c>
    </row>
    <row r="253" customFormat="false" ht="10.5" hidden="false" customHeight="true" outlineLevel="0" collapsed="false">
      <c r="A253" s="62"/>
      <c r="B253" s="62"/>
      <c r="C253" s="62"/>
      <c r="D253" s="62"/>
      <c r="E253" s="96" t="n">
        <f aca="false">E254+365</f>
        <v>46752</v>
      </c>
      <c r="F253" s="97" t="s">
        <v>213</v>
      </c>
      <c r="G253" s="4" t="str">
        <f aca="false">+TEXT(E253,"yyyy")&amp;F253</f>
        <v>2027EBIT</v>
      </c>
      <c r="H253" s="4" t="s">
        <v>28</v>
      </c>
      <c r="K253" s="63" t="n">
        <f aca="false">IFERROR(K243+K$330,"--")</f>
        <v>0</v>
      </c>
      <c r="L253" s="63" t="n">
        <f aca="false">IFERROR(L243+L$330,"--")</f>
        <v>714.09485</v>
      </c>
      <c r="M253" s="63" t="n">
        <f aca="false">IFERROR(M243+M$330,"--")</f>
        <v>312.85</v>
      </c>
      <c r="N253" s="63" t="n">
        <f aca="false">IFERROR(N243+N$330,"--")</f>
        <v>16.107874</v>
      </c>
      <c r="O253" s="63" t="n">
        <f aca="false">IFERROR(O243+O$330,"--")</f>
        <v>1.9</v>
      </c>
      <c r="P253" s="63" t="n">
        <f aca="false">IFERROR(P243+P$330,"--")</f>
        <v>329.92773</v>
      </c>
      <c r="Q253" s="63" t="n">
        <f aca="false">IFERROR(Q243+Q$330,"--")</f>
        <v>326.68582</v>
      </c>
      <c r="R253" s="63" t="n">
        <f aca="false">IFERROR(R243+R$330,"--")</f>
        <v>2362.05233484</v>
      </c>
      <c r="S253" s="63" t="n">
        <f aca="false">IFERROR(S243+S$330,"--")</f>
        <v>2066.11193432415</v>
      </c>
      <c r="T253" s="63" t="n">
        <f aca="false">IFERROR(T243+T$330,"--")</f>
        <v>73.75055037796</v>
      </c>
      <c r="U253" s="63" t="n">
        <f aca="false">IFERROR(U243+U$330,"--")</f>
        <v>243.2276</v>
      </c>
      <c r="V253" s="63" t="n">
        <f aca="false">IFERROR(V243+V$330,"--")</f>
        <v>1385.7488</v>
      </c>
      <c r="W253" s="63" t="n">
        <f aca="false">IFERROR(W243+W$330,"--")</f>
        <v>1596.5432212</v>
      </c>
      <c r="X253" s="63" t="n">
        <f aca="false">IFERROR(X243+X$330,"--")</f>
        <v>1278.7425</v>
      </c>
      <c r="Y253" s="63" t="n">
        <f aca="false">IFERROR(Y243+Y$330,"--")</f>
        <v>913.866314105</v>
      </c>
      <c r="Z253" s="63" t="n">
        <f aca="false">IFERROR(Z243+Z$330,"--")</f>
        <v>2091</v>
      </c>
      <c r="AA253" s="63" t="n">
        <f aca="false">IFERROR(AA243+AA$330,"--")</f>
        <v>877</v>
      </c>
      <c r="AB253" s="63" t="n">
        <f aca="false">IFERROR(AB243+AB$330,"--")</f>
        <v>12074.454</v>
      </c>
      <c r="AC253" s="63" t="n">
        <f aca="false">IFERROR(AC243+AC$330,"--")</f>
        <v>8338.919</v>
      </c>
      <c r="AD253" s="63" t="n">
        <f aca="false">IFERROR(AD243+AD$330,"--")</f>
        <v>2231.9087</v>
      </c>
      <c r="AE253" s="63" t="n">
        <f aca="false">IFERROR(AE243+AE$330,"--")</f>
        <v>1530.1451102912</v>
      </c>
      <c r="AF253" s="63" t="n">
        <f aca="false">IFERROR(AF243+AF$330,"--")</f>
        <v>-11.33102731313</v>
      </c>
    </row>
    <row r="254" customFormat="false" ht="10.5" hidden="false" customHeight="true" outlineLevel="0" collapsed="false">
      <c r="A254" s="62"/>
      <c r="B254" s="62"/>
      <c r="C254" s="62"/>
      <c r="D254" s="62"/>
      <c r="E254" s="96" t="n">
        <f aca="false">E255+365</f>
        <v>46387</v>
      </c>
      <c r="F254" s="97" t="s">
        <v>213</v>
      </c>
      <c r="G254" s="4" t="str">
        <f aca="false">+TEXT(E254,"yyyy")&amp;F254</f>
        <v>2026EBIT</v>
      </c>
      <c r="H254" s="4" t="s">
        <v>28</v>
      </c>
      <c r="K254" s="63" t="n">
        <f aca="false">IFERROR(K244+K$330,"--")</f>
        <v>0</v>
      </c>
      <c r="L254" s="63" t="n">
        <f aca="false">IFERROR(L244+L$330,"--")</f>
        <v>658.55</v>
      </c>
      <c r="M254" s="63" t="n">
        <f aca="false">IFERROR(M244+M$330,"--")</f>
        <v>282.908</v>
      </c>
      <c r="N254" s="63" t="n">
        <f aca="false">IFERROR(N244+N$330,"--")</f>
        <v>-2.0589042</v>
      </c>
      <c r="O254" s="63" t="n">
        <f aca="false">IFERROR(O244+O$330,"--")</f>
        <v>-14.3</v>
      </c>
      <c r="P254" s="63" t="n">
        <f aca="false">IFERROR(P244+P$330,"--")</f>
        <v>257.74234</v>
      </c>
      <c r="Q254" s="63" t="n">
        <f aca="false">IFERROR(Q244+Q$330,"--")</f>
        <v>285.1748</v>
      </c>
      <c r="R254" s="63" t="n">
        <f aca="false">IFERROR(R244+R$330,"--")</f>
        <v>2027.05413484</v>
      </c>
      <c r="S254" s="63" t="n">
        <f aca="false">IFERROR(S244+S$330,"--")</f>
        <v>1767.12903432415</v>
      </c>
      <c r="T254" s="63" t="n">
        <f aca="false">IFERROR(T244+T$330,"--")</f>
        <v>54.56641737796</v>
      </c>
      <c r="U254" s="63" t="n">
        <f aca="false">IFERROR(U244+U$330,"--")</f>
        <v>187.3541</v>
      </c>
      <c r="V254" s="63" t="n">
        <f aca="false">IFERROR(V244+V$330,"--")</f>
        <v>1263.1379</v>
      </c>
      <c r="W254" s="63" t="n">
        <f aca="false">IFERROR(W244+W$330,"--")</f>
        <v>1477.6746212</v>
      </c>
      <c r="X254" s="63" t="n">
        <f aca="false">IFERROR(X244+X$330,"--")</f>
        <v>1258.4974</v>
      </c>
      <c r="Y254" s="63" t="n">
        <f aca="false">IFERROR(Y244+Y$330,"--")</f>
        <v>866.063314105</v>
      </c>
      <c r="Z254" s="63" t="n">
        <f aca="false">IFERROR(Z244+Z$330,"--")</f>
        <v>1817</v>
      </c>
      <c r="AA254" s="63" t="n">
        <f aca="false">IFERROR(AA244+AA$330,"--")</f>
        <v>818.5221</v>
      </c>
      <c r="AB254" s="63" t="n">
        <f aca="false">IFERROR(AB244+AB$330,"--")</f>
        <v>11231.522</v>
      </c>
      <c r="AC254" s="63" t="n">
        <f aca="false">IFERROR(AC244+AC$330,"--")</f>
        <v>7556</v>
      </c>
      <c r="AD254" s="63" t="n">
        <f aca="false">IFERROR(AD244+AD$330,"--")</f>
        <v>2053.4138</v>
      </c>
      <c r="AE254" s="63" t="n">
        <f aca="false">IFERROR(AE244+AE$330,"--")</f>
        <v>1220.7175102912</v>
      </c>
      <c r="AF254" s="63" t="n">
        <f aca="false">IFERROR(AF244+AF$330,"--")</f>
        <v>-37.50764831313</v>
      </c>
    </row>
    <row r="255" customFormat="false" ht="10.5" hidden="false" customHeight="true" outlineLevel="0" collapsed="false">
      <c r="A255" s="62"/>
      <c r="B255" s="62" t="s">
        <v>28</v>
      </c>
      <c r="C255" s="62"/>
      <c r="D255" s="62"/>
      <c r="E255" s="99" t="n">
        <f aca="false">+$F$3</f>
        <v>46022</v>
      </c>
      <c r="F255" s="100" t="s">
        <v>213</v>
      </c>
      <c r="G255" s="34" t="str">
        <f aca="false">+TEXT(E255,"yyyy")&amp;F255</f>
        <v>2025EBIT</v>
      </c>
      <c r="H255" s="34" t="s">
        <v>28</v>
      </c>
      <c r="I255" s="34"/>
      <c r="J255" s="34"/>
      <c r="K255" s="101" t="n">
        <f aca="false">IFERROR(K245+K$330,"--")</f>
        <v>0</v>
      </c>
      <c r="L255" s="101" t="n">
        <f aca="false">IFERROR(L245+L$330,"--")</f>
        <v>465.851</v>
      </c>
      <c r="M255" s="101" t="n">
        <f aca="false">IFERROR(M245+M$330,"--")</f>
        <v>47.2</v>
      </c>
      <c r="N255" s="101" t="n">
        <f aca="false">IFERROR(N245+N$330,"--")</f>
        <v>-454.683333333333</v>
      </c>
      <c r="O255" s="101" t="n">
        <f aca="false">IFERROR(O245+O$330,"--")</f>
        <v>-215.266</v>
      </c>
      <c r="P255" s="101" t="n">
        <f aca="false">IFERROR(P245+P$330,"--")</f>
        <v>201.80684462498</v>
      </c>
      <c r="Q255" s="101" t="n">
        <f aca="false">IFERROR(Q245+Q$330,"--")</f>
        <v>269.91211622424</v>
      </c>
      <c r="R255" s="101" t="n">
        <f aca="false">IFERROR(R245+R$330,"--")</f>
        <v>1477.48211758</v>
      </c>
      <c r="S255" s="101" t="n">
        <f aca="false">IFERROR(S245+S$330,"--")</f>
        <v>1453.72905275567</v>
      </c>
      <c r="T255" s="101" t="n">
        <f aca="false">IFERROR(T245+T$330,"--")</f>
        <v>38.578955225335</v>
      </c>
      <c r="U255" s="101" t="n">
        <f aca="false">IFERROR(U245+U$330,"--")</f>
        <v>209.93278768176</v>
      </c>
      <c r="V255" s="101" t="n">
        <f aca="false">IFERROR(V245+V$330,"--")</f>
        <v>862.91727333</v>
      </c>
      <c r="W255" s="101" t="n">
        <f aca="false">IFERROR(W245+W$330,"--")</f>
        <v>1198.77458044</v>
      </c>
      <c r="X255" s="101" t="n">
        <f aca="false">IFERROR(X245+X$330,"--")</f>
        <v>1095.657668136</v>
      </c>
      <c r="Y255" s="101" t="n">
        <f aca="false">IFERROR(Y245+Y$330,"--")</f>
        <v>699.543856245</v>
      </c>
      <c r="Z255" s="101" t="n">
        <f aca="false">IFERROR(Z245+Z$330,"--")</f>
        <v>802.588</v>
      </c>
      <c r="AA255" s="101" t="n">
        <f aca="false">IFERROR(AA245+AA$330,"--")</f>
        <v>356.635</v>
      </c>
      <c r="AB255" s="101" t="n">
        <f aca="false">IFERROR(AB245+AB$330,"--")</f>
        <v>7746</v>
      </c>
      <c r="AC255" s="101" t="n">
        <f aca="false">IFERROR(AC245+AC$330,"--")</f>
        <v>4690</v>
      </c>
      <c r="AD255" s="101" t="n">
        <f aca="false">IFERROR(AD245+AD$330,"--")</f>
        <v>1456</v>
      </c>
      <c r="AE255" s="101" t="n">
        <f aca="false">IFERROR(AE245+AE$330,"--")</f>
        <v>1018.28418118338</v>
      </c>
      <c r="AF255" s="101" t="n">
        <f aca="false">IFERROR(AF245+AF$330,"--")</f>
        <v>-41.24189306433</v>
      </c>
    </row>
    <row r="256" customFormat="false" ht="10.5" hidden="false" customHeight="true" outlineLevel="0" collapsed="false">
      <c r="A256" s="62"/>
      <c r="B256" s="62"/>
      <c r="C256" s="62"/>
      <c r="D256" s="62"/>
      <c r="E256" s="96" t="n">
        <f aca="false">E255-366</f>
        <v>45656</v>
      </c>
      <c r="F256" s="97" t="s">
        <v>213</v>
      </c>
      <c r="G256" s="4" t="str">
        <f aca="false">+TEXT(E256,"yyyy")&amp;F256</f>
        <v>2024EBIT</v>
      </c>
      <c r="H256" s="4" t="s">
        <v>28</v>
      </c>
      <c r="K256" s="63" t="n">
        <f aca="false">IFERROR(K246+K$330,"--")</f>
        <v>0</v>
      </c>
      <c r="L256" s="63" t="n">
        <f aca="false">IFERROR(L246+L$330,"--")</f>
        <v>97.711</v>
      </c>
      <c r="M256" s="63" t="n">
        <f aca="false">IFERROR(M246+M$330,"--")</f>
        <v>269</v>
      </c>
      <c r="N256" s="63" t="n">
        <f aca="false">IFERROR(N246+N$330,"--")</f>
        <v>-594.5</v>
      </c>
      <c r="O256" s="63" t="n">
        <f aca="false">IFERROR(O246+O$330,"--")</f>
        <v>-235.617</v>
      </c>
      <c r="P256" s="63" t="n">
        <f aca="false">IFERROR(P246+P$330,"--")</f>
        <v>151.21853033952</v>
      </c>
      <c r="Q256" s="63" t="n">
        <f aca="false">IFERROR(Q246+Q$330,"--")</f>
        <v>226.4731852824</v>
      </c>
      <c r="R256" s="63" t="n">
        <f aca="false">IFERROR(R246+R$330,"--")</f>
        <v>1014.96282076</v>
      </c>
      <c r="S256" s="63" t="n">
        <f aca="false">IFERROR(S246+S$330,"--")</f>
        <v>966.766511727232</v>
      </c>
      <c r="T256" s="63" t="n">
        <f aca="false">IFERROR(T246+T$330,"--")</f>
        <v>20.2310750849134</v>
      </c>
      <c r="U256" s="63" t="n">
        <f aca="false">IFERROR(U246+U$330,"--")</f>
        <v>194.33600148615</v>
      </c>
      <c r="V256" s="63" t="n">
        <f aca="false">IFERROR(V246+V$330,"--")</f>
        <v>713.005409835</v>
      </c>
      <c r="W256" s="63" t="n">
        <f aca="false">IFERROR(W246+W$330,"--")</f>
        <v>1003.11202216</v>
      </c>
      <c r="X256" s="63" t="n">
        <f aca="false">IFERROR(X246+X$330,"--")</f>
        <v>984.556330698</v>
      </c>
      <c r="Y256" s="63" t="n">
        <f aca="false">IFERROR(Y246+Y$330,"--")</f>
        <v>669.506610974</v>
      </c>
      <c r="Z256" s="63" t="n">
        <f aca="false">IFERROR(Z246+Z$330,"--")</f>
        <v>826.353</v>
      </c>
      <c r="AA256" s="63" t="n">
        <f aca="false">IFERROR(AA246+AA$330,"--")</f>
        <v>346.741</v>
      </c>
      <c r="AB256" s="63" t="n">
        <f aca="false">IFERROR(AB246+AB$330,"--")</f>
        <v>7337</v>
      </c>
      <c r="AC256" s="63" t="n">
        <f aca="false">IFERROR(AC246+AC$330,"--")</f>
        <v>4863</v>
      </c>
      <c r="AD256" s="63" t="n">
        <f aca="false">IFERROR(AD246+AD$330,"--")</f>
        <v>1480</v>
      </c>
      <c r="AE256" s="63" t="n">
        <f aca="false">IFERROR(AE246+AE$330,"--")</f>
        <v>682.39638245175</v>
      </c>
      <c r="AF256" s="63" t="n">
        <f aca="false">IFERROR(AF246+AF$330,"--")</f>
        <v>-61.94314275688</v>
      </c>
    </row>
    <row r="257" customFormat="false" ht="10.5" hidden="false" customHeight="true" outlineLevel="0" collapsed="false">
      <c r="A257" s="62"/>
      <c r="B257" s="62"/>
      <c r="C257" s="62"/>
      <c r="D257" s="62"/>
      <c r="E257" s="96" t="n">
        <f aca="false">E256-366</f>
        <v>45290</v>
      </c>
      <c r="F257" s="97" t="s">
        <v>213</v>
      </c>
      <c r="G257" s="4" t="str">
        <f aca="false">+TEXT(E257,"yyyy")&amp;F257</f>
        <v>2023EBIT</v>
      </c>
      <c r="H257" s="4" t="s">
        <v>28</v>
      </c>
      <c r="K257" s="63" t="n">
        <f aca="false">IFERROR(K247+K$330,"--")</f>
        <v>0</v>
      </c>
      <c r="L257" s="63" t="n">
        <f aca="false">IFERROR(L247+L$330,"--")</f>
        <v>409.938</v>
      </c>
      <c r="M257" s="63" t="n">
        <f aca="false">IFERROR(M247+M$330,"--")</f>
        <v>337.8</v>
      </c>
      <c r="N257" s="63" t="n">
        <f aca="false">IFERROR(N247+N$330,"--")</f>
        <v>49.8145833333333</v>
      </c>
      <c r="O257" s="63" t="n">
        <f aca="false">IFERROR(O247+O$330,"--")</f>
        <v>-31.648</v>
      </c>
      <c r="P257" s="63" t="n">
        <f aca="false">IFERROR(P247+P$330,"--")</f>
        <v>143.997274772</v>
      </c>
      <c r="Q257" s="63" t="n">
        <f aca="false">IFERROR(Q247+Q$330,"--")</f>
        <v>191.5081393992</v>
      </c>
      <c r="R257" s="63" t="n">
        <f aca="false">IFERROR(R247+R$330,"--")</f>
        <v>962.37800684</v>
      </c>
      <c r="S257" s="63" t="n">
        <f aca="false">IFERROR(S247+S$330,"--")</f>
        <v>849.788260162241</v>
      </c>
      <c r="T257" s="63" t="n">
        <f aca="false">IFERROR(T247+T$330,"--")</f>
        <v>25.5672738403461</v>
      </c>
      <c r="U257" s="63" t="n">
        <f aca="false">IFERROR(U247+U$330,"--")</f>
        <v>238.15374083202</v>
      </c>
      <c r="V257" s="63" t="n">
        <f aca="false">IFERROR(V247+V$330,"--")</f>
        <v>549.409747037</v>
      </c>
      <c r="W257" s="63" t="n">
        <f aca="false">IFERROR(W247+W$330,"--")</f>
        <v>929.474967</v>
      </c>
      <c r="X257" s="63" t="n">
        <f aca="false">IFERROR(X247+X$330,"--")</f>
        <v>865.660258572</v>
      </c>
      <c r="Y257" s="63" t="n">
        <f aca="false">IFERROR(Y247+Y$330,"--")</f>
        <v>589.093047513</v>
      </c>
      <c r="Z257" s="63" t="n">
        <f aca="false">IFERROR(Z247+Z$330,"--")</f>
        <v>817.676</v>
      </c>
      <c r="AA257" s="63" t="n">
        <f aca="false">IFERROR(AA247+AA$330,"--")</f>
        <v>300.562</v>
      </c>
      <c r="AB257" s="63" t="n">
        <f aca="false">IFERROR(AB247+AB$330,"--")</f>
        <v>6859</v>
      </c>
      <c r="AC257" s="63" t="n">
        <f aca="false">IFERROR(AC247+AC$330,"--")</f>
        <v>5202</v>
      </c>
      <c r="AD257" s="63" t="n">
        <f aca="false">IFERROR(AD247+AD$330,"--")</f>
        <v>1308</v>
      </c>
      <c r="AE257" s="63" t="n">
        <f aca="false">IFERROR(AE247+AE$330,"--")</f>
        <v>600.51153780189</v>
      </c>
      <c r="AF257" s="63" t="n">
        <f aca="false">IFERROR(AF247+AF$330,"--")</f>
        <v>-240.59599926929</v>
      </c>
    </row>
    <row r="258" customFormat="false" ht="10.5" hidden="false" customHeight="true" outlineLevel="0" collapsed="false">
      <c r="A258" s="31"/>
      <c r="B258" s="31"/>
      <c r="C258" s="31"/>
      <c r="D258" s="31"/>
      <c r="E258" s="97"/>
      <c r="F258" s="97"/>
      <c r="AE258" s="3"/>
      <c r="AF258" s="3"/>
    </row>
    <row r="259" customFormat="false" ht="10.5" hidden="false" customHeight="true" outlineLevel="0" collapsed="false">
      <c r="A259" s="62"/>
      <c r="B259" s="62" t="s">
        <v>28</v>
      </c>
      <c r="C259" s="62"/>
      <c r="D259" s="62"/>
      <c r="E259" s="96" t="s">
        <v>214</v>
      </c>
      <c r="F259" s="97" t="s">
        <v>214</v>
      </c>
      <c r="G259" s="4" t="str">
        <f aca="false">+TEXT(E259,"yyyy")&amp;F259</f>
        <v>EBITDA (reported)EBITDA (reported)</v>
      </c>
      <c r="H259" s="4" t="s">
        <v>28</v>
      </c>
      <c r="K259" s="63" t="s">
        <v>104</v>
      </c>
      <c r="L259" s="63" t="s">
        <v>104</v>
      </c>
      <c r="M259" s="63" t="s">
        <v>104</v>
      </c>
      <c r="N259" s="63" t="s">
        <v>104</v>
      </c>
      <c r="O259" s="63" t="s">
        <v>104</v>
      </c>
      <c r="P259" s="63" t="s">
        <v>104</v>
      </c>
      <c r="Q259" s="63" t="s">
        <v>104</v>
      </c>
      <c r="R259" s="63" t="s">
        <v>104</v>
      </c>
      <c r="S259" s="63" t="s">
        <v>104</v>
      </c>
      <c r="T259" s="63" t="s">
        <v>104</v>
      </c>
      <c r="U259" s="63" t="s">
        <v>104</v>
      </c>
      <c r="V259" s="63" t="s">
        <v>104</v>
      </c>
      <c r="W259" s="63" t="s">
        <v>104</v>
      </c>
      <c r="X259" s="63" t="s">
        <v>104</v>
      </c>
      <c r="Y259" s="63" t="s">
        <v>104</v>
      </c>
      <c r="Z259" s="63" t="s">
        <v>104</v>
      </c>
      <c r="AA259" s="63" t="s">
        <v>104</v>
      </c>
      <c r="AB259" s="63" t="s">
        <v>104</v>
      </c>
      <c r="AC259" s="63" t="s">
        <v>104</v>
      </c>
      <c r="AD259" s="63" t="s">
        <v>104</v>
      </c>
      <c r="AE259" s="63" t="s">
        <v>104</v>
      </c>
      <c r="AF259" s="63" t="s">
        <v>104</v>
      </c>
    </row>
    <row r="260" customFormat="false" ht="10.5" hidden="false" customHeight="true" outlineLevel="0" collapsed="false">
      <c r="A260" s="62"/>
      <c r="B260" s="62"/>
      <c r="C260" s="62"/>
      <c r="D260" s="62"/>
      <c r="E260" s="96" t="n">
        <f aca="false">E261+365</f>
        <v>47847</v>
      </c>
      <c r="F260" s="97" t="s">
        <v>214</v>
      </c>
      <c r="G260" s="4" t="str">
        <f aca="false">+TEXT(E260,"yyyy")&amp;F260</f>
        <v>2030EBITDA (reported)</v>
      </c>
      <c r="H260" s="4" t="s">
        <v>28</v>
      </c>
      <c r="K260" s="98"/>
      <c r="L260" s="98"/>
      <c r="M260" s="98" t="n">
        <v>535.1</v>
      </c>
      <c r="N260" s="98"/>
      <c r="O260" s="98" t="n">
        <v>50</v>
      </c>
      <c r="P260" s="98" t="n">
        <v>678.4018</v>
      </c>
      <c r="Q260" s="98" t="n">
        <v>582.5668</v>
      </c>
      <c r="R260" s="98" t="n">
        <v>4741.747</v>
      </c>
      <c r="S260" s="98"/>
      <c r="T260" s="98"/>
      <c r="U260" s="98" t="n">
        <v>541.5256</v>
      </c>
      <c r="V260" s="98"/>
      <c r="W260" s="98"/>
      <c r="X260" s="98"/>
      <c r="Y260" s="98"/>
      <c r="Z260" s="98" t="n">
        <v>3078.3</v>
      </c>
      <c r="AA260" s="98" t="n">
        <v>1198.837</v>
      </c>
      <c r="AB260" s="98" t="n">
        <v>16569</v>
      </c>
      <c r="AC260" s="98" t="n">
        <v>11452</v>
      </c>
      <c r="AD260" s="98"/>
      <c r="AE260" s="98"/>
      <c r="AF260" s="98" t="n">
        <v>159.6796</v>
      </c>
    </row>
    <row r="261" customFormat="false" ht="10.5" hidden="false" customHeight="true" outlineLevel="0" collapsed="false">
      <c r="A261" s="62"/>
      <c r="B261" s="62"/>
      <c r="C261" s="62"/>
      <c r="D261" s="62"/>
      <c r="E261" s="96" t="n">
        <f aca="false">E262+365</f>
        <v>47482</v>
      </c>
      <c r="F261" s="97" t="s">
        <v>214</v>
      </c>
      <c r="G261" s="4" t="str">
        <f aca="false">+TEXT(E261,"yyyy")&amp;F261</f>
        <v>2029EBITDA (reported)</v>
      </c>
      <c r="H261" s="4" t="s">
        <v>28</v>
      </c>
      <c r="K261" s="98"/>
      <c r="L261" s="98" t="n">
        <v>995</v>
      </c>
      <c r="M261" s="98" t="n">
        <v>501.9</v>
      </c>
      <c r="N261" s="98"/>
      <c r="O261" s="98" t="n">
        <v>43.5</v>
      </c>
      <c r="P261" s="98" t="n">
        <v>595.93134</v>
      </c>
      <c r="Q261" s="98" t="n">
        <v>552.3943</v>
      </c>
      <c r="R261" s="98" t="n">
        <v>4238.499</v>
      </c>
      <c r="S261" s="98"/>
      <c r="T261" s="98"/>
      <c r="U261" s="98" t="n">
        <v>435.974</v>
      </c>
      <c r="V261" s="98" t="n">
        <v>2646.691</v>
      </c>
      <c r="W261" s="98" t="n">
        <v>2399.4385</v>
      </c>
      <c r="X261" s="98" t="n">
        <v>1862.8378</v>
      </c>
      <c r="Y261" s="98" t="n">
        <v>1317.7517</v>
      </c>
      <c r="Z261" s="98" t="n">
        <v>2863.7</v>
      </c>
      <c r="AA261" s="98" t="n">
        <v>1112.869</v>
      </c>
      <c r="AB261" s="98" t="n">
        <v>15601.028</v>
      </c>
      <c r="AC261" s="98" t="n">
        <v>10802.5</v>
      </c>
      <c r="AD261" s="98" t="n">
        <v>2932.789</v>
      </c>
      <c r="AE261" s="98"/>
      <c r="AF261" s="98" t="n">
        <v>116.04111</v>
      </c>
    </row>
    <row r="262" customFormat="false" ht="10.5" hidden="false" customHeight="true" outlineLevel="0" collapsed="false">
      <c r="A262" s="62"/>
      <c r="B262" s="62"/>
      <c r="C262" s="62"/>
      <c r="D262" s="62"/>
      <c r="E262" s="96" t="n">
        <f aca="false">E263+365</f>
        <v>47117</v>
      </c>
      <c r="F262" s="97" t="s">
        <v>214</v>
      </c>
      <c r="G262" s="4" t="str">
        <f aca="false">+TEXT(E262,"yyyy")&amp;F262</f>
        <v>2028EBITDA (reported)</v>
      </c>
      <c r="H262" s="4" t="s">
        <v>28</v>
      </c>
      <c r="K262" s="98"/>
      <c r="L262" s="98" t="n">
        <v>945.5</v>
      </c>
      <c r="M262" s="98" t="n">
        <v>472.23813</v>
      </c>
      <c r="N262" s="98" t="n">
        <v>194.99478</v>
      </c>
      <c r="O262" s="98" t="n">
        <v>36.9</v>
      </c>
      <c r="P262" s="98" t="n">
        <v>520.8917</v>
      </c>
      <c r="Q262" s="98" t="n">
        <v>512.60815</v>
      </c>
      <c r="R262" s="98" t="n">
        <v>3708.1252</v>
      </c>
      <c r="S262" s="98" t="n">
        <v>2655.3733</v>
      </c>
      <c r="T262" s="98" t="n">
        <v>121.94592</v>
      </c>
      <c r="U262" s="98" t="n">
        <v>358.9019</v>
      </c>
      <c r="V262" s="98" t="n">
        <v>2308.1082</v>
      </c>
      <c r="W262" s="98" t="n">
        <v>2388.8416</v>
      </c>
      <c r="X262" s="98" t="n">
        <v>1747.2603</v>
      </c>
      <c r="Y262" s="98" t="n">
        <v>1251.5592</v>
      </c>
      <c r="Z262" s="98" t="n">
        <v>2569.461</v>
      </c>
      <c r="AA262" s="98" t="n">
        <v>1036.888</v>
      </c>
      <c r="AB262" s="98" t="n">
        <v>14498.5</v>
      </c>
      <c r="AC262" s="98" t="n">
        <v>9933.801</v>
      </c>
      <c r="AD262" s="98" t="n">
        <v>2671.3235</v>
      </c>
      <c r="AE262" s="98" t="n">
        <v>2193.0413</v>
      </c>
      <c r="AF262" s="98" t="n">
        <v>78.76991</v>
      </c>
    </row>
    <row r="263" customFormat="false" ht="10.5" hidden="false" customHeight="true" outlineLevel="0" collapsed="false">
      <c r="A263" s="62"/>
      <c r="B263" s="62"/>
      <c r="C263" s="62"/>
      <c r="D263" s="62"/>
      <c r="E263" s="96" t="n">
        <f aca="false">E264+365</f>
        <v>46752</v>
      </c>
      <c r="F263" s="97" t="s">
        <v>214</v>
      </c>
      <c r="G263" s="4" t="str">
        <f aca="false">+TEXT(E263,"yyyy")&amp;F263</f>
        <v>2027EBITDA (reported)</v>
      </c>
      <c r="H263" s="4" t="s">
        <v>28</v>
      </c>
      <c r="K263" s="63"/>
      <c r="L263" s="63" t="n">
        <v>885.725</v>
      </c>
      <c r="M263" s="63" t="n">
        <v>457.17877</v>
      </c>
      <c r="N263" s="63" t="n">
        <v>185.55865</v>
      </c>
      <c r="O263" s="63" t="n">
        <v>43.6</v>
      </c>
      <c r="P263" s="63" t="n">
        <v>443.50177</v>
      </c>
      <c r="Q263" s="63" t="n">
        <v>467.3529</v>
      </c>
      <c r="R263" s="63" t="n">
        <v>3274.839</v>
      </c>
      <c r="S263" s="63" t="n">
        <v>2390.7825</v>
      </c>
      <c r="T263" s="63" t="n">
        <v>98.88877</v>
      </c>
      <c r="U263" s="63" t="n">
        <v>292.5615</v>
      </c>
      <c r="V263" s="63" t="n">
        <v>2120.329</v>
      </c>
      <c r="W263" s="63" t="n">
        <v>2211.1099</v>
      </c>
      <c r="X263" s="63" t="n">
        <v>1626.642</v>
      </c>
      <c r="Y263" s="63" t="n">
        <v>1179.6836</v>
      </c>
      <c r="Z263" s="63" t="n">
        <v>2312.1606</v>
      </c>
      <c r="AA263" s="63" t="n">
        <v>959</v>
      </c>
      <c r="AB263" s="63" t="n">
        <v>13397.923</v>
      </c>
      <c r="AC263" s="63" t="n">
        <v>9138</v>
      </c>
      <c r="AD263" s="63" t="n">
        <v>2466.3274</v>
      </c>
      <c r="AE263" s="63" t="n">
        <v>1791.3983</v>
      </c>
      <c r="AF263" s="63" t="n">
        <v>37.322765</v>
      </c>
    </row>
    <row r="264" customFormat="false" ht="10.5" hidden="false" customHeight="true" outlineLevel="0" collapsed="false">
      <c r="A264" s="62"/>
      <c r="B264" s="62"/>
      <c r="C264" s="62"/>
      <c r="D264" s="62"/>
      <c r="E264" s="96" t="n">
        <f aca="false">E265+365</f>
        <v>46387</v>
      </c>
      <c r="F264" s="97" t="s">
        <v>214</v>
      </c>
      <c r="G264" s="4" t="str">
        <f aca="false">+TEXT(E264,"yyyy")&amp;F264</f>
        <v>2026EBITDA (reported)</v>
      </c>
      <c r="H264" s="4" t="s">
        <v>28</v>
      </c>
      <c r="K264" s="63"/>
      <c r="L264" s="63" t="n">
        <v>813.40375</v>
      </c>
      <c r="M264" s="63" t="n">
        <v>424.6</v>
      </c>
      <c r="N264" s="63" t="n">
        <v>179.08986</v>
      </c>
      <c r="O264" s="63" t="n">
        <v>33.8</v>
      </c>
      <c r="P264" s="63" t="n">
        <v>348.9463</v>
      </c>
      <c r="Q264" s="63" t="n">
        <v>410.87723</v>
      </c>
      <c r="R264" s="63" t="n">
        <v>2908.7324</v>
      </c>
      <c r="S264" s="63" t="n">
        <v>2057.5525</v>
      </c>
      <c r="T264" s="63" t="n">
        <v>78.54635</v>
      </c>
      <c r="U264" s="63" t="n">
        <v>239.7857</v>
      </c>
      <c r="V264" s="63" t="n">
        <v>2014.6588</v>
      </c>
      <c r="W264" s="63" t="n">
        <v>2064.7427</v>
      </c>
      <c r="X264" s="63" t="n">
        <v>1584.8998</v>
      </c>
      <c r="Y264" s="63" t="n">
        <v>1112.8925</v>
      </c>
      <c r="Z264" s="63" t="n">
        <v>2050.5737</v>
      </c>
      <c r="AA264" s="63" t="n">
        <v>902.2</v>
      </c>
      <c r="AB264" s="63" t="n">
        <v>12448.764</v>
      </c>
      <c r="AC264" s="63" t="n">
        <v>8344.02</v>
      </c>
      <c r="AD264" s="63" t="n">
        <v>2260.5376</v>
      </c>
      <c r="AE264" s="63" t="n">
        <v>1451.4948</v>
      </c>
      <c r="AF264" s="63" t="n">
        <v>11.634945</v>
      </c>
    </row>
    <row r="265" customFormat="false" ht="10.5" hidden="false" customHeight="true" outlineLevel="0" collapsed="false">
      <c r="A265" s="62"/>
      <c r="B265" s="62" t="s">
        <v>28</v>
      </c>
      <c r="C265" s="62"/>
      <c r="D265" s="62"/>
      <c r="E265" s="99" t="n">
        <f aca="false">+$F$3</f>
        <v>46022</v>
      </c>
      <c r="F265" s="100" t="s">
        <v>214</v>
      </c>
      <c r="G265" s="34" t="str">
        <f aca="false">+TEXT(E265,"yyyy")&amp;F265</f>
        <v>2025EBITDA (reported)</v>
      </c>
      <c r="H265" s="34" t="s">
        <v>28</v>
      </c>
      <c r="K265" s="101"/>
      <c r="L265" s="102" t="n">
        <v>682.037</v>
      </c>
      <c r="M265" s="102" t="n">
        <v>385.4</v>
      </c>
      <c r="N265" s="102" t="n">
        <v>108.241666666667</v>
      </c>
      <c r="O265" s="102" t="n">
        <v>-79.16</v>
      </c>
      <c r="P265" s="102" t="n">
        <f aca="false">214.743*FX!D6</f>
        <v>259.03066433538</v>
      </c>
      <c r="Q265" s="102" t="n">
        <f aca="false">318.527*FX!D6</f>
        <v>384.21862607282</v>
      </c>
      <c r="R265" s="102" t="n">
        <f aca="false">1970*FX!D6</f>
        <v>2376.2842502</v>
      </c>
      <c r="S265" s="102" t="n">
        <f aca="false">2439106.875318*FX!D9</f>
        <v>1716.98489381135</v>
      </c>
      <c r="T265" s="102" t="n">
        <f aca="false">84813.62475*FX!D9</f>
        <v>59.703703006515</v>
      </c>
      <c r="U265" s="102" t="n">
        <f aca="false">216.218*FX!D7</f>
        <v>244.32269456452</v>
      </c>
      <c r="V265" s="102" t="n">
        <f aca="false">1561*FX!D7</f>
        <v>1763.90368154</v>
      </c>
      <c r="W265" s="102" t="n">
        <f aca="false">1499*FX!D6</f>
        <v>1808.14725434</v>
      </c>
      <c r="X265" s="102" t="n">
        <f aca="false">1291.9*FX!D7</f>
        <v>1459.825218566</v>
      </c>
      <c r="Y265" s="102" t="n">
        <f aca="false">750.5*FX!D8</f>
        <v>989.4755609</v>
      </c>
      <c r="Z265" s="102" t="n">
        <v>1008.825</v>
      </c>
      <c r="AA265" s="102" t="n">
        <v>766.759</v>
      </c>
      <c r="AB265" s="102" t="n">
        <v>10620</v>
      </c>
      <c r="AC265" s="102" t="n">
        <v>7699</v>
      </c>
      <c r="AD265" s="102" t="n">
        <v>1754</v>
      </c>
      <c r="AE265" s="102" t="n">
        <f aca="false">9140.706*FX!D11</f>
        <v>1271.93134226238</v>
      </c>
      <c r="AF265" s="102" t="n">
        <f aca="false">-2.639*FX!D8</f>
        <v>-3.4793151302</v>
      </c>
    </row>
    <row r="266" customFormat="false" ht="10.5" hidden="false" customHeight="true" outlineLevel="0" collapsed="false">
      <c r="A266" s="62"/>
      <c r="B266" s="62"/>
      <c r="C266" s="62"/>
      <c r="D266" s="62"/>
      <c r="E266" s="96" t="n">
        <f aca="false">E265-366</f>
        <v>45656</v>
      </c>
      <c r="F266" s="97" t="s">
        <v>214</v>
      </c>
      <c r="G266" s="4" t="str">
        <f aca="false">+TEXT(E266,"yyyy")&amp;F266</f>
        <v>2024EBITDA (reported)</v>
      </c>
      <c r="H266" s="4" t="s">
        <v>28</v>
      </c>
      <c r="K266" s="63"/>
      <c r="L266" s="64" t="n">
        <v>504.387</v>
      </c>
      <c r="M266" s="64" t="n">
        <v>420.6</v>
      </c>
      <c r="N266" s="64" t="n">
        <v>147.491666666667</v>
      </c>
      <c r="O266" s="64" t="n">
        <v>-21.083</v>
      </c>
      <c r="P266" s="64" t="n">
        <f aca="false">176.31*FX!C6</f>
        <v>200.3888753244</v>
      </c>
      <c r="Q266" s="64" t="n">
        <f aca="false">283.986*FX!C6</f>
        <v>322.77032016264</v>
      </c>
      <c r="R266" s="64" t="n">
        <f aca="false">1452*FX!C6</f>
        <v>1650.30144048</v>
      </c>
      <c r="S266" s="64" t="n">
        <f aca="false">1622775.308134*FX!C9</f>
        <v>1190.82497661489</v>
      </c>
      <c r="T266" s="64" t="n">
        <f aca="false">53274.961192*FX!C9</f>
        <v>39.0942320219134</v>
      </c>
      <c r="U266" s="64" t="n">
        <f aca="false">207.419*FX!C7</f>
        <v>224.50627470693</v>
      </c>
      <c r="V266" s="64" t="n">
        <f aca="false">1439.4*FX!C7</f>
        <v>1557.978448518</v>
      </c>
      <c r="W266" s="64" t="n">
        <f aca="false">1380*FX!C6</f>
        <v>1568.4683112</v>
      </c>
      <c r="X266" s="64" t="n">
        <f aca="false">1217.1*FX!C7</f>
        <v>1317.365270037</v>
      </c>
      <c r="Y266" s="64" t="n">
        <f aca="false">736.6*FX!C8</f>
        <v>941.812465622</v>
      </c>
      <c r="Z266" s="64" t="n">
        <v>1018.178</v>
      </c>
      <c r="AA266" s="64" t="n">
        <v>797.404</v>
      </c>
      <c r="AB266" s="64" t="n">
        <v>10697</v>
      </c>
      <c r="AC266" s="64" t="n">
        <v>7480</v>
      </c>
      <c r="AD266" s="64" t="n">
        <v>1758</v>
      </c>
      <c r="AE266" s="64" t="n">
        <f aca="false">6651.19*FX!C11</f>
        <v>924.4264835897</v>
      </c>
      <c r="AF266" s="64" t="n">
        <f aca="false">-16.769*FX!C8</f>
        <v>-21.44074563673</v>
      </c>
    </row>
    <row r="267" customFormat="false" ht="10.5" hidden="false" customHeight="true" outlineLevel="0" collapsed="false">
      <c r="A267" s="62"/>
      <c r="B267" s="62"/>
      <c r="C267" s="62"/>
      <c r="D267" s="62"/>
      <c r="E267" s="96" t="n">
        <f aca="false">E266-366</f>
        <v>45290</v>
      </c>
      <c r="F267" s="97" t="s">
        <v>214</v>
      </c>
      <c r="G267" s="4" t="str">
        <f aca="false">+TEXT(E267,"yyyy")&amp;F267</f>
        <v>2023EBITDA (reported)</v>
      </c>
      <c r="H267" s="4" t="s">
        <v>28</v>
      </c>
      <c r="K267" s="63"/>
      <c r="L267" s="64" t="n">
        <v>619.432</v>
      </c>
      <c r="M267" s="64" t="n">
        <v>483.7</v>
      </c>
      <c r="N267" s="64" t="n">
        <v>156.35875</v>
      </c>
      <c r="O267" s="64" t="n">
        <v>8.606</v>
      </c>
      <c r="P267" s="64" t="n">
        <f aca="false">166.736*FX!B6</f>
        <v>185.5737332384</v>
      </c>
      <c r="Q267" s="64" t="n">
        <f aca="false">253.421*FX!B6</f>
        <v>282.0523525274</v>
      </c>
      <c r="R267" s="64" t="n">
        <f aca="false">1967*FX!B6</f>
        <v>2189.2304798</v>
      </c>
      <c r="S267" s="64" t="n">
        <f aca="false">1603462.004374*FX!B9</f>
        <v>1227.65861440887</v>
      </c>
      <c r="T267" s="64" t="n">
        <f aca="false">56538.361589*FX!B9</f>
        <v>43.2874657833861</v>
      </c>
      <c r="U267" s="64" t="n">
        <f aca="false">244.46*FX!B7</f>
        <v>264.3269292898</v>
      </c>
      <c r="V267" s="64" t="n">
        <f aca="false">1234.4*FX!B7</f>
        <v>1334.717996872</v>
      </c>
      <c r="W267" s="64" t="n">
        <f aca="false">1402*FX!B6</f>
        <v>1560.3971188</v>
      </c>
      <c r="X267" s="64" t="n">
        <f aca="false">1115.9*FX!B7</f>
        <v>1206.587664217</v>
      </c>
      <c r="Y267" s="64" t="n">
        <f aca="false">698.3*FX!B8</f>
        <v>868.249349072</v>
      </c>
      <c r="Z267" s="64" t="n">
        <v>983.581</v>
      </c>
      <c r="AA267" s="64" t="n">
        <v>732.331</v>
      </c>
      <c r="AB267" s="64" t="n">
        <v>10484</v>
      </c>
      <c r="AC267" s="64" t="n">
        <v>7445</v>
      </c>
      <c r="AD267" s="64" t="n">
        <v>1859</v>
      </c>
      <c r="AE267" s="64" t="n">
        <f aca="false">5717.953*FX!B11</f>
        <v>807.65851688927</v>
      </c>
      <c r="AF267" s="64" t="n">
        <f aca="false">-56.179*FX!B8</f>
        <v>-69.85161131536</v>
      </c>
    </row>
    <row r="268" customFormat="false" ht="10.5" hidden="false" customHeight="true" outlineLevel="0" collapsed="false">
      <c r="A268" s="31"/>
      <c r="B268" s="31"/>
      <c r="C268" s="31"/>
      <c r="D268" s="31"/>
      <c r="E268" s="97"/>
      <c r="F268" s="97"/>
      <c r="AE268" s="3"/>
      <c r="AF268" s="3"/>
    </row>
    <row r="269" customFormat="false" ht="10.5" hidden="false" customHeight="true" outlineLevel="0" collapsed="false">
      <c r="A269" s="62"/>
      <c r="B269" s="62" t="s">
        <v>28</v>
      </c>
      <c r="C269" s="62"/>
      <c r="D269" s="62"/>
      <c r="E269" s="96" t="s">
        <v>215</v>
      </c>
      <c r="F269" s="97" t="s">
        <v>216</v>
      </c>
      <c r="G269" s="4" t="str">
        <f aca="false">+TEXT(E269,"yyyy")&amp;F269</f>
        <v>EBITDA – pre-IFRS 16 basis (reported + adj. row below)EBITDA</v>
      </c>
      <c r="H269" s="4" t="s">
        <v>28</v>
      </c>
      <c r="K269" s="63" t="str">
        <f aca="false">IFERROR(K259+K$329,"--")</f>
        <v>--</v>
      </c>
      <c r="L269" s="63" t="str">
        <f aca="false">IFERROR(L259+L$329,"--")</f>
        <v>--</v>
      </c>
      <c r="M269" s="63" t="str">
        <f aca="false">IFERROR(M259+M$329,"--")</f>
        <v>--</v>
      </c>
      <c r="N269" s="63" t="str">
        <f aca="false">IFERROR(N259+N$329,"--")</f>
        <v>--</v>
      </c>
      <c r="O269" s="63" t="str">
        <f aca="false">IFERROR(O259+O$329,"--")</f>
        <v>--</v>
      </c>
      <c r="P269" s="63" t="str">
        <f aca="false">IFERROR(P259+P$329,"--")</f>
        <v>--</v>
      </c>
      <c r="Q269" s="63" t="str">
        <f aca="false">IFERROR(Q259+Q$329,"--")</f>
        <v>--</v>
      </c>
      <c r="R269" s="63" t="str">
        <f aca="false">IFERROR(R259+R$329,"--")</f>
        <v>--</v>
      </c>
      <c r="S269" s="63" t="str">
        <f aca="false">IFERROR(S259+S$329,"--")</f>
        <v>--</v>
      </c>
      <c r="T269" s="63" t="str">
        <f aca="false">IFERROR(T259+T$329,"--")</f>
        <v>--</v>
      </c>
      <c r="U269" s="63" t="str">
        <f aca="false">IFERROR(U259+U$329,"--")</f>
        <v>--</v>
      </c>
      <c r="V269" s="63" t="str">
        <f aca="false">IFERROR(V259+V$329,"--")</f>
        <v>--</v>
      </c>
      <c r="W269" s="63" t="str">
        <f aca="false">IFERROR(W259+W$329,"--")</f>
        <v>--</v>
      </c>
      <c r="X269" s="63" t="str">
        <f aca="false">IFERROR(X259+X$329,"--")</f>
        <v>--</v>
      </c>
      <c r="Y269" s="63" t="str">
        <f aca="false">IFERROR(Y259+Y$329,"--")</f>
        <v>--</v>
      </c>
      <c r="Z269" s="63" t="str">
        <f aca="false">IFERROR(Z259+Z$329,"--")</f>
        <v>--</v>
      </c>
      <c r="AA269" s="63" t="str">
        <f aca="false">IFERROR(AA259+AA$329,"--")</f>
        <v>--</v>
      </c>
      <c r="AB269" s="63" t="str">
        <f aca="false">IFERROR(AB259+AB$329,"--")</f>
        <v>--</v>
      </c>
      <c r="AC269" s="63" t="str">
        <f aca="false">IFERROR(AC259+AC$329,"--")</f>
        <v>--</v>
      </c>
      <c r="AD269" s="63" t="str">
        <f aca="false">IFERROR(AD259+AD$329,"--")</f>
        <v>--</v>
      </c>
      <c r="AE269" s="63" t="str">
        <f aca="false">IFERROR(AE259+AE$329,"--")</f>
        <v>--</v>
      </c>
      <c r="AF269" s="63" t="str">
        <f aca="false">IFERROR(AF259+AF$329,"--")</f>
        <v>--</v>
      </c>
    </row>
    <row r="270" customFormat="false" ht="10.5" hidden="false" customHeight="true" outlineLevel="0" collapsed="false">
      <c r="A270" s="62"/>
      <c r="B270" s="62"/>
      <c r="C270" s="62"/>
      <c r="D270" s="62"/>
      <c r="E270" s="96" t="n">
        <f aca="false">E271+365</f>
        <v>47847</v>
      </c>
      <c r="F270" s="97" t="s">
        <v>216</v>
      </c>
      <c r="G270" s="4" t="str">
        <f aca="false">+TEXT(E270,"yyyy")&amp;F270</f>
        <v>2030EBITDA</v>
      </c>
      <c r="H270" s="4" t="s">
        <v>28</v>
      </c>
      <c r="K270" s="98" t="n">
        <f aca="false">IFERROR(K260+K$329,"--")</f>
        <v>0</v>
      </c>
      <c r="L270" s="98" t="n">
        <f aca="false">IFERROR(L260+L$329,"--")</f>
        <v>0</v>
      </c>
      <c r="M270" s="98" t="n">
        <f aca="false">IFERROR(M260+M$329,"--")</f>
        <v>535.1</v>
      </c>
      <c r="N270" s="98" t="n">
        <f aca="false">IFERROR(N260+N$329,"--")</f>
        <v>0</v>
      </c>
      <c r="O270" s="98" t="n">
        <f aca="false">IFERROR(O260+O$329,"--")</f>
        <v>50</v>
      </c>
      <c r="P270" s="98" t="n">
        <f aca="false">IFERROR(P260+P$329,"--")</f>
        <v>678.4018</v>
      </c>
      <c r="Q270" s="98" t="n">
        <f aca="false">IFERROR(Q260+Q$329,"--")</f>
        <v>582.5668</v>
      </c>
      <c r="R270" s="98" t="n">
        <f aca="false">IFERROR(R260+R$329,"--")</f>
        <v>4676.00637724</v>
      </c>
      <c r="S270" s="98" t="n">
        <f aca="false">IFERROR(S260+S$329,"--")</f>
        <v>-15.9968733971612</v>
      </c>
      <c r="T270" s="98" t="n">
        <f aca="false">IFERROR(T260+T$329,"--")</f>
        <v>-1.34167650155</v>
      </c>
      <c r="U270" s="98" t="n">
        <f aca="false">IFERROR(U260+U$329,"--")</f>
        <v>534.005395</v>
      </c>
      <c r="V270" s="98" t="n">
        <f aca="false">IFERROR(V260+V$329,"--")</f>
        <v>-211.1862</v>
      </c>
      <c r="W270" s="98" t="n">
        <f aca="false">IFERROR(W260+W$329,"--")</f>
        <v>-244.70120694</v>
      </c>
      <c r="X270" s="98" t="n">
        <f aca="false">IFERROR(X260+X$329,"--")</f>
        <v>-177.7503</v>
      </c>
      <c r="Y270" s="98" t="n">
        <f aca="false">IFERROR(Y260+Y$329,"--")</f>
        <v>-122.953372868</v>
      </c>
      <c r="Z270" s="98" t="n">
        <f aca="false">IFERROR(Z260+Z$329,"--")</f>
        <v>3078.3</v>
      </c>
      <c r="AA270" s="98" t="n">
        <f aca="false">IFERROR(AA260+AA$329,"--")</f>
        <v>1198.837</v>
      </c>
      <c r="AB270" s="98" t="n">
        <f aca="false">IFERROR(AB260+AB$329,"--")</f>
        <v>16569</v>
      </c>
      <c r="AC270" s="98" t="n">
        <f aca="false">IFERROR(AC260+AC$329,"--")</f>
        <v>11452</v>
      </c>
      <c r="AD270" s="98" t="n">
        <f aca="false">IFERROR(AD260+AD$329,"--")</f>
        <v>0</v>
      </c>
      <c r="AE270" s="98" t="n">
        <f aca="false">IFERROR(AE260+AE$329,"--")</f>
        <v>-48.24948735144</v>
      </c>
      <c r="AF270" s="98" t="n">
        <f aca="false">IFERROR(AF260+AF$329,"--")</f>
        <v>140.28135100026</v>
      </c>
    </row>
    <row r="271" customFormat="false" ht="10.5" hidden="false" customHeight="true" outlineLevel="0" collapsed="false">
      <c r="A271" s="62"/>
      <c r="B271" s="62"/>
      <c r="C271" s="62"/>
      <c r="D271" s="62"/>
      <c r="E271" s="96" t="n">
        <f aca="false">E272+365</f>
        <v>47482</v>
      </c>
      <c r="F271" s="97" t="s">
        <v>216</v>
      </c>
      <c r="G271" s="4" t="str">
        <f aca="false">+TEXT(E271,"yyyy")&amp;F271</f>
        <v>2029EBITDA</v>
      </c>
      <c r="H271" s="4" t="s">
        <v>28</v>
      </c>
      <c r="K271" s="98" t="n">
        <f aca="false">IFERROR(K261+K$329,"--")</f>
        <v>0</v>
      </c>
      <c r="L271" s="98" t="n">
        <f aca="false">IFERROR(L261+L$329,"--")</f>
        <v>995</v>
      </c>
      <c r="M271" s="98" t="n">
        <f aca="false">IFERROR(M261+M$329,"--")</f>
        <v>501.9</v>
      </c>
      <c r="N271" s="98" t="n">
        <f aca="false">IFERROR(N261+N$329,"--")</f>
        <v>0</v>
      </c>
      <c r="O271" s="98" t="n">
        <f aca="false">IFERROR(O261+O$329,"--")</f>
        <v>43.5</v>
      </c>
      <c r="P271" s="98" t="n">
        <f aca="false">IFERROR(P261+P$329,"--")</f>
        <v>595.93134</v>
      </c>
      <c r="Q271" s="98" t="n">
        <f aca="false">IFERROR(Q261+Q$329,"--")</f>
        <v>552.3943</v>
      </c>
      <c r="R271" s="98" t="n">
        <f aca="false">IFERROR(R261+R$329,"--")</f>
        <v>4172.75837724</v>
      </c>
      <c r="S271" s="98" t="n">
        <f aca="false">IFERROR(S261+S$329,"--")</f>
        <v>-15.9968733971612</v>
      </c>
      <c r="T271" s="98" t="n">
        <f aca="false">IFERROR(T261+T$329,"--")</f>
        <v>-1.34167650155</v>
      </c>
      <c r="U271" s="98" t="n">
        <f aca="false">IFERROR(U261+U$329,"--")</f>
        <v>428.453795</v>
      </c>
      <c r="V271" s="98" t="n">
        <f aca="false">IFERROR(V261+V$329,"--")</f>
        <v>2435.5048</v>
      </c>
      <c r="W271" s="98" t="n">
        <f aca="false">IFERROR(W261+W$329,"--")</f>
        <v>2154.73729306</v>
      </c>
      <c r="X271" s="98" t="n">
        <f aca="false">IFERROR(X261+X$329,"--")</f>
        <v>1685.0875</v>
      </c>
      <c r="Y271" s="98" t="n">
        <f aca="false">IFERROR(Y261+Y$329,"--")</f>
        <v>1194.798327132</v>
      </c>
      <c r="Z271" s="98" t="n">
        <f aca="false">IFERROR(Z261+Z$329,"--")</f>
        <v>2863.7</v>
      </c>
      <c r="AA271" s="98" t="n">
        <f aca="false">IFERROR(AA261+AA$329,"--")</f>
        <v>1112.869</v>
      </c>
      <c r="AB271" s="98" t="n">
        <f aca="false">IFERROR(AB261+AB$329,"--")</f>
        <v>15601.028</v>
      </c>
      <c r="AC271" s="98" t="n">
        <f aca="false">IFERROR(AC261+AC$329,"--")</f>
        <v>10802.5</v>
      </c>
      <c r="AD271" s="98" t="n">
        <f aca="false">IFERROR(AD261+AD$329,"--")</f>
        <v>2932.789</v>
      </c>
      <c r="AE271" s="98" t="n">
        <f aca="false">IFERROR(AE261+AE$329,"--")</f>
        <v>-48.24948735144</v>
      </c>
      <c r="AF271" s="98" t="n">
        <f aca="false">IFERROR(AF261+AF$329,"--")</f>
        <v>96.64286100026</v>
      </c>
    </row>
    <row r="272" customFormat="false" ht="10.5" hidden="false" customHeight="true" outlineLevel="0" collapsed="false">
      <c r="A272" s="62"/>
      <c r="B272" s="62"/>
      <c r="C272" s="62"/>
      <c r="D272" s="62"/>
      <c r="E272" s="96" t="n">
        <f aca="false">E273+365</f>
        <v>47117</v>
      </c>
      <c r="F272" s="97" t="s">
        <v>216</v>
      </c>
      <c r="G272" s="4" t="str">
        <f aca="false">+TEXT(E272,"yyyy")&amp;F272</f>
        <v>2028EBITDA</v>
      </c>
      <c r="H272" s="4" t="s">
        <v>28</v>
      </c>
      <c r="K272" s="98" t="n">
        <f aca="false">IFERROR(K262+K$329,"--")</f>
        <v>0</v>
      </c>
      <c r="L272" s="98" t="n">
        <f aca="false">IFERROR(L262+L$329,"--")</f>
        <v>945.5</v>
      </c>
      <c r="M272" s="98" t="n">
        <f aca="false">IFERROR(M262+M$329,"--")</f>
        <v>472.23813</v>
      </c>
      <c r="N272" s="98" t="n">
        <f aca="false">IFERROR(N262+N$329,"--")</f>
        <v>194.99478</v>
      </c>
      <c r="O272" s="98" t="n">
        <f aca="false">IFERROR(O262+O$329,"--")</f>
        <v>36.9</v>
      </c>
      <c r="P272" s="98" t="n">
        <f aca="false">IFERROR(P262+P$329,"--")</f>
        <v>520.8917</v>
      </c>
      <c r="Q272" s="98" t="n">
        <f aca="false">IFERROR(Q262+Q$329,"--")</f>
        <v>512.60815</v>
      </c>
      <c r="R272" s="98" t="n">
        <f aca="false">IFERROR(R262+R$329,"--")</f>
        <v>3642.38457724</v>
      </c>
      <c r="S272" s="98" t="n">
        <f aca="false">IFERROR(S262+S$329,"--")</f>
        <v>2639.37642660284</v>
      </c>
      <c r="T272" s="98" t="n">
        <f aca="false">IFERROR(T262+T$329,"--")</f>
        <v>120.60424349845</v>
      </c>
      <c r="U272" s="98" t="n">
        <f aca="false">IFERROR(U262+U$329,"--")</f>
        <v>351.381695</v>
      </c>
      <c r="V272" s="98" t="n">
        <f aca="false">IFERROR(V262+V$329,"--")</f>
        <v>2096.922</v>
      </c>
      <c r="W272" s="98" t="n">
        <f aca="false">IFERROR(W262+W$329,"--")</f>
        <v>2144.14039306</v>
      </c>
      <c r="X272" s="98" t="n">
        <f aca="false">IFERROR(X262+X$329,"--")</f>
        <v>1569.51</v>
      </c>
      <c r="Y272" s="98" t="n">
        <f aca="false">IFERROR(Y262+Y$329,"--")</f>
        <v>1128.605827132</v>
      </c>
      <c r="Z272" s="98" t="n">
        <f aca="false">IFERROR(Z262+Z$329,"--")</f>
        <v>2569.461</v>
      </c>
      <c r="AA272" s="98" t="n">
        <f aca="false">IFERROR(AA262+AA$329,"--")</f>
        <v>1036.888</v>
      </c>
      <c r="AB272" s="98" t="n">
        <f aca="false">IFERROR(AB262+AB$329,"--")</f>
        <v>14498.5</v>
      </c>
      <c r="AC272" s="98" t="n">
        <f aca="false">IFERROR(AC262+AC$329,"--")</f>
        <v>9933.801</v>
      </c>
      <c r="AD272" s="98" t="n">
        <f aca="false">IFERROR(AD262+AD$329,"--")</f>
        <v>2671.3235</v>
      </c>
      <c r="AE272" s="98" t="n">
        <f aca="false">IFERROR(AE262+AE$329,"--")</f>
        <v>2144.79181264856</v>
      </c>
      <c r="AF272" s="98" t="n">
        <f aca="false">IFERROR(AF262+AF$329,"--")</f>
        <v>59.37166100026</v>
      </c>
    </row>
    <row r="273" customFormat="false" ht="10.5" hidden="false" customHeight="true" outlineLevel="0" collapsed="false">
      <c r="A273" s="62"/>
      <c r="B273" s="62"/>
      <c r="C273" s="62"/>
      <c r="D273" s="62"/>
      <c r="E273" s="96" t="n">
        <f aca="false">E274+365</f>
        <v>46752</v>
      </c>
      <c r="F273" s="97" t="s">
        <v>216</v>
      </c>
      <c r="G273" s="4" t="str">
        <f aca="false">+TEXT(E273,"yyyy")&amp;F273</f>
        <v>2027EBITDA</v>
      </c>
      <c r="H273" s="4" t="s">
        <v>28</v>
      </c>
      <c r="K273" s="63" t="n">
        <f aca="false">IFERROR(K263+K$329,"--")</f>
        <v>0</v>
      </c>
      <c r="L273" s="63" t="n">
        <f aca="false">IFERROR(L263+L$329,"--")</f>
        <v>885.725</v>
      </c>
      <c r="M273" s="63" t="n">
        <f aca="false">IFERROR(M263+M$329,"--")</f>
        <v>457.17877</v>
      </c>
      <c r="N273" s="63" t="n">
        <f aca="false">IFERROR(N263+N$329,"--")</f>
        <v>185.55865</v>
      </c>
      <c r="O273" s="63" t="n">
        <f aca="false">IFERROR(O263+O$329,"--")</f>
        <v>43.6</v>
      </c>
      <c r="P273" s="63" t="n">
        <f aca="false">IFERROR(P263+P$329,"--")</f>
        <v>443.50177</v>
      </c>
      <c r="Q273" s="63" t="n">
        <f aca="false">IFERROR(Q263+Q$329,"--")</f>
        <v>467.3529</v>
      </c>
      <c r="R273" s="63" t="n">
        <f aca="false">IFERROR(R263+R$329,"--")</f>
        <v>3209.09837724</v>
      </c>
      <c r="S273" s="63" t="n">
        <f aca="false">IFERROR(S263+S$329,"--")</f>
        <v>2374.78562660284</v>
      </c>
      <c r="T273" s="63" t="n">
        <f aca="false">IFERROR(T263+T$329,"--")</f>
        <v>97.54709349845</v>
      </c>
      <c r="U273" s="63" t="n">
        <f aca="false">IFERROR(U263+U$329,"--")</f>
        <v>285.041295</v>
      </c>
      <c r="V273" s="63" t="n">
        <f aca="false">IFERROR(V263+V$329,"--")</f>
        <v>1909.1428</v>
      </c>
      <c r="W273" s="63" t="n">
        <f aca="false">IFERROR(W263+W$329,"--")</f>
        <v>1966.40869306</v>
      </c>
      <c r="X273" s="63" t="n">
        <f aca="false">IFERROR(X263+X$329,"--")</f>
        <v>1448.8917</v>
      </c>
      <c r="Y273" s="63" t="n">
        <f aca="false">IFERROR(Y263+Y$329,"--")</f>
        <v>1056.730227132</v>
      </c>
      <c r="Z273" s="63" t="n">
        <f aca="false">IFERROR(Z263+Z$329,"--")</f>
        <v>2312.1606</v>
      </c>
      <c r="AA273" s="63" t="n">
        <f aca="false">IFERROR(AA263+AA$329,"--")</f>
        <v>959</v>
      </c>
      <c r="AB273" s="63" t="n">
        <f aca="false">IFERROR(AB263+AB$329,"--")</f>
        <v>13397.923</v>
      </c>
      <c r="AC273" s="63" t="n">
        <f aca="false">IFERROR(AC263+AC$329,"--")</f>
        <v>9138</v>
      </c>
      <c r="AD273" s="63" t="n">
        <f aca="false">IFERROR(AD263+AD$329,"--")</f>
        <v>2466.3274</v>
      </c>
      <c r="AE273" s="63" t="n">
        <f aca="false">IFERROR(AE263+AE$329,"--")</f>
        <v>1743.14881264856</v>
      </c>
      <c r="AF273" s="63" t="n">
        <f aca="false">IFERROR(AF263+AF$329,"--")</f>
        <v>17.92451600026</v>
      </c>
    </row>
    <row r="274" customFormat="false" ht="10.5" hidden="false" customHeight="true" outlineLevel="0" collapsed="false">
      <c r="A274" s="62"/>
      <c r="B274" s="62"/>
      <c r="C274" s="62"/>
      <c r="D274" s="62"/>
      <c r="E274" s="96" t="n">
        <f aca="false">E275+365</f>
        <v>46387</v>
      </c>
      <c r="F274" s="97" t="s">
        <v>216</v>
      </c>
      <c r="G274" s="4" t="str">
        <f aca="false">+TEXT(E274,"yyyy")&amp;F274</f>
        <v>2026EBITDA</v>
      </c>
      <c r="H274" s="4" t="s">
        <v>28</v>
      </c>
      <c r="K274" s="63" t="n">
        <f aca="false">IFERROR(K264+K$329,"--")</f>
        <v>0</v>
      </c>
      <c r="L274" s="63" t="n">
        <f aca="false">IFERROR(L264+L$329,"--")</f>
        <v>813.40375</v>
      </c>
      <c r="M274" s="63" t="n">
        <f aca="false">IFERROR(M264+M$329,"--")</f>
        <v>424.6</v>
      </c>
      <c r="N274" s="63" t="n">
        <f aca="false">IFERROR(N264+N$329,"--")</f>
        <v>179.08986</v>
      </c>
      <c r="O274" s="63" t="n">
        <f aca="false">IFERROR(O264+O$329,"--")</f>
        <v>33.8</v>
      </c>
      <c r="P274" s="63" t="n">
        <f aca="false">IFERROR(P264+P$329,"--")</f>
        <v>348.9463</v>
      </c>
      <c r="Q274" s="63" t="n">
        <f aca="false">IFERROR(Q264+Q$329,"--")</f>
        <v>410.87723</v>
      </c>
      <c r="R274" s="63" t="n">
        <f aca="false">IFERROR(R264+R$329,"--")</f>
        <v>2842.99177724</v>
      </c>
      <c r="S274" s="63" t="n">
        <f aca="false">IFERROR(S264+S$329,"--")</f>
        <v>2041.55562660284</v>
      </c>
      <c r="T274" s="63" t="n">
        <f aca="false">IFERROR(T264+T$329,"--")</f>
        <v>77.20467349845</v>
      </c>
      <c r="U274" s="63" t="n">
        <f aca="false">IFERROR(U264+U$329,"--")</f>
        <v>232.265495</v>
      </c>
      <c r="V274" s="63" t="n">
        <f aca="false">IFERROR(V264+V$329,"--")</f>
        <v>1803.4726</v>
      </c>
      <c r="W274" s="63" t="n">
        <f aca="false">IFERROR(W264+W$329,"--")</f>
        <v>1820.04149306</v>
      </c>
      <c r="X274" s="63" t="n">
        <f aca="false">IFERROR(X264+X$329,"--")</f>
        <v>1407.1495</v>
      </c>
      <c r="Y274" s="63" t="n">
        <f aca="false">IFERROR(Y264+Y$329,"--")</f>
        <v>989.939127132</v>
      </c>
      <c r="Z274" s="63" t="n">
        <f aca="false">IFERROR(Z264+Z$329,"--")</f>
        <v>2050.5737</v>
      </c>
      <c r="AA274" s="63" t="n">
        <f aca="false">IFERROR(AA264+AA$329,"--")</f>
        <v>902.2</v>
      </c>
      <c r="AB274" s="63" t="n">
        <f aca="false">IFERROR(AB264+AB$329,"--")</f>
        <v>12448.764</v>
      </c>
      <c r="AC274" s="63" t="n">
        <f aca="false">IFERROR(AC264+AC$329,"--")</f>
        <v>8344.02</v>
      </c>
      <c r="AD274" s="63" t="n">
        <f aca="false">IFERROR(AD264+AD$329,"--")</f>
        <v>2260.5376</v>
      </c>
      <c r="AE274" s="63" t="n">
        <f aca="false">IFERROR(AE264+AE$329,"--")</f>
        <v>1403.24531264856</v>
      </c>
      <c r="AF274" s="63" t="n">
        <f aca="false">IFERROR(AF264+AF$329,"--")</f>
        <v>-7.76330399974</v>
      </c>
    </row>
    <row r="275" customFormat="false" ht="10.5" hidden="false" customHeight="true" outlineLevel="0" collapsed="false">
      <c r="A275" s="62"/>
      <c r="B275" s="62" t="s">
        <v>28</v>
      </c>
      <c r="C275" s="62"/>
      <c r="D275" s="62"/>
      <c r="E275" s="99" t="n">
        <f aca="false">+$F$3</f>
        <v>46022</v>
      </c>
      <c r="F275" s="100" t="s">
        <v>216</v>
      </c>
      <c r="G275" s="34" t="str">
        <f aca="false">+TEXT(E275,"yyyy")&amp;F275</f>
        <v>2025EBITDA</v>
      </c>
      <c r="H275" s="34" t="s">
        <v>28</v>
      </c>
      <c r="K275" s="101" t="n">
        <f aca="false">IFERROR(K265+K$329,"--")</f>
        <v>0</v>
      </c>
      <c r="L275" s="101" t="n">
        <f aca="false">IFERROR(L265+L$329,"--")</f>
        <v>682.037</v>
      </c>
      <c r="M275" s="101" t="n">
        <f aca="false">IFERROR(M265+M$329,"--")</f>
        <v>385.4</v>
      </c>
      <c r="N275" s="101" t="n">
        <f aca="false">IFERROR(N265+N$329,"--")</f>
        <v>108.241666666667</v>
      </c>
      <c r="O275" s="101" t="n">
        <f aca="false">IFERROR(O265+O$329,"--")</f>
        <v>-79.16</v>
      </c>
      <c r="P275" s="101" t="n">
        <f aca="false">IFERROR(P265+P$329,"--")</f>
        <v>259.03066433538</v>
      </c>
      <c r="Q275" s="101" t="n">
        <f aca="false">IFERROR(Q265+Q$329,"--")</f>
        <v>384.21862607282</v>
      </c>
      <c r="R275" s="101" t="n">
        <f aca="false">IFERROR(R265+R$329,"--")</f>
        <v>2310.54362744</v>
      </c>
      <c r="S275" s="101" t="n">
        <f aca="false">IFERROR(S265+S$329,"--")</f>
        <v>1700.98802041419</v>
      </c>
      <c r="T275" s="101" t="n">
        <f aca="false">IFERROR(T265+T$329,"--")</f>
        <v>58.362026504965</v>
      </c>
      <c r="U275" s="101" t="n">
        <f aca="false">IFERROR(U265+U$329,"--")</f>
        <v>236.80248956452</v>
      </c>
      <c r="V275" s="101" t="n">
        <f aca="false">IFERROR(V265+V$329,"--")</f>
        <v>1552.71748154</v>
      </c>
      <c r="W275" s="101" t="n">
        <f aca="false">IFERROR(W265+W$329,"--")</f>
        <v>1563.4460474</v>
      </c>
      <c r="X275" s="101" t="n">
        <f aca="false">IFERROR(X265+X$329,"--")</f>
        <v>1282.074918566</v>
      </c>
      <c r="Y275" s="101" t="n">
        <f aca="false">IFERROR(Y265+Y$329,"--")</f>
        <v>866.522188032</v>
      </c>
      <c r="Z275" s="101" t="n">
        <f aca="false">IFERROR(Z265+Z$329,"--")</f>
        <v>1008.825</v>
      </c>
      <c r="AA275" s="101" t="n">
        <f aca="false">IFERROR(AA265+AA$329,"--")</f>
        <v>766.759</v>
      </c>
      <c r="AB275" s="101" t="n">
        <f aca="false">IFERROR(AB265+AB$329,"--")</f>
        <v>10620</v>
      </c>
      <c r="AC275" s="101" t="n">
        <f aca="false">IFERROR(AC265+AC$329,"--")</f>
        <v>7699</v>
      </c>
      <c r="AD275" s="101" t="n">
        <f aca="false">IFERROR(AD265+AD$329,"--")</f>
        <v>1754</v>
      </c>
      <c r="AE275" s="101" t="n">
        <f aca="false">IFERROR(AE265+AE$329,"--")</f>
        <v>1223.68185491094</v>
      </c>
      <c r="AF275" s="101" t="n">
        <f aca="false">IFERROR(AF265+AF$329,"--")</f>
        <v>-22.87756412994</v>
      </c>
    </row>
    <row r="276" customFormat="false" ht="10.5" hidden="false" customHeight="true" outlineLevel="0" collapsed="false">
      <c r="A276" s="62"/>
      <c r="B276" s="62"/>
      <c r="C276" s="62"/>
      <c r="D276" s="62"/>
      <c r="E276" s="96" t="n">
        <f aca="false">E275-366</f>
        <v>45656</v>
      </c>
      <c r="F276" s="97" t="s">
        <v>216</v>
      </c>
      <c r="G276" s="4" t="str">
        <f aca="false">+TEXT(E276,"yyyy")&amp;F276</f>
        <v>2024EBITDA</v>
      </c>
      <c r="H276" s="4" t="s">
        <v>28</v>
      </c>
      <c r="K276" s="63" t="n">
        <f aca="false">IFERROR(K266+K$329,"--")</f>
        <v>0</v>
      </c>
      <c r="L276" s="63" t="n">
        <f aca="false">IFERROR(L266+L$329,"--")</f>
        <v>504.387</v>
      </c>
      <c r="M276" s="63" t="n">
        <f aca="false">IFERROR(M266+M$329,"--")</f>
        <v>420.6</v>
      </c>
      <c r="N276" s="63" t="n">
        <f aca="false">IFERROR(N266+N$329,"--")</f>
        <v>147.491666666667</v>
      </c>
      <c r="O276" s="63" t="n">
        <f aca="false">IFERROR(O266+O$329,"--")</f>
        <v>-21.083</v>
      </c>
      <c r="P276" s="63" t="n">
        <f aca="false">IFERROR(P266+P$329,"--")</f>
        <v>200.3888753244</v>
      </c>
      <c r="Q276" s="63" t="n">
        <f aca="false">IFERROR(Q266+Q$329,"--")</f>
        <v>322.77032016264</v>
      </c>
      <c r="R276" s="63" t="n">
        <f aca="false">IFERROR(R266+R$329,"--")</f>
        <v>1584.56081772</v>
      </c>
      <c r="S276" s="63" t="n">
        <f aca="false">IFERROR(S266+S$329,"--")</f>
        <v>1174.82810321773</v>
      </c>
      <c r="T276" s="63" t="n">
        <f aca="false">IFERROR(T266+T$329,"--")</f>
        <v>37.7525555203634</v>
      </c>
      <c r="U276" s="63" t="n">
        <f aca="false">IFERROR(U266+U$329,"--")</f>
        <v>216.98606970693</v>
      </c>
      <c r="V276" s="63" t="n">
        <f aca="false">IFERROR(V266+V$329,"--")</f>
        <v>1346.792248518</v>
      </c>
      <c r="W276" s="63" t="n">
        <f aca="false">IFERROR(W266+W$329,"--")</f>
        <v>1323.76710426</v>
      </c>
      <c r="X276" s="63" t="n">
        <f aca="false">IFERROR(X266+X$329,"--")</f>
        <v>1139.614970037</v>
      </c>
      <c r="Y276" s="63" t="n">
        <f aca="false">IFERROR(Y266+Y$329,"--")</f>
        <v>818.859092754</v>
      </c>
      <c r="Z276" s="63" t="n">
        <f aca="false">IFERROR(Z266+Z$329,"--")</f>
        <v>1018.178</v>
      </c>
      <c r="AA276" s="63" t="n">
        <f aca="false">IFERROR(AA266+AA$329,"--")</f>
        <v>797.404</v>
      </c>
      <c r="AB276" s="63" t="n">
        <f aca="false">IFERROR(AB266+AB$329,"--")</f>
        <v>10697</v>
      </c>
      <c r="AC276" s="63" t="n">
        <f aca="false">IFERROR(AC266+AC$329,"--")</f>
        <v>7480</v>
      </c>
      <c r="AD276" s="63" t="n">
        <f aca="false">IFERROR(AD266+AD$329,"--")</f>
        <v>1758</v>
      </c>
      <c r="AE276" s="63" t="n">
        <f aca="false">IFERROR(AE266+AE$329,"--")</f>
        <v>876.17699623826</v>
      </c>
      <c r="AF276" s="63" t="n">
        <f aca="false">IFERROR(AF266+AF$329,"--")</f>
        <v>-40.83899463647</v>
      </c>
    </row>
    <row r="277" customFormat="false" ht="10.5" hidden="false" customHeight="true" outlineLevel="0" collapsed="false">
      <c r="A277" s="62"/>
      <c r="B277" s="62"/>
      <c r="C277" s="62"/>
      <c r="D277" s="62"/>
      <c r="E277" s="96" t="n">
        <f aca="false">E276-366</f>
        <v>45290</v>
      </c>
      <c r="F277" s="97" t="s">
        <v>216</v>
      </c>
      <c r="G277" s="4" t="str">
        <f aca="false">+TEXT(E277,"yyyy")&amp;F277</f>
        <v>2023EBITDA</v>
      </c>
      <c r="H277" s="4" t="s">
        <v>28</v>
      </c>
      <c r="K277" s="63" t="n">
        <f aca="false">IFERROR(K267+K$329,"--")</f>
        <v>0</v>
      </c>
      <c r="L277" s="63" t="n">
        <f aca="false">IFERROR(L267+L$329,"--")</f>
        <v>619.432</v>
      </c>
      <c r="M277" s="63" t="n">
        <f aca="false">IFERROR(M267+M$329,"--")</f>
        <v>483.7</v>
      </c>
      <c r="N277" s="63" t="n">
        <f aca="false">IFERROR(N267+N$329,"--")</f>
        <v>156.35875</v>
      </c>
      <c r="O277" s="63" t="n">
        <f aca="false">IFERROR(O267+O$329,"--")</f>
        <v>8.606</v>
      </c>
      <c r="P277" s="63" t="n">
        <f aca="false">IFERROR(P267+P$329,"--")</f>
        <v>185.5737332384</v>
      </c>
      <c r="Q277" s="63" t="n">
        <f aca="false">IFERROR(Q267+Q$329,"--")</f>
        <v>282.0523525274</v>
      </c>
      <c r="R277" s="63" t="n">
        <f aca="false">IFERROR(R267+R$329,"--")</f>
        <v>2123.48985704</v>
      </c>
      <c r="S277" s="63" t="n">
        <f aca="false">IFERROR(S267+S$329,"--")</f>
        <v>1211.6617410117</v>
      </c>
      <c r="T277" s="63" t="n">
        <f aca="false">IFERROR(T267+T$329,"--")</f>
        <v>41.9457892818361</v>
      </c>
      <c r="U277" s="63" t="n">
        <f aca="false">IFERROR(U267+U$329,"--")</f>
        <v>256.8067242898</v>
      </c>
      <c r="V277" s="63" t="n">
        <f aca="false">IFERROR(V267+V$329,"--")</f>
        <v>1123.531796872</v>
      </c>
      <c r="W277" s="63" t="n">
        <f aca="false">IFERROR(W267+W$329,"--")</f>
        <v>1315.69591186</v>
      </c>
      <c r="X277" s="63" t="n">
        <f aca="false">IFERROR(X267+X$329,"--")</f>
        <v>1028.837364217</v>
      </c>
      <c r="Y277" s="63" t="n">
        <f aca="false">IFERROR(Y267+Y$329,"--")</f>
        <v>745.295976204</v>
      </c>
      <c r="Z277" s="63" t="n">
        <f aca="false">IFERROR(Z267+Z$329,"--")</f>
        <v>983.581</v>
      </c>
      <c r="AA277" s="63" t="n">
        <f aca="false">IFERROR(AA267+AA$329,"--")</f>
        <v>732.331</v>
      </c>
      <c r="AB277" s="63" t="n">
        <f aca="false">IFERROR(AB267+AB$329,"--")</f>
        <v>10484</v>
      </c>
      <c r="AC277" s="63" t="n">
        <f aca="false">IFERROR(AC267+AC$329,"--")</f>
        <v>7445</v>
      </c>
      <c r="AD277" s="63" t="n">
        <f aca="false">IFERROR(AD267+AD$329,"--")</f>
        <v>1859</v>
      </c>
      <c r="AE277" s="63" t="n">
        <f aca="false">IFERROR(AE267+AE$329,"--")</f>
        <v>759.40902953783</v>
      </c>
      <c r="AF277" s="63" t="n">
        <f aca="false">IFERROR(AF267+AF$329,"--")</f>
        <v>-89.2498603151</v>
      </c>
    </row>
    <row r="278" customFormat="false" ht="10.5" hidden="false" customHeight="true" outlineLevel="0" collapsed="false">
      <c r="A278" s="31"/>
      <c r="B278" s="31"/>
      <c r="C278" s="31"/>
      <c r="D278" s="31"/>
      <c r="E278" s="97"/>
      <c r="F278" s="97"/>
      <c r="AE278" s="3"/>
      <c r="AF278" s="3"/>
    </row>
    <row r="279" customFormat="false" ht="10.5" hidden="false" customHeight="true" outlineLevel="0" collapsed="false">
      <c r="A279" s="62"/>
      <c r="B279" s="62"/>
      <c r="C279" s="62"/>
      <c r="D279" s="62"/>
      <c r="E279" s="96" t="n">
        <f aca="false">E280+365</f>
        <v>48212</v>
      </c>
      <c r="F279" s="97" t="s">
        <v>217</v>
      </c>
      <c r="G279" s="4" t="str">
        <f aca="false">+TEXT(E279,"yyyy")&amp;F279</f>
        <v>2031GAAP Net Income</v>
      </c>
      <c r="H279" s="4" t="s">
        <v>28</v>
      </c>
      <c r="K279" s="63"/>
      <c r="L279" s="63"/>
      <c r="M279" s="63"/>
      <c r="N279" s="63"/>
      <c r="O279" s="63"/>
      <c r="P279" s="63"/>
      <c r="Q279" s="63"/>
      <c r="R279" s="63" t="n">
        <v>3077.7197</v>
      </c>
      <c r="S279" s="63"/>
      <c r="T279" s="63" t="n">
        <v>197.0536</v>
      </c>
      <c r="U279" s="63"/>
      <c r="V279" s="63"/>
      <c r="W279" s="63"/>
      <c r="X279" s="63"/>
      <c r="Y279" s="63"/>
      <c r="Z279" s="63"/>
      <c r="AA279" s="63"/>
      <c r="AB279" s="63"/>
      <c r="AC279" s="63"/>
      <c r="AD279" s="63"/>
      <c r="AE279" s="63" t="n">
        <v>1873.0349</v>
      </c>
      <c r="AF279" s="63"/>
    </row>
    <row r="280" customFormat="false" ht="10.5" hidden="false" customHeight="true" outlineLevel="0" collapsed="false">
      <c r="A280" s="62"/>
      <c r="B280" s="62"/>
      <c r="C280" s="62"/>
      <c r="D280" s="62"/>
      <c r="E280" s="96" t="n">
        <f aca="false">E281+365</f>
        <v>47847</v>
      </c>
      <c r="F280" s="97" t="s">
        <v>217</v>
      </c>
      <c r="G280" s="4" t="str">
        <f aca="false">+TEXT(E280,"yyyy")&amp;F280</f>
        <v>2030GAAP Net Income</v>
      </c>
      <c r="H280" s="4" t="s">
        <v>28</v>
      </c>
      <c r="K280" s="63"/>
      <c r="L280" s="63"/>
      <c r="M280" s="63" t="n">
        <v>329.4</v>
      </c>
      <c r="N280" s="63" t="n">
        <v>-10.050959</v>
      </c>
      <c r="O280" s="63" t="n">
        <v>-35.8</v>
      </c>
      <c r="P280" s="63" t="n">
        <v>414.42322</v>
      </c>
      <c r="Q280" s="63" t="n">
        <v>330.3195</v>
      </c>
      <c r="R280" s="63" t="n">
        <v>2880.9844</v>
      </c>
      <c r="S280" s="63"/>
      <c r="T280" s="63" t="n">
        <v>130.74167</v>
      </c>
      <c r="U280" s="63" t="n">
        <v>393.5239</v>
      </c>
      <c r="V280" s="63"/>
      <c r="W280" s="63"/>
      <c r="X280" s="63"/>
      <c r="Y280" s="63"/>
      <c r="Z280" s="63" t="n">
        <v>2198</v>
      </c>
      <c r="AA280" s="63" t="n">
        <v>818.509</v>
      </c>
      <c r="AB280" s="63" t="n">
        <v>12431</v>
      </c>
      <c r="AC280" s="63" t="n">
        <v>8655.5</v>
      </c>
      <c r="AD280" s="63"/>
      <c r="AE280" s="63" t="n">
        <v>1705.3116</v>
      </c>
      <c r="AF280" s="63" t="n">
        <v>101.90607</v>
      </c>
    </row>
    <row r="281" customFormat="false" ht="10.5" hidden="false" customHeight="true" outlineLevel="0" collapsed="false">
      <c r="A281" s="62"/>
      <c r="B281" s="62"/>
      <c r="C281" s="62"/>
      <c r="D281" s="62"/>
      <c r="E281" s="96" t="n">
        <f aca="false">E282+365</f>
        <v>47482</v>
      </c>
      <c r="F281" s="97" t="s">
        <v>217</v>
      </c>
      <c r="G281" s="4" t="str">
        <f aca="false">+TEXT(E281,"yyyy")&amp;F281</f>
        <v>2029GAAP Net Income</v>
      </c>
      <c r="H281" s="4" t="s">
        <v>28</v>
      </c>
      <c r="K281" s="63"/>
      <c r="L281" s="63" t="n">
        <v>682.8831</v>
      </c>
      <c r="M281" s="63" t="n">
        <v>301.3</v>
      </c>
      <c r="N281" s="63" t="n">
        <v>-18.957672</v>
      </c>
      <c r="O281" s="63" t="n">
        <v>-38.6</v>
      </c>
      <c r="P281" s="63" t="n">
        <v>364.84348</v>
      </c>
      <c r="Q281" s="63" t="n">
        <v>309.54428</v>
      </c>
      <c r="R281" s="63" t="n">
        <v>2491.2292</v>
      </c>
      <c r="S281" s="63"/>
      <c r="T281" s="63" t="n">
        <v>100.98817</v>
      </c>
      <c r="U281" s="63" t="n">
        <v>333.8643</v>
      </c>
      <c r="V281" s="63" t="n">
        <v>1013.7264</v>
      </c>
      <c r="W281" s="63" t="n">
        <v>1159.0474</v>
      </c>
      <c r="X281" s="63" t="n">
        <v>913.5871</v>
      </c>
      <c r="Y281" s="63" t="n">
        <v>666.4221</v>
      </c>
      <c r="Z281" s="63" t="n">
        <v>2024</v>
      </c>
      <c r="AA281" s="63" t="n">
        <v>775.3375</v>
      </c>
      <c r="AB281" s="63" t="n">
        <v>12140.079</v>
      </c>
      <c r="AC281" s="63" t="n">
        <v>8013</v>
      </c>
      <c r="AD281" s="63" t="n">
        <v>2342.7864</v>
      </c>
      <c r="AE281" s="63" t="n">
        <v>1554.0171</v>
      </c>
      <c r="AF281" s="63" t="n">
        <v>55.00545</v>
      </c>
    </row>
    <row r="282" customFormat="false" ht="10.5" hidden="false" customHeight="true" outlineLevel="0" collapsed="false">
      <c r="A282" s="62"/>
      <c r="B282" s="62"/>
      <c r="C282" s="62"/>
      <c r="D282" s="62"/>
      <c r="E282" s="96" t="n">
        <f aca="false">E283+365</f>
        <v>47117</v>
      </c>
      <c r="F282" s="97" t="s">
        <v>217</v>
      </c>
      <c r="G282" s="4" t="str">
        <f aca="false">+TEXT(E282,"yyyy")&amp;F282</f>
        <v>2028GAAP Net Income</v>
      </c>
      <c r="H282" s="4" t="s">
        <v>28</v>
      </c>
      <c r="K282" s="63"/>
      <c r="L282" s="63" t="n">
        <v>634.26215</v>
      </c>
      <c r="M282" s="63" t="n">
        <v>274.94336</v>
      </c>
      <c r="N282" s="63" t="n">
        <v>-28.232977</v>
      </c>
      <c r="O282" s="63" t="n">
        <v>-32.58971</v>
      </c>
      <c r="P282" s="63" t="n">
        <v>324.2404</v>
      </c>
      <c r="Q282" s="63" t="n">
        <v>280.8808</v>
      </c>
      <c r="R282" s="63" t="n">
        <v>2106.6492</v>
      </c>
      <c r="S282" s="63" t="n">
        <v>1831.1797</v>
      </c>
      <c r="T282" s="63" t="n">
        <v>82.88993</v>
      </c>
      <c r="U282" s="63" t="n">
        <v>247.24315</v>
      </c>
      <c r="V282" s="63" t="n">
        <v>928.1657</v>
      </c>
      <c r="W282" s="63" t="n">
        <v>1124.2478</v>
      </c>
      <c r="X282" s="63" t="n">
        <v>891.4521</v>
      </c>
      <c r="Y282" s="63" t="n">
        <v>649.70306</v>
      </c>
      <c r="Z282" s="63" t="n">
        <v>1793.2697</v>
      </c>
      <c r="AA282" s="63" t="n">
        <v>709.8794</v>
      </c>
      <c r="AB282" s="63" t="n">
        <v>10985.745</v>
      </c>
      <c r="AC282" s="63" t="n">
        <v>7168.3804</v>
      </c>
      <c r="AD282" s="63" t="n">
        <v>2129.754</v>
      </c>
      <c r="AE282" s="63" t="n">
        <v>1325.3867</v>
      </c>
      <c r="AF282" s="63" t="n">
        <v>17.519285</v>
      </c>
    </row>
    <row r="283" customFormat="false" ht="10.5" hidden="false" customHeight="true" outlineLevel="0" collapsed="false">
      <c r="A283" s="62"/>
      <c r="B283" s="62"/>
      <c r="C283" s="62"/>
      <c r="D283" s="62"/>
      <c r="E283" s="96" t="n">
        <f aca="false">E284+365</f>
        <v>46752</v>
      </c>
      <c r="F283" s="97" t="s">
        <v>217</v>
      </c>
      <c r="G283" s="4" t="str">
        <f aca="false">+TEXT(E283,"yyyy")&amp;F283</f>
        <v>2027GAAP Net Income</v>
      </c>
      <c r="H283" s="4" t="s">
        <v>28</v>
      </c>
      <c r="K283" s="63"/>
      <c r="L283" s="63" t="n">
        <v>579.179</v>
      </c>
      <c r="M283" s="63" t="n">
        <v>273.57898</v>
      </c>
      <c r="N283" s="63" t="n">
        <v>-35.24675</v>
      </c>
      <c r="O283" s="63" t="n">
        <v>-12.85</v>
      </c>
      <c r="P283" s="63" t="n">
        <v>270.80038</v>
      </c>
      <c r="Q283" s="63" t="n">
        <v>252.64954</v>
      </c>
      <c r="R283" s="63" t="n">
        <v>1769.782</v>
      </c>
      <c r="S283" s="63" t="n">
        <v>1615.6368</v>
      </c>
      <c r="T283" s="63" t="n">
        <v>65.153656</v>
      </c>
      <c r="U283" s="63" t="n">
        <v>189.3045</v>
      </c>
      <c r="V283" s="63" t="n">
        <v>810.12305</v>
      </c>
      <c r="W283" s="63" t="n">
        <v>1032.105</v>
      </c>
      <c r="X283" s="63" t="n">
        <v>825.9413</v>
      </c>
      <c r="Y283" s="63" t="n">
        <v>606.89453</v>
      </c>
      <c r="Z283" s="63" t="n">
        <v>1623.049</v>
      </c>
      <c r="AA283" s="63" t="n">
        <v>654.16626</v>
      </c>
      <c r="AB283" s="63" t="n">
        <v>10109.887</v>
      </c>
      <c r="AC283" s="63" t="n">
        <v>6592.4575</v>
      </c>
      <c r="AD283" s="63" t="n">
        <v>1936.8076</v>
      </c>
      <c r="AE283" s="63" t="n">
        <v>1072.6895</v>
      </c>
      <c r="AF283" s="63" t="n">
        <v>-8.748012</v>
      </c>
    </row>
    <row r="284" customFormat="false" ht="10.5" hidden="false" customHeight="true" outlineLevel="0" collapsed="false">
      <c r="A284" s="62"/>
      <c r="B284" s="62"/>
      <c r="C284" s="62"/>
      <c r="D284" s="62"/>
      <c r="E284" s="96" t="n">
        <f aca="false">E285+365</f>
        <v>46387</v>
      </c>
      <c r="F284" s="97" t="s">
        <v>217</v>
      </c>
      <c r="G284" s="4" t="str">
        <f aca="false">+TEXT(E284,"yyyy")&amp;F284</f>
        <v>2026GAAP Net Income</v>
      </c>
      <c r="H284" s="4" t="s">
        <v>28</v>
      </c>
      <c r="K284" s="63"/>
      <c r="L284" s="63" t="n">
        <v>535.65</v>
      </c>
      <c r="M284" s="63" t="n">
        <v>255.75566</v>
      </c>
      <c r="N284" s="63" t="n">
        <v>-25.958082</v>
      </c>
      <c r="O284" s="63" t="n">
        <v>-29.2</v>
      </c>
      <c r="P284" s="63" t="n">
        <v>220.48972</v>
      </c>
      <c r="Q284" s="63" t="n">
        <v>215.617</v>
      </c>
      <c r="R284" s="63" t="n">
        <v>1482.2551</v>
      </c>
      <c r="S284" s="63" t="n">
        <v>1391.7623</v>
      </c>
      <c r="T284" s="63" t="n">
        <v>48.503277</v>
      </c>
      <c r="U284" s="63" t="n">
        <v>150.35367</v>
      </c>
      <c r="V284" s="63" t="n">
        <v>682.0722</v>
      </c>
      <c r="W284" s="63" t="n">
        <v>914.9783</v>
      </c>
      <c r="X284" s="63" t="n">
        <v>786.58887</v>
      </c>
      <c r="Y284" s="63" t="n">
        <v>562.08844</v>
      </c>
      <c r="Z284" s="63" t="n">
        <v>1374.2</v>
      </c>
      <c r="AA284" s="63" t="n">
        <v>597.78</v>
      </c>
      <c r="AB284" s="63" t="n">
        <v>9340</v>
      </c>
      <c r="AC284" s="63" t="n">
        <v>6039.3</v>
      </c>
      <c r="AD284" s="63" t="n">
        <v>1781.1161</v>
      </c>
      <c r="AE284" s="63" t="n">
        <v>868.5262</v>
      </c>
      <c r="AF284" s="63" t="n">
        <v>-33.96869</v>
      </c>
    </row>
    <row r="285" customFormat="false" ht="10.5" hidden="false" customHeight="true" outlineLevel="0" collapsed="false">
      <c r="A285" s="62"/>
      <c r="B285" s="62" t="s">
        <v>28</v>
      </c>
      <c r="C285" s="62"/>
      <c r="D285" s="62"/>
      <c r="E285" s="99" t="n">
        <f aca="false">+$F$3</f>
        <v>46022</v>
      </c>
      <c r="F285" s="100" t="s">
        <v>217</v>
      </c>
      <c r="G285" s="34" t="str">
        <f aca="false">+TEXT(E285,"yyyy")&amp;F285</f>
        <v>2025GAAP Net Income</v>
      </c>
      <c r="H285" s="34" t="s">
        <v>28</v>
      </c>
      <c r="K285" s="101"/>
      <c r="L285" s="102" t="n">
        <v>424.88</v>
      </c>
      <c r="M285" s="102" t="n">
        <v>759.9</v>
      </c>
      <c r="N285" s="102" t="n">
        <v>-459.608333333333</v>
      </c>
      <c r="O285" s="102" t="n">
        <v>-230.762</v>
      </c>
      <c r="P285" s="102" t="n">
        <f aca="false">148.793*FX!D6</f>
        <v>179.47942255838</v>
      </c>
      <c r="Q285" s="102" t="n">
        <f aca="false">168.659*FX!D6</f>
        <v>203.44250017994</v>
      </c>
      <c r="R285" s="102" t="n">
        <f aca="false">909*FX!D6</f>
        <v>1096.46821494</v>
      </c>
      <c r="S285" s="102" t="n">
        <f aca="false">1614330.309456*FX!D9</f>
        <v>1136.39167803846</v>
      </c>
      <c r="T285" s="102" t="n">
        <f aca="false">54991.748144*FX!D9</f>
        <v>38.7108911884874</v>
      </c>
      <c r="U285" s="102" t="n">
        <f aca="false">140.442*FX!D7</f>
        <v>158.69709214788</v>
      </c>
      <c r="V285" s="102" t="n">
        <f aca="false">416.1*FX!D7</f>
        <v>470.185984554</v>
      </c>
      <c r="W285" s="102" t="n">
        <f aca="false">668*FX!D6</f>
        <v>805.76542088</v>
      </c>
      <c r="X285" s="102" t="n">
        <f aca="false">588*FX!D7</f>
        <v>664.43008632</v>
      </c>
      <c r="Y285" s="102" t="n">
        <f aca="false">343.5*FX!D8</f>
        <v>452.8778883</v>
      </c>
      <c r="Z285" s="102" t="n">
        <v>642.629</v>
      </c>
      <c r="AA285" s="102" t="n">
        <v>239.883</v>
      </c>
      <c r="AB285" s="102" t="n">
        <v>6704</v>
      </c>
      <c r="AC285" s="102" t="n">
        <v>3600</v>
      </c>
      <c r="AD285" s="102" t="n">
        <v>1290</v>
      </c>
      <c r="AE285" s="102" t="n">
        <f aca="false">4908.343*FX!D11</f>
        <v>682.99705736889</v>
      </c>
      <c r="AF285" s="102" t="n">
        <f aca="false">-30.128*FX!D8</f>
        <v>-39.7214119904</v>
      </c>
    </row>
    <row r="286" customFormat="false" ht="10.5" hidden="false" customHeight="true" outlineLevel="0" collapsed="false">
      <c r="A286" s="62"/>
      <c r="B286" s="62"/>
      <c r="C286" s="62"/>
      <c r="D286" s="62"/>
      <c r="E286" s="96" t="n">
        <f aca="false">E285-366</f>
        <v>45656</v>
      </c>
      <c r="F286" s="97" t="s">
        <v>217</v>
      </c>
      <c r="G286" s="4" t="str">
        <f aca="false">+TEXT(E286,"yyyy")&amp;F286</f>
        <v>2024GAAP Net Income</v>
      </c>
      <c r="H286" s="4" t="s">
        <v>28</v>
      </c>
      <c r="K286" s="63"/>
      <c r="L286" s="64" t="n">
        <v>83.591</v>
      </c>
      <c r="M286" s="64" t="n">
        <v>-1844.2</v>
      </c>
      <c r="N286" s="64" t="n">
        <v>-640.916666666667</v>
      </c>
      <c r="O286" s="64" t="n">
        <v>-259.622</v>
      </c>
      <c r="P286" s="64" t="n">
        <f aca="false">120.248*FX!C6</f>
        <v>136.67041846752</v>
      </c>
      <c r="Q286" s="64" t="n">
        <f aca="false">160.064*FX!C6</f>
        <v>181.92413895936</v>
      </c>
      <c r="R286" s="64" t="n">
        <f aca="false">602*FX!C6</f>
        <v>684.21588648</v>
      </c>
      <c r="S286" s="64" t="n">
        <f aca="false">1040301.541231*FX!C9</f>
        <v>763.394076986132</v>
      </c>
      <c r="T286" s="64" t="n">
        <f aca="false">34711.730618*FX!C9</f>
        <v>25.4721621621008</v>
      </c>
      <c r="U286" s="64" t="n">
        <f aca="false">136.881*FX!C7</f>
        <v>148.15732111407</v>
      </c>
      <c r="V286" s="64" t="n">
        <f aca="false">356.3*FX!C7</f>
        <v>385.652161461</v>
      </c>
      <c r="W286" s="64" t="n">
        <f aca="false">581*FX!C6</f>
        <v>660.34789044</v>
      </c>
      <c r="X286" s="64" t="n">
        <f aca="false">569.4*FX!C7</f>
        <v>616.307439618</v>
      </c>
      <c r="Y286" s="64" t="n">
        <f aca="false">345.4*FX!C8</f>
        <v>441.626426318</v>
      </c>
      <c r="Z286" s="64" t="n">
        <v>637.834</v>
      </c>
      <c r="AA286" s="64" t="n">
        <v>283.071</v>
      </c>
      <c r="AB286" s="64" t="n">
        <v>6335</v>
      </c>
      <c r="AC286" s="64" t="n">
        <v>3899</v>
      </c>
      <c r="AD286" s="64" t="n">
        <v>1259</v>
      </c>
      <c r="AE286" s="64" t="n">
        <f aca="false">3356.081*FX!C11</f>
        <v>466.45038819703</v>
      </c>
      <c r="AF286" s="64" t="n">
        <f aca="false">-43.19*FX!C8</f>
        <v>-55.2224822023</v>
      </c>
    </row>
    <row r="287" customFormat="false" ht="10.5" hidden="false" customHeight="true" outlineLevel="0" collapsed="false">
      <c r="A287" s="62"/>
      <c r="B287" s="62"/>
      <c r="C287" s="62"/>
      <c r="D287" s="62"/>
      <c r="E287" s="96" t="n">
        <f aca="false">E286-366</f>
        <v>45290</v>
      </c>
      <c r="F287" s="97" t="s">
        <v>217</v>
      </c>
      <c r="G287" s="4" t="str">
        <f aca="false">+TEXT(E287,"yyyy")&amp;F287</f>
        <v>2023GAAP Net Income</v>
      </c>
      <c r="H287" s="4" t="s">
        <v>28</v>
      </c>
      <c r="K287" s="63"/>
      <c r="L287" s="64" t="n">
        <v>341.303</v>
      </c>
      <c r="M287" s="64" t="n">
        <v>-637.3</v>
      </c>
      <c r="N287" s="64" t="n">
        <v>-15.0125</v>
      </c>
      <c r="O287" s="64" t="n">
        <v>-138.375</v>
      </c>
      <c r="P287" s="64" t="n">
        <f aca="false">111.859*FX!B6</f>
        <v>124.4967627046</v>
      </c>
      <c r="Q287" s="64" t="n">
        <f aca="false">112.774*FX!B6</f>
        <v>125.5151388556</v>
      </c>
      <c r="R287" s="64" t="n">
        <f aca="false">654*FX!B6</f>
        <v>727.8885276</v>
      </c>
      <c r="S287" s="64" t="n">
        <f aca="false">857691.298384*FX!B9</f>
        <v>656.674188781742</v>
      </c>
      <c r="T287" s="64" t="n">
        <f aca="false">19581.189748*FX!B9</f>
        <v>14.9919463067612</v>
      </c>
      <c r="U287" s="64" t="n">
        <f aca="false">170.335*FX!B7</f>
        <v>184.17789209105</v>
      </c>
      <c r="V287" s="64" t="n">
        <f aca="false">256.5*FX!B7</f>
        <v>277.345403595</v>
      </c>
      <c r="W287" s="64" t="n">
        <f aca="false">553*FX!B6</f>
        <v>615.4776082</v>
      </c>
      <c r="X287" s="64" t="n">
        <f aca="false">503.7*FX!B7</f>
        <v>544.635008931</v>
      </c>
      <c r="Y287" s="64" t="n">
        <f aca="false">297.4*FX!B8</f>
        <v>369.779974816</v>
      </c>
      <c r="Z287" s="64" t="n">
        <v>642.234</v>
      </c>
      <c r="AA287" s="64" t="n">
        <v>179.503</v>
      </c>
      <c r="AB287" s="64" t="n">
        <v>5995</v>
      </c>
      <c r="AC287" s="64" t="n">
        <v>4221</v>
      </c>
      <c r="AD287" s="64" t="n">
        <v>1236</v>
      </c>
      <c r="AE287" s="64" t="n">
        <f aca="false">3399.729*FX!B11</f>
        <v>480.21032736111</v>
      </c>
      <c r="AF287" s="64" t="n">
        <f aca="false">-157.49*FX!B8</f>
        <v>-195.8192610416</v>
      </c>
    </row>
    <row r="288" customFormat="false" ht="10.5" hidden="false" customHeight="true" outlineLevel="0" collapsed="false">
      <c r="A288" s="31"/>
      <c r="B288" s="31"/>
      <c r="C288" s="31"/>
      <c r="D288" s="31"/>
      <c r="E288" s="97"/>
      <c r="F288" s="97"/>
      <c r="AE288" s="3"/>
      <c r="AF288" s="3"/>
    </row>
    <row r="289" customFormat="false" ht="10.5" hidden="false" customHeight="true" outlineLevel="0" collapsed="false">
      <c r="A289" s="62"/>
      <c r="B289" s="62" t="s">
        <v>28</v>
      </c>
      <c r="C289" s="62"/>
      <c r="D289" s="62"/>
      <c r="E289" s="96" t="n">
        <f aca="false">E290+365</f>
        <v>48212</v>
      </c>
      <c r="F289" s="97" t="s">
        <v>218</v>
      </c>
      <c r="G289" s="4" t="str">
        <f aca="false">+TEXT(E289,"yyyy")&amp;F289</f>
        <v>2031GAAP EPS</v>
      </c>
      <c r="H289" s="4" t="s">
        <v>28</v>
      </c>
      <c r="K289" s="105"/>
      <c r="L289" s="105"/>
      <c r="M289" s="105"/>
      <c r="N289" s="105"/>
      <c r="O289" s="105"/>
      <c r="P289" s="105"/>
      <c r="Q289" s="105"/>
      <c r="R289" s="105" t="n">
        <v>44.15276</v>
      </c>
      <c r="S289" s="105"/>
      <c r="T289" s="105"/>
      <c r="U289" s="105"/>
      <c r="V289" s="105"/>
      <c r="W289" s="105"/>
      <c r="X289" s="105"/>
      <c r="Y289" s="105"/>
      <c r="Z289" s="105"/>
      <c r="AA289" s="105"/>
      <c r="AB289" s="105"/>
      <c r="AC289" s="105" t="n">
        <v>15.1</v>
      </c>
      <c r="AD289" s="105"/>
      <c r="AE289" s="105" t="n">
        <v>0.44805875</v>
      </c>
      <c r="AF289" s="105"/>
    </row>
    <row r="290" customFormat="false" ht="10.5" hidden="false" customHeight="true" outlineLevel="0" collapsed="false">
      <c r="A290" s="62"/>
      <c r="B290" s="62"/>
      <c r="C290" s="62"/>
      <c r="D290" s="62"/>
      <c r="E290" s="96" t="n">
        <f aca="false">E291+365</f>
        <v>47847</v>
      </c>
      <c r="F290" s="97" t="s">
        <v>218</v>
      </c>
      <c r="G290" s="4" t="str">
        <f aca="false">+TEXT(E290,"yyyy")&amp;F290</f>
        <v>2030GAAP EPS</v>
      </c>
      <c r="H290" s="4" t="s">
        <v>28</v>
      </c>
      <c r="K290" s="105"/>
      <c r="L290" s="105" t="n">
        <v>3.4023</v>
      </c>
      <c r="M290" s="105" t="n">
        <v>14.01</v>
      </c>
      <c r="N290" s="105" t="n">
        <v>0.52345204</v>
      </c>
      <c r="O290" s="105" t="n">
        <v>-0.13</v>
      </c>
      <c r="P290" s="105" t="n">
        <v>5.6036057</v>
      </c>
      <c r="Q290" s="105" t="n">
        <v>7.5154176</v>
      </c>
      <c r="R290" s="105" t="n">
        <v>42.1245</v>
      </c>
      <c r="S290" s="105"/>
      <c r="T290" s="105"/>
      <c r="U290" s="105"/>
      <c r="V290" s="105"/>
      <c r="W290" s="105"/>
      <c r="X290" s="105"/>
      <c r="Y290" s="105"/>
      <c r="Z290" s="105" t="n">
        <v>21.955</v>
      </c>
      <c r="AA290" s="105" t="n">
        <v>7.696</v>
      </c>
      <c r="AB290" s="105" t="n">
        <v>38.205</v>
      </c>
      <c r="AC290" s="105" t="n">
        <v>12.18</v>
      </c>
      <c r="AD290" s="105"/>
      <c r="AE290" s="105" t="n">
        <v>0.40773347</v>
      </c>
      <c r="AF290" s="105" t="n">
        <v>0.80227625</v>
      </c>
    </row>
    <row r="291" customFormat="false" ht="10.5" hidden="false" customHeight="true" outlineLevel="0" collapsed="false">
      <c r="A291" s="62"/>
      <c r="B291" s="62"/>
      <c r="C291" s="62"/>
      <c r="D291" s="62"/>
      <c r="E291" s="96" t="n">
        <f aca="false">E292+365</f>
        <v>47482</v>
      </c>
      <c r="F291" s="97" t="s">
        <v>218</v>
      </c>
      <c r="G291" s="4" t="str">
        <f aca="false">+TEXT(E291,"yyyy")&amp;F291</f>
        <v>2029GAAP EPS</v>
      </c>
      <c r="H291" s="4" t="s">
        <v>28</v>
      </c>
      <c r="K291" s="105"/>
      <c r="L291" s="105" t="n">
        <v>3.42</v>
      </c>
      <c r="M291" s="105" t="n">
        <v>12.4</v>
      </c>
      <c r="N291" s="105" t="n">
        <v>0.48345205</v>
      </c>
      <c r="O291" s="105" t="n">
        <v>-0.14</v>
      </c>
      <c r="P291" s="105" t="n">
        <v>4.9336095</v>
      </c>
      <c r="Q291" s="105" t="n">
        <v>6.965575</v>
      </c>
      <c r="R291" s="105" t="n">
        <v>36.654892</v>
      </c>
      <c r="S291" s="105"/>
      <c r="T291" s="105"/>
      <c r="U291" s="105" t="n">
        <v>5.716491</v>
      </c>
      <c r="V291" s="105" t="n">
        <v>6.5003524</v>
      </c>
      <c r="W291" s="105" t="n">
        <v>6.0755777</v>
      </c>
      <c r="X291" s="105" t="n">
        <v>1.8913615</v>
      </c>
      <c r="Y291" s="105" t="n">
        <v>4.4799905</v>
      </c>
      <c r="Z291" s="105" t="n">
        <v>20.18</v>
      </c>
      <c r="AA291" s="105" t="n">
        <v>7.175</v>
      </c>
      <c r="AB291" s="105" t="n">
        <v>33.48</v>
      </c>
      <c r="AC291" s="105" t="n">
        <v>11.19</v>
      </c>
      <c r="AD291" s="105" t="n">
        <v>8.454482</v>
      </c>
      <c r="AE291" s="105" t="n">
        <v>0.38583833</v>
      </c>
      <c r="AF291" s="105" t="n">
        <v>0.44217002</v>
      </c>
    </row>
    <row r="292" customFormat="false" ht="10.5" hidden="false" customHeight="true" outlineLevel="0" collapsed="false">
      <c r="A292" s="62"/>
      <c r="B292" s="62"/>
      <c r="C292" s="62"/>
      <c r="D292" s="62"/>
      <c r="E292" s="96" t="n">
        <f aca="false">E293+365</f>
        <v>47117</v>
      </c>
      <c r="F292" s="97" t="s">
        <v>218</v>
      </c>
      <c r="G292" s="4" t="str">
        <f aca="false">+TEXT(E292,"yyyy")&amp;F292</f>
        <v>2028GAAP EPS</v>
      </c>
      <c r="H292" s="4" t="s">
        <v>28</v>
      </c>
      <c r="K292" s="105"/>
      <c r="L292" s="105" t="n">
        <v>3.123452</v>
      </c>
      <c r="M292" s="105" t="n">
        <v>10.93</v>
      </c>
      <c r="N292" s="105" t="n">
        <v>0.43997186</v>
      </c>
      <c r="O292" s="105" t="n">
        <v>-0.06767118</v>
      </c>
      <c r="P292" s="105" t="n">
        <v>4.323205</v>
      </c>
      <c r="Q292" s="105" t="n">
        <v>6.3219748</v>
      </c>
      <c r="R292" s="105" t="n">
        <v>31.093922</v>
      </c>
      <c r="S292" s="105" t="n">
        <v>39.579758</v>
      </c>
      <c r="T292" s="105" t="n">
        <v>3.9479494</v>
      </c>
      <c r="U292" s="105" t="n">
        <v>4.738312</v>
      </c>
      <c r="V292" s="105" t="n">
        <v>5.85123</v>
      </c>
      <c r="W292" s="105" t="n">
        <v>5.905104</v>
      </c>
      <c r="X292" s="105" t="n">
        <v>2.0130382</v>
      </c>
      <c r="Y292" s="105" t="n">
        <v>4.1264534</v>
      </c>
      <c r="Z292" s="105" t="n">
        <v>18.39</v>
      </c>
      <c r="AA292" s="105" t="n">
        <v>6.46315</v>
      </c>
      <c r="AB292" s="105" t="n">
        <v>30.36115</v>
      </c>
      <c r="AC292" s="105" t="n">
        <v>10.169584</v>
      </c>
      <c r="AD292" s="105" t="n">
        <v>7.622283</v>
      </c>
      <c r="AE292" s="105" t="n">
        <v>0.31961524</v>
      </c>
      <c r="AF292" s="105" t="n">
        <v>0.1444338</v>
      </c>
    </row>
    <row r="293" customFormat="false" ht="10.5" hidden="false" customHeight="true" outlineLevel="0" collapsed="false">
      <c r="A293" s="62"/>
      <c r="B293" s="62"/>
      <c r="C293" s="62"/>
      <c r="D293" s="62"/>
      <c r="E293" s="96" t="n">
        <f aca="false">E294+365</f>
        <v>46752</v>
      </c>
      <c r="F293" s="97" t="s">
        <v>218</v>
      </c>
      <c r="G293" s="4" t="str">
        <f aca="false">+TEXT(E293,"yyyy")&amp;F293</f>
        <v>2027GAAP EPS</v>
      </c>
      <c r="H293" s="4" t="s">
        <v>28</v>
      </c>
      <c r="K293" s="105"/>
      <c r="L293" s="105" t="n">
        <v>2.8937793</v>
      </c>
      <c r="M293" s="105" t="n">
        <v>10.194888</v>
      </c>
      <c r="N293" s="105" t="n">
        <v>0.36383638</v>
      </c>
      <c r="O293" s="105" t="n">
        <v>-0.07</v>
      </c>
      <c r="P293" s="105" t="n">
        <v>3.608235</v>
      </c>
      <c r="Q293" s="105" t="n">
        <v>5.7254233</v>
      </c>
      <c r="R293" s="105" t="n">
        <v>26.592764</v>
      </c>
      <c r="S293" s="105" t="n">
        <v>34.93527</v>
      </c>
      <c r="T293" s="105" t="n">
        <v>3.1179643</v>
      </c>
      <c r="U293" s="105" t="n">
        <v>3.7574074</v>
      </c>
      <c r="V293" s="105" t="n">
        <v>5.198822</v>
      </c>
      <c r="W293" s="105" t="n">
        <v>5.49397</v>
      </c>
      <c r="X293" s="105" t="n">
        <v>1.8804767</v>
      </c>
      <c r="Y293" s="105" t="n">
        <v>3.7894688</v>
      </c>
      <c r="Z293" s="105" t="n">
        <v>16.52</v>
      </c>
      <c r="AA293" s="105" t="n">
        <v>5.8999</v>
      </c>
      <c r="AB293" s="105" t="n">
        <v>27.45</v>
      </c>
      <c r="AC293" s="105" t="n">
        <v>9.3</v>
      </c>
      <c r="AD293" s="105" t="n">
        <v>6.8673563</v>
      </c>
      <c r="AE293" s="105" t="n">
        <v>0.2553935</v>
      </c>
      <c r="AF293" s="105" t="n">
        <v>-0.07229714</v>
      </c>
    </row>
    <row r="294" customFormat="false" ht="10.5" hidden="false" customHeight="true" outlineLevel="0" collapsed="false">
      <c r="A294" s="62"/>
      <c r="B294" s="62"/>
      <c r="C294" s="62"/>
      <c r="D294" s="62"/>
      <c r="E294" s="96" t="n">
        <f aca="false">E295+365</f>
        <v>46387</v>
      </c>
      <c r="F294" s="97" t="s">
        <v>218</v>
      </c>
      <c r="G294" s="4" t="str">
        <f aca="false">+TEXT(E294,"yyyy")&amp;F294</f>
        <v>2026GAAP EPS</v>
      </c>
      <c r="H294" s="4" t="s">
        <v>28</v>
      </c>
      <c r="K294" s="105"/>
      <c r="L294" s="105" t="n">
        <v>2.6105263</v>
      </c>
      <c r="M294" s="105" t="n">
        <v>9.532641</v>
      </c>
      <c r="N294" s="105" t="n">
        <v>0.30827397</v>
      </c>
      <c r="O294" s="105" t="n">
        <v>-0.11</v>
      </c>
      <c r="P294" s="105" t="n">
        <v>2.9236205</v>
      </c>
      <c r="Q294" s="105" t="n">
        <v>4.970155</v>
      </c>
      <c r="R294" s="105" t="n">
        <v>22.091608</v>
      </c>
      <c r="S294" s="105" t="n">
        <v>29.97213</v>
      </c>
      <c r="T294" s="105" t="n">
        <v>2.401998</v>
      </c>
      <c r="U294" s="105" t="n">
        <v>2.9184482</v>
      </c>
      <c r="V294" s="105" t="n">
        <v>4.6630354</v>
      </c>
      <c r="W294" s="105" t="n">
        <v>5.0323195</v>
      </c>
      <c r="X294" s="105" t="n">
        <v>1.7622683</v>
      </c>
      <c r="Y294" s="105" t="n">
        <v>3.5858293</v>
      </c>
      <c r="Z294" s="105" t="n">
        <v>14.565</v>
      </c>
      <c r="AA294" s="105" t="n">
        <v>5.35</v>
      </c>
      <c r="AB294" s="105" t="n">
        <v>25.125797</v>
      </c>
      <c r="AC294" s="105" t="n">
        <v>8.52</v>
      </c>
      <c r="AD294" s="105" t="n">
        <v>6.2918997</v>
      </c>
      <c r="AE294" s="105" t="n">
        <v>0.20905206</v>
      </c>
      <c r="AF294" s="105" t="n">
        <v>-0.2808435</v>
      </c>
    </row>
    <row r="295" customFormat="false" ht="10.5" hidden="false" customHeight="true" outlineLevel="0" collapsed="false">
      <c r="A295" s="62"/>
      <c r="B295" s="62" t="s">
        <v>28</v>
      </c>
      <c r="C295" s="62"/>
      <c r="D295" s="62"/>
      <c r="E295" s="99" t="n">
        <f aca="false">+$F$3</f>
        <v>46022</v>
      </c>
      <c r="F295" s="100" t="s">
        <v>218</v>
      </c>
      <c r="G295" s="34" t="str">
        <f aca="false">+TEXT(E295,"yyyy")&amp;F295</f>
        <v>2025GAAP EPS</v>
      </c>
      <c r="H295" s="34" t="s">
        <v>28</v>
      </c>
      <c r="K295" s="106"/>
      <c r="L295" s="107" t="n">
        <v>1.94</v>
      </c>
      <c r="M295" s="107" t="n">
        <v>27.85</v>
      </c>
      <c r="N295" s="107" t="n">
        <v>-2.11916666666667</v>
      </c>
      <c r="O295" s="107" t="n">
        <v>-0.9</v>
      </c>
      <c r="P295" s="107" t="n">
        <f aca="false">1.98*FX!D6</f>
        <v>2.3883466068</v>
      </c>
      <c r="Q295" s="107" t="n">
        <f aca="false">3.84*FX!D6</f>
        <v>4.6319449344</v>
      </c>
      <c r="R295" s="107" t="n">
        <f aca="false">13*FX!D6</f>
        <v>15.68106358</v>
      </c>
      <c r="S295" s="107" t="n">
        <f aca="false">24091*FX!D9</f>
        <v>16.95861854</v>
      </c>
      <c r="T295" s="107" t="n">
        <f aca="false">2688*FX!D9</f>
        <v>1.89219072</v>
      </c>
      <c r="U295" s="107" t="n">
        <f aca="false">2.75*FX!D7</f>
        <v>3.107453635</v>
      </c>
      <c r="V295" s="107" t="n">
        <f aca="false">2.23*FX!D7</f>
        <v>2.5198624022</v>
      </c>
      <c r="W295" s="107" t="n">
        <f aca="false">3.46*FX!D6</f>
        <v>4.1735753836</v>
      </c>
      <c r="X295" s="107" t="n">
        <f aca="false">1.31*FX!D7</f>
        <v>1.4802779134</v>
      </c>
      <c r="Y295" s="107" t="n">
        <f aca="false">2.16*FX!D8</f>
        <v>2.847791088</v>
      </c>
      <c r="Z295" s="107" t="n">
        <v>10.76</v>
      </c>
      <c r="AA295" s="107" t="n">
        <v>2.06</v>
      </c>
      <c r="AB295" s="107" t="n">
        <v>17.74</v>
      </c>
      <c r="AC295" s="107" t="n">
        <v>5.03</v>
      </c>
      <c r="AD295" s="107" t="n">
        <v>4.53</v>
      </c>
      <c r="AE295" s="107" t="n">
        <f aca="false">1.16*FX!D11</f>
        <v>0.1614142668</v>
      </c>
      <c r="AF295" s="107" t="n">
        <f aca="false">-0.2692*FX!D8</f>
        <v>-0.35491914856</v>
      </c>
    </row>
    <row r="296" customFormat="false" ht="10.5" hidden="false" customHeight="true" outlineLevel="0" collapsed="false">
      <c r="A296" s="62"/>
      <c r="B296" s="62"/>
      <c r="C296" s="62"/>
      <c r="D296" s="62"/>
      <c r="E296" s="96" t="n">
        <f aca="false">E295-366</f>
        <v>45656</v>
      </c>
      <c r="F296" s="97" t="s">
        <v>218</v>
      </c>
      <c r="G296" s="4" t="str">
        <f aca="false">+TEXT(E296,"yyyy")&amp;F296</f>
        <v>2024GAAP EPS</v>
      </c>
      <c r="H296" s="4" t="s">
        <v>28</v>
      </c>
      <c r="K296" s="105"/>
      <c r="L296" s="81" t="n">
        <v>0.37</v>
      </c>
      <c r="M296" s="81" t="n">
        <v>-65.36</v>
      </c>
      <c r="N296" s="81" t="n">
        <v>-2.95083333333333</v>
      </c>
      <c r="O296" s="81" t="n">
        <v>-1.05</v>
      </c>
      <c r="P296" s="81" t="n">
        <f aca="false">1.6*FX!C6</f>
        <v>1.818513984</v>
      </c>
      <c r="Q296" s="81" t="n">
        <f aca="false">3.69*FX!C6</f>
        <v>4.1939478756</v>
      </c>
      <c r="R296" s="81" t="n">
        <f aca="false">8.49*FX!C6</f>
        <v>9.6494898276</v>
      </c>
      <c r="S296" s="81" t="n">
        <f aca="false">14616*FX!C9</f>
        <v>10.72551312</v>
      </c>
      <c r="T296" s="81" t="n">
        <f aca="false">1780*FX!C9</f>
        <v>1.3061996</v>
      </c>
      <c r="U296" s="81" t="n">
        <f aca="false">2.67*FX!C7</f>
        <v>2.8899558549</v>
      </c>
      <c r="V296" s="81" t="n">
        <f aca="false">1.83*FX!C7</f>
        <v>1.9807562601</v>
      </c>
      <c r="W296" s="81" t="n">
        <f aca="false">3.09*FX!C6</f>
        <v>3.5120051316</v>
      </c>
      <c r="X296" s="81" t="n">
        <f aca="false">1.25*FX!C7</f>
        <v>1.3529755875</v>
      </c>
      <c r="Y296" s="81" t="n">
        <f aca="false">2.127*FX!C8</f>
        <v>2.71956979959</v>
      </c>
      <c r="Z296" s="81" t="n">
        <v>10.71</v>
      </c>
      <c r="AA296" s="81" t="n">
        <v>2.3</v>
      </c>
      <c r="AB296" s="81" t="n">
        <v>16.53</v>
      </c>
      <c r="AC296" s="81" t="n">
        <v>5.29</v>
      </c>
      <c r="AD296" s="81" t="n">
        <v>4.36</v>
      </c>
      <c r="AE296" s="81" t="n">
        <f aca="false">0.78*FX!C11</f>
        <v>0.1084095714</v>
      </c>
      <c r="AF296" s="81" t="n">
        <f aca="false">-0.4175*FX!C8</f>
        <v>-0.533813065975</v>
      </c>
    </row>
    <row r="297" customFormat="false" ht="10.5" hidden="false" customHeight="true" outlineLevel="0" collapsed="false">
      <c r="A297" s="28"/>
      <c r="B297" s="28" t="s">
        <v>28</v>
      </c>
      <c r="C297" s="62"/>
      <c r="D297" s="62"/>
      <c r="E297" s="96" t="n">
        <f aca="false">E296-366</f>
        <v>45290</v>
      </c>
      <c r="F297" s="97" t="s">
        <v>218</v>
      </c>
      <c r="G297" s="4" t="str">
        <f aca="false">+TEXT(E297,"yyyy")&amp;F297</f>
        <v>2023GAAP EPS</v>
      </c>
      <c r="H297" s="4" t="s">
        <v>28</v>
      </c>
      <c r="K297" s="105"/>
      <c r="L297" s="81" t="n">
        <v>1.48</v>
      </c>
      <c r="M297" s="81" t="n">
        <v>-21.82</v>
      </c>
      <c r="N297" s="81" t="n">
        <v>-0.0733333333333333</v>
      </c>
      <c r="O297" s="81" t="n">
        <v>-0.9</v>
      </c>
      <c r="P297" s="81" t="n">
        <f aca="false">1.5*FX!B6</f>
        <v>1.6694691</v>
      </c>
      <c r="Q297" s="81" t="n">
        <f aca="false">2.622*FX!B6</f>
        <v>2.9182319868</v>
      </c>
      <c r="R297" s="81" t="n">
        <f aca="false">8.88*FX!B6</f>
        <v>9.883257072</v>
      </c>
      <c r="S297" s="81" t="n">
        <f aca="false">12051*FX!B9</f>
        <v>9.22660713</v>
      </c>
      <c r="T297" s="81" t="n">
        <f aca="false">1041*FX!B9</f>
        <v>0.79702083</v>
      </c>
      <c r="U297" s="81" t="n">
        <f aca="false">3.2*FX!B7</f>
        <v>3.460059616</v>
      </c>
      <c r="V297" s="81" t="n">
        <f aca="false">1.3*FX!B7</f>
        <v>1.405649219</v>
      </c>
      <c r="W297" s="81" t="n">
        <f aca="false">2.99*FX!B6</f>
        <v>3.327808406</v>
      </c>
      <c r="X297" s="81" t="n">
        <f aca="false">1.1*FX!B7</f>
        <v>1.189395493</v>
      </c>
      <c r="Y297" s="81" t="n">
        <f aca="false">1.834*FX!B8</f>
        <v>2.28035129056</v>
      </c>
      <c r="Z297" s="81" t="n">
        <v>10.84</v>
      </c>
      <c r="AA297" s="81" t="n">
        <v>1.44</v>
      </c>
      <c r="AB297" s="81" t="n">
        <v>15.45</v>
      </c>
      <c r="AC297" s="81" t="n">
        <v>5.65</v>
      </c>
      <c r="AD297" s="81" t="n">
        <v>4.18</v>
      </c>
      <c r="AE297" s="81" t="n">
        <f aca="false">0.77*FX!B11</f>
        <v>0.1087621843</v>
      </c>
      <c r="AF297" s="81" t="n">
        <f aca="false">-1.6311*FX!B8</f>
        <v>-2.028070332624</v>
      </c>
    </row>
    <row r="298" customFormat="false" ht="10.5" hidden="false" customHeight="true" outlineLevel="0" collapsed="false">
      <c r="A298" s="31"/>
      <c r="B298" s="31"/>
      <c r="C298" s="31"/>
      <c r="D298" s="31"/>
      <c r="AE298" s="3"/>
      <c r="AF298" s="3"/>
    </row>
    <row r="299" customFormat="false" ht="10.5" hidden="false" customHeight="true" outlineLevel="0" collapsed="false">
      <c r="A299" s="28" t="s">
        <v>28</v>
      </c>
      <c r="B299" s="28" t="s">
        <v>28</v>
      </c>
      <c r="C299" s="28"/>
      <c r="D299" s="28"/>
      <c r="E299" s="29" t="s">
        <v>219</v>
      </c>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row>
    <row r="300" customFormat="false" ht="10.5" hidden="false" customHeight="true" outlineLevel="0" collapsed="false">
      <c r="AE300" s="3"/>
      <c r="AF300" s="3"/>
    </row>
    <row r="301" customFormat="false" ht="10.5" hidden="false" customHeight="true" outlineLevel="0" collapsed="false">
      <c r="B301" s="28" t="s">
        <v>28</v>
      </c>
      <c r="E301" s="108" t="s">
        <v>220</v>
      </c>
      <c r="AE301" s="3"/>
      <c r="AF301" s="3"/>
    </row>
    <row r="302" customFormat="false" ht="10.5" hidden="false" customHeight="true" outlineLevel="0" collapsed="false">
      <c r="A302" s="103"/>
      <c r="B302" s="103"/>
      <c r="C302" s="103"/>
      <c r="D302" s="103"/>
      <c r="E302" s="2" t="s">
        <v>221</v>
      </c>
      <c r="K302" s="35" t="s">
        <v>57</v>
      </c>
      <c r="L302" s="35" t="s">
        <v>57</v>
      </c>
      <c r="M302" s="35" t="s">
        <v>57</v>
      </c>
      <c r="N302" s="35" t="s">
        <v>57</v>
      </c>
      <c r="O302" s="35" t="s">
        <v>57</v>
      </c>
      <c r="P302" s="35" t="s">
        <v>57</v>
      </c>
      <c r="Q302" s="35" t="s">
        <v>57</v>
      </c>
      <c r="R302" s="35" t="s">
        <v>57</v>
      </c>
      <c r="S302" s="35" t="s">
        <v>57</v>
      </c>
      <c r="T302" s="35" t="s">
        <v>57</v>
      </c>
      <c r="U302" s="35" t="s">
        <v>57</v>
      </c>
      <c r="V302" s="35" t="s">
        <v>57</v>
      </c>
      <c r="W302" s="35" t="s">
        <v>57</v>
      </c>
      <c r="X302" s="35" t="s">
        <v>57</v>
      </c>
      <c r="Y302" s="35" t="s">
        <v>57</v>
      </c>
      <c r="Z302" s="35" t="s">
        <v>57</v>
      </c>
      <c r="AA302" s="35" t="s">
        <v>57</v>
      </c>
      <c r="AB302" s="35" t="s">
        <v>57</v>
      </c>
      <c r="AC302" s="35" t="s">
        <v>57</v>
      </c>
      <c r="AD302" s="35" t="s">
        <v>57</v>
      </c>
      <c r="AE302" s="35" t="s">
        <v>57</v>
      </c>
      <c r="AF302" s="35" t="s">
        <v>57</v>
      </c>
    </row>
    <row r="303" customFormat="false" ht="10.5" hidden="false" customHeight="true" outlineLevel="0" collapsed="false">
      <c r="A303" s="103"/>
      <c r="B303" s="103"/>
      <c r="C303" s="103"/>
      <c r="D303" s="103"/>
      <c r="E303" s="42" t="s">
        <v>222</v>
      </c>
      <c r="K303" s="35" t="s">
        <v>57</v>
      </c>
      <c r="L303" s="35" t="s">
        <v>57</v>
      </c>
      <c r="M303" s="35" t="s">
        <v>57</v>
      </c>
      <c r="N303" s="35" t="s">
        <v>57</v>
      </c>
      <c r="O303" s="35" t="s">
        <v>57</v>
      </c>
      <c r="P303" s="35" t="s">
        <v>57</v>
      </c>
      <c r="Q303" s="35" t="s">
        <v>57</v>
      </c>
      <c r="R303" s="35" t="s">
        <v>57</v>
      </c>
      <c r="S303" s="35" t="s">
        <v>57</v>
      </c>
      <c r="T303" s="35" t="s">
        <v>57</v>
      </c>
      <c r="U303" s="35" t="s">
        <v>57</v>
      </c>
      <c r="V303" s="35" t="s">
        <v>57</v>
      </c>
      <c r="W303" s="35" t="s">
        <v>57</v>
      </c>
      <c r="X303" s="35" t="s">
        <v>57</v>
      </c>
      <c r="Y303" s="35" t="s">
        <v>57</v>
      </c>
      <c r="Z303" s="35" t="s">
        <v>57</v>
      </c>
      <c r="AA303" s="35" t="s">
        <v>57</v>
      </c>
      <c r="AB303" s="35" t="s">
        <v>57</v>
      </c>
      <c r="AC303" s="35" t="s">
        <v>57</v>
      </c>
      <c r="AD303" s="35" t="s">
        <v>57</v>
      </c>
      <c r="AE303" s="35" t="s">
        <v>57</v>
      </c>
      <c r="AF303" s="35" t="s">
        <v>57</v>
      </c>
    </row>
    <row r="304" customFormat="false" ht="10.5" hidden="false" customHeight="true" outlineLevel="0" collapsed="false">
      <c r="A304" s="31"/>
      <c r="B304" s="31"/>
      <c r="C304" s="109" t="str">
        <f aca="false">"1/1/"&amp;TEXT(RIGHT($F$3,6)-366,"yyyy")</f>
        <v>1/1/2024</v>
      </c>
      <c r="D304" s="109" t="str">
        <f aca="false">"12/31/"&amp;TEXT(RIGHT($F$3,6)-366,"yyyy")</f>
        <v>12/31/2024</v>
      </c>
      <c r="E304" s="110" t="s">
        <v>223</v>
      </c>
      <c r="K304" s="35" t="s">
        <v>57</v>
      </c>
      <c r="L304" s="35" t="s">
        <v>57</v>
      </c>
      <c r="M304" s="35" t="s">
        <v>57</v>
      </c>
      <c r="N304" s="35" t="s">
        <v>57</v>
      </c>
      <c r="O304" s="35" t="s">
        <v>57</v>
      </c>
      <c r="P304" s="35" t="s">
        <v>57</v>
      </c>
      <c r="Q304" s="35" t="s">
        <v>57</v>
      </c>
      <c r="R304" s="35" t="s">
        <v>57</v>
      </c>
      <c r="S304" s="35" t="s">
        <v>57</v>
      </c>
      <c r="T304" s="35" t="s">
        <v>57</v>
      </c>
      <c r="U304" s="35" t="s">
        <v>57</v>
      </c>
      <c r="V304" s="35" t="s">
        <v>57</v>
      </c>
      <c r="W304" s="35" t="s">
        <v>57</v>
      </c>
      <c r="X304" s="35" t="s">
        <v>57</v>
      </c>
      <c r="Y304" s="35" t="s">
        <v>57</v>
      </c>
      <c r="Z304" s="35" t="s">
        <v>57</v>
      </c>
      <c r="AA304" s="35" t="s">
        <v>57</v>
      </c>
      <c r="AB304" s="35" t="s">
        <v>57</v>
      </c>
      <c r="AC304" s="35" t="s">
        <v>57</v>
      </c>
      <c r="AD304" s="35" t="s">
        <v>57</v>
      </c>
      <c r="AE304" s="35" t="s">
        <v>57</v>
      </c>
      <c r="AF304" s="35" t="s">
        <v>57</v>
      </c>
    </row>
    <row r="305" customFormat="false" ht="10.5" hidden="false" customHeight="true" outlineLevel="0" collapsed="false">
      <c r="A305" s="31"/>
      <c r="B305" s="31"/>
      <c r="C305" s="109" t="str">
        <f aca="false">"1/1/"&amp;TEXT(RIGHT($F$3,6)-731,"yyyy")</f>
        <v>1/1/2023</v>
      </c>
      <c r="D305" s="109" t="str">
        <f aca="false">"12/31/"&amp;TEXT(RIGHT($F$3,6)-731,"yyyy")</f>
        <v>12/31/2023</v>
      </c>
      <c r="E305" s="110" t="s">
        <v>224</v>
      </c>
      <c r="K305" s="35" t="s">
        <v>57</v>
      </c>
      <c r="L305" s="35" t="s">
        <v>57</v>
      </c>
      <c r="M305" s="35" t="s">
        <v>57</v>
      </c>
      <c r="N305" s="35" t="s">
        <v>57</v>
      </c>
      <c r="O305" s="35" t="s">
        <v>57</v>
      </c>
      <c r="P305" s="35" t="s">
        <v>57</v>
      </c>
      <c r="Q305" s="35" t="s">
        <v>57</v>
      </c>
      <c r="R305" s="35" t="s">
        <v>57</v>
      </c>
      <c r="S305" s="35" t="s">
        <v>57</v>
      </c>
      <c r="T305" s="35" t="s">
        <v>57</v>
      </c>
      <c r="U305" s="35" t="s">
        <v>57</v>
      </c>
      <c r="V305" s="35" t="s">
        <v>57</v>
      </c>
      <c r="W305" s="35" t="s">
        <v>57</v>
      </c>
      <c r="X305" s="35" t="s">
        <v>57</v>
      </c>
      <c r="Y305" s="35" t="s">
        <v>57</v>
      </c>
      <c r="Z305" s="35" t="s">
        <v>57</v>
      </c>
      <c r="AA305" s="35" t="s">
        <v>57</v>
      </c>
      <c r="AB305" s="35" t="s">
        <v>57</v>
      </c>
      <c r="AC305" s="35" t="s">
        <v>57</v>
      </c>
      <c r="AD305" s="35" t="s">
        <v>57</v>
      </c>
      <c r="AE305" s="35" t="s">
        <v>57</v>
      </c>
      <c r="AF305" s="35" t="s">
        <v>57</v>
      </c>
    </row>
    <row r="306" customFormat="false" ht="10.5" hidden="false" customHeight="true" outlineLevel="0" collapsed="false">
      <c r="A306" s="76"/>
      <c r="B306" s="76"/>
      <c r="C306" s="76"/>
      <c r="D306" s="76"/>
      <c r="E306" s="42" t="s">
        <v>225</v>
      </c>
      <c r="K306" s="35" t="s">
        <v>57</v>
      </c>
      <c r="L306" s="35" t="s">
        <v>57</v>
      </c>
      <c r="M306" s="35" t="s">
        <v>57</v>
      </c>
      <c r="N306" s="35" t="s">
        <v>57</v>
      </c>
      <c r="O306" s="35" t="s">
        <v>57</v>
      </c>
      <c r="P306" s="35" t="s">
        <v>57</v>
      </c>
      <c r="Q306" s="35" t="s">
        <v>57</v>
      </c>
      <c r="R306" s="35" t="s">
        <v>57</v>
      </c>
      <c r="S306" s="35" t="s">
        <v>57</v>
      </c>
      <c r="T306" s="35" t="s">
        <v>57</v>
      </c>
      <c r="U306" s="35" t="s">
        <v>57</v>
      </c>
      <c r="V306" s="35" t="s">
        <v>57</v>
      </c>
      <c r="W306" s="35" t="s">
        <v>57</v>
      </c>
      <c r="X306" s="35" t="s">
        <v>57</v>
      </c>
      <c r="Y306" s="35" t="s">
        <v>57</v>
      </c>
      <c r="Z306" s="35" t="s">
        <v>57</v>
      </c>
      <c r="AA306" s="35" t="s">
        <v>57</v>
      </c>
      <c r="AB306" s="35" t="s">
        <v>57</v>
      </c>
      <c r="AC306" s="35" t="s">
        <v>57</v>
      </c>
      <c r="AD306" s="35" t="s">
        <v>57</v>
      </c>
      <c r="AE306" s="35" t="s">
        <v>57</v>
      </c>
      <c r="AF306" s="35" t="s">
        <v>57</v>
      </c>
    </row>
    <row r="307" customFormat="false" ht="10.5" hidden="false" customHeight="true" outlineLevel="0" collapsed="false">
      <c r="A307" s="76"/>
      <c r="B307" s="76"/>
      <c r="C307" s="76"/>
      <c r="D307" s="76"/>
      <c r="K307" s="111"/>
      <c r="L307" s="111"/>
      <c r="M307" s="111"/>
      <c r="N307" s="111"/>
      <c r="O307" s="111"/>
      <c r="P307" s="111"/>
      <c r="Q307" s="111"/>
      <c r="R307" s="111"/>
      <c r="S307" s="111"/>
      <c r="T307" s="111"/>
      <c r="U307" s="111"/>
      <c r="V307" s="111"/>
      <c r="W307" s="111"/>
      <c r="X307" s="111"/>
      <c r="Y307" s="111"/>
      <c r="Z307" s="111"/>
      <c r="AA307" s="111"/>
      <c r="AB307" s="111"/>
      <c r="AC307" s="111"/>
      <c r="AD307" s="111"/>
      <c r="AE307" s="111"/>
      <c r="AF307" s="111"/>
    </row>
    <row r="308" customFormat="false" ht="10.5" hidden="false" customHeight="true" outlineLevel="0" collapsed="false">
      <c r="B308" s="28" t="s">
        <v>28</v>
      </c>
      <c r="E308" s="108" t="s">
        <v>226</v>
      </c>
      <c r="AE308" s="3"/>
      <c r="AF308" s="3"/>
    </row>
    <row r="309" customFormat="false" ht="10.5" hidden="false" customHeight="true" outlineLevel="0" collapsed="false">
      <c r="A309" s="103"/>
      <c r="B309" s="103"/>
      <c r="C309" s="103"/>
      <c r="D309" s="103"/>
      <c r="E309" s="2" t="s">
        <v>227</v>
      </c>
      <c r="K309" s="39"/>
      <c r="L309" s="112" t="s">
        <v>3</v>
      </c>
      <c r="M309" s="112" t="s">
        <v>3</v>
      </c>
      <c r="N309" s="112" t="s">
        <v>3</v>
      </c>
      <c r="O309" s="112" t="s">
        <v>3</v>
      </c>
      <c r="P309" s="112" t="s">
        <v>228</v>
      </c>
      <c r="Q309" s="112" t="s">
        <v>228</v>
      </c>
      <c r="R309" s="112" t="s">
        <v>228</v>
      </c>
      <c r="S309" s="112" t="s">
        <v>229</v>
      </c>
      <c r="T309" s="112" t="s">
        <v>229</v>
      </c>
      <c r="U309" s="112" t="s">
        <v>230</v>
      </c>
      <c r="V309" s="112" t="s">
        <v>230</v>
      </c>
      <c r="W309" s="112" t="s">
        <v>228</v>
      </c>
      <c r="X309" s="112" t="s">
        <v>230</v>
      </c>
      <c r="Y309" s="112" t="s">
        <v>231</v>
      </c>
      <c r="Z309" s="112" t="s">
        <v>3</v>
      </c>
      <c r="AA309" s="112" t="s">
        <v>3</v>
      </c>
      <c r="AB309" s="112" t="s">
        <v>3</v>
      </c>
      <c r="AC309" s="112" t="s">
        <v>3</v>
      </c>
      <c r="AD309" s="112" t="s">
        <v>3</v>
      </c>
      <c r="AE309" s="112" t="s">
        <v>232</v>
      </c>
      <c r="AF309" s="112" t="s">
        <v>231</v>
      </c>
    </row>
    <row r="310" customFormat="false" ht="10.5" hidden="false" customHeight="true" outlineLevel="0" collapsed="false">
      <c r="A310" s="31"/>
      <c r="B310" s="31"/>
      <c r="C310" s="109" t="str">
        <f aca="false">"1/1/"&amp;TEXT(RIGHT($F$3,6)-366,"yyyy")</f>
        <v>1/1/2024</v>
      </c>
      <c r="D310" s="109" t="str">
        <f aca="false">"12/31/"&amp;TEXT(RIGHT($F$3,6)-366,"yyyy")</f>
        <v>12/31/2024</v>
      </c>
      <c r="E310" s="113" t="str">
        <f aca="false">"Avg "&amp;TEXT(RIGHT($F$3,6)-366,"yyyy")&amp;" Exch ("&amp;$F$4&amp;"/local)"</f>
        <v>Avg 2024 Exch (USD/local)</v>
      </c>
      <c r="K310" s="60"/>
      <c r="L310" s="114" t="n">
        <f aca="false">FX!C5</f>
        <v>1</v>
      </c>
      <c r="M310" s="114" t="n">
        <f aca="false">FX!C5</f>
        <v>1</v>
      </c>
      <c r="N310" s="114" t="n">
        <f aca="false">FX!C5</f>
        <v>1</v>
      </c>
      <c r="O310" s="114" t="n">
        <f aca="false">FX!C5</f>
        <v>1</v>
      </c>
      <c r="P310" s="114" t="n">
        <f aca="false">FX!C6</f>
        <v>1.13657124</v>
      </c>
      <c r="Q310" s="114" t="n">
        <f aca="false">FX!C6</f>
        <v>1.13657124</v>
      </c>
      <c r="R310" s="114" t="n">
        <f aca="false">FX!C6</f>
        <v>1.13657124</v>
      </c>
      <c r="S310" s="114" t="n">
        <f aca="false">FX!C9</f>
        <v>0.00073382</v>
      </c>
      <c r="T310" s="114" t="n">
        <f aca="false">FX!C9</f>
        <v>0.00073382</v>
      </c>
      <c r="U310" s="114" t="n">
        <f aca="false">FX!C7</f>
        <v>1.08238047</v>
      </c>
      <c r="V310" s="114" t="n">
        <f aca="false">FX!C7</f>
        <v>1.08238047</v>
      </c>
      <c r="W310" s="114" t="n">
        <f aca="false">FX!C6</f>
        <v>1.13657124</v>
      </c>
      <c r="X310" s="114" t="n">
        <f aca="false">FX!C7</f>
        <v>1.08238047</v>
      </c>
      <c r="Y310" s="114" t="n">
        <f aca="false">FX!C8</f>
        <v>1.27859417</v>
      </c>
      <c r="Z310" s="114" t="n">
        <f aca="false">FX!C5</f>
        <v>1</v>
      </c>
      <c r="AA310" s="114" t="n">
        <f aca="false">FX!C5</f>
        <v>1</v>
      </c>
      <c r="AB310" s="114" t="n">
        <f aca="false">FX!C5</f>
        <v>1</v>
      </c>
      <c r="AC310" s="114" t="n">
        <f aca="false">FX!C5</f>
        <v>1</v>
      </c>
      <c r="AD310" s="114" t="n">
        <f aca="false">FX!C5</f>
        <v>1</v>
      </c>
      <c r="AE310" s="114" t="n">
        <f aca="false">FX!C11</f>
        <v>0.13898663</v>
      </c>
      <c r="AF310" s="114" t="n">
        <f aca="false">FX!C8</f>
        <v>1.27859417</v>
      </c>
    </row>
    <row r="311" customFormat="false" ht="10.5" hidden="false" customHeight="true" outlineLevel="0" collapsed="false">
      <c r="A311" s="31"/>
      <c r="B311" s="31"/>
      <c r="C311" s="109" t="str">
        <f aca="false">"1/1/"&amp;TEXT(RIGHT($F$3,6)-731,"yyyy")</f>
        <v>1/1/2023</v>
      </c>
      <c r="D311" s="109" t="str">
        <f aca="false">"12/31/"&amp;TEXT(RIGHT($F$3,6)-731,"yyyy")</f>
        <v>12/31/2023</v>
      </c>
      <c r="E311" s="113" t="str">
        <f aca="false">"Avg "&amp;TEXT(RIGHT($F$3,6)-731,"yyyy")&amp;" Exch ("&amp;$F$4&amp;"/local)"</f>
        <v>Avg 2023 Exch (USD/local)</v>
      </c>
      <c r="K311" s="60"/>
      <c r="L311" s="114" t="n">
        <f aca="false">FX!B5</f>
        <v>1</v>
      </c>
      <c r="M311" s="114" t="n">
        <f aca="false">FX!B5</f>
        <v>1</v>
      </c>
      <c r="N311" s="114" t="n">
        <f aca="false">FX!B5</f>
        <v>1</v>
      </c>
      <c r="O311" s="114" t="n">
        <f aca="false">FX!B5</f>
        <v>1</v>
      </c>
      <c r="P311" s="114" t="n">
        <f aca="false">FX!B6</f>
        <v>1.1129794</v>
      </c>
      <c r="Q311" s="114" t="n">
        <f aca="false">FX!B6</f>
        <v>1.1129794</v>
      </c>
      <c r="R311" s="114" t="n">
        <f aca="false">FX!B6</f>
        <v>1.1129794</v>
      </c>
      <c r="S311" s="114" t="n">
        <f aca="false">FX!B9</f>
        <v>0.00076563</v>
      </c>
      <c r="T311" s="114" t="n">
        <f aca="false">FX!B9</f>
        <v>0.00076563</v>
      </c>
      <c r="U311" s="114" t="n">
        <f aca="false">FX!B7</f>
        <v>1.08126863</v>
      </c>
      <c r="V311" s="114" t="n">
        <f aca="false">FX!B7</f>
        <v>1.08126863</v>
      </c>
      <c r="W311" s="114" t="n">
        <f aca="false">FX!B6</f>
        <v>1.1129794</v>
      </c>
      <c r="X311" s="114" t="n">
        <f aca="false">FX!B7</f>
        <v>1.08126863</v>
      </c>
      <c r="Y311" s="114" t="n">
        <f aca="false">FX!B8</f>
        <v>1.24337584</v>
      </c>
      <c r="Z311" s="114" t="n">
        <f aca="false">FX!B5</f>
        <v>1</v>
      </c>
      <c r="AA311" s="114" t="n">
        <f aca="false">FX!B5</f>
        <v>1</v>
      </c>
      <c r="AB311" s="114" t="n">
        <f aca="false">FX!B5</f>
        <v>1</v>
      </c>
      <c r="AC311" s="114" t="n">
        <f aca="false">FX!B5</f>
        <v>1</v>
      </c>
      <c r="AD311" s="114" t="n">
        <f aca="false">FX!B5</f>
        <v>1</v>
      </c>
      <c r="AE311" s="114" t="n">
        <f aca="false">FX!B11</f>
        <v>0.14124959</v>
      </c>
      <c r="AF311" s="114" t="n">
        <f aca="false">FX!B8</f>
        <v>1.24337584</v>
      </c>
    </row>
    <row r="312" customFormat="false" ht="10.5" hidden="false" customHeight="true" outlineLevel="0" collapsed="false">
      <c r="A312" s="76"/>
      <c r="B312" s="76"/>
      <c r="C312" s="76"/>
      <c r="D312" s="76"/>
      <c r="E312" s="2" t="s">
        <v>233</v>
      </c>
      <c r="K312" s="111" t="n">
        <f aca="false">+K$309</f>
        <v>0</v>
      </c>
      <c r="L312" s="111" t="str">
        <f aca="false">+L$309</f>
        <v>USD</v>
      </c>
      <c r="M312" s="111" t="str">
        <f aca="false">+M$309</f>
        <v>USD</v>
      </c>
      <c r="N312" s="111" t="str">
        <f aca="false">+N$309</f>
        <v>USD</v>
      </c>
      <c r="O312" s="111" t="str">
        <f aca="false">+O$309</f>
        <v>USD</v>
      </c>
      <c r="P312" s="111" t="str">
        <f aca="false">+P$309</f>
        <v>CHF</v>
      </c>
      <c r="Q312" s="111" t="str">
        <f aca="false">+Q$309</f>
        <v>CHF</v>
      </c>
      <c r="R312" s="111" t="str">
        <f aca="false">+R$309</f>
        <v>CHF</v>
      </c>
      <c r="S312" s="111" t="str">
        <f aca="false">+S$309</f>
        <v>KRW</v>
      </c>
      <c r="T312" s="111" t="str">
        <f aca="false">+T$309</f>
        <v>KRW</v>
      </c>
      <c r="U312" s="111" t="str">
        <f aca="false">+U$309</f>
        <v>EUR</v>
      </c>
      <c r="V312" s="111" t="str">
        <f aca="false">+V$309</f>
        <v>EUR</v>
      </c>
      <c r="W312" s="111" t="str">
        <f aca="false">+W$309</f>
        <v>CHF</v>
      </c>
      <c r="X312" s="111" t="str">
        <f aca="false">+X$309</f>
        <v>EUR</v>
      </c>
      <c r="Y312" s="111" t="str">
        <f aca="false">+Y$309</f>
        <v>GBP</v>
      </c>
      <c r="Z312" s="111" t="str">
        <f aca="false">+Z$309</f>
        <v>USD</v>
      </c>
      <c r="AA312" s="111" t="str">
        <f aca="false">+AA$309</f>
        <v>USD</v>
      </c>
      <c r="AB312" s="111" t="str">
        <f aca="false">+AB$309</f>
        <v>USD</v>
      </c>
      <c r="AC312" s="111" t="str">
        <f aca="false">+AC$309</f>
        <v>USD</v>
      </c>
      <c r="AD312" s="111" t="str">
        <f aca="false">+AD$309</f>
        <v>USD</v>
      </c>
      <c r="AE312" s="112" t="s">
        <v>234</v>
      </c>
      <c r="AF312" s="111" t="str">
        <f aca="false">+AF$309</f>
        <v>GBP</v>
      </c>
    </row>
    <row r="313" customFormat="false" ht="10.5" hidden="false" customHeight="true" outlineLevel="0" collapsed="false">
      <c r="A313" s="31"/>
      <c r="B313" s="31"/>
      <c r="C313" s="31"/>
      <c r="D313" s="31"/>
      <c r="E313" s="2" t="str">
        <f aca="false">"Options/Pref ("&amp;$F$4&amp;"/Local)"</f>
        <v>Options/Pref (USD/Local)</v>
      </c>
      <c r="K313" s="60"/>
      <c r="L313" s="114" t="n">
        <f aca="false">FX!G5</f>
        <v>1</v>
      </c>
      <c r="M313" s="114" t="n">
        <f aca="false">FX!F5</f>
        <v>1</v>
      </c>
      <c r="N313" s="114" t="n">
        <f aca="false">FX!F5</f>
        <v>1</v>
      </c>
      <c r="O313" s="114" t="n">
        <f aca="false">FX!F5</f>
        <v>1</v>
      </c>
      <c r="P313" s="114" t="n">
        <f aca="false">FX!F6</f>
        <v>1.21741894</v>
      </c>
      <c r="Q313" s="114" t="n">
        <f aca="false">FX!F6</f>
        <v>1.21741894</v>
      </c>
      <c r="R313" s="114" t="n">
        <f aca="false">FX!F6</f>
        <v>1.21741894</v>
      </c>
      <c r="S313" s="114" t="n">
        <f aca="false">FX!F9</f>
        <v>0.00072877</v>
      </c>
      <c r="T313" s="114" t="n">
        <f aca="false">FX!F9</f>
        <v>0.00072877</v>
      </c>
      <c r="U313" s="114" t="n">
        <f aca="false">FX!F7</f>
        <v>1.149</v>
      </c>
      <c r="V313" s="114" t="n">
        <f aca="false">FX!F7</f>
        <v>1.149</v>
      </c>
      <c r="W313" s="114" t="n">
        <f aca="false">FX!F6</f>
        <v>1.21741894</v>
      </c>
      <c r="X313" s="114" t="n">
        <f aca="false">FX!F7</f>
        <v>1.149</v>
      </c>
      <c r="Y313" s="114" t="n">
        <f aca="false">FX!H8</f>
        <v>1.34228573</v>
      </c>
      <c r="Z313" s="114" t="n">
        <f aca="false">FX!F5</f>
        <v>1</v>
      </c>
      <c r="AA313" s="114" t="n">
        <f aca="false">FX!F5</f>
        <v>1</v>
      </c>
      <c r="AB313" s="114" t="n">
        <f aca="false">FX!F5</f>
        <v>1</v>
      </c>
      <c r="AC313" s="114" t="n">
        <f aca="false">FX!F5</f>
        <v>1</v>
      </c>
      <c r="AD313" s="114" t="n">
        <f aca="false">FX!F5</f>
        <v>1</v>
      </c>
      <c r="AE313" s="114" t="n">
        <f aca="false">FX!F10</f>
        <v>0.12746273</v>
      </c>
      <c r="AF313" s="114" t="n">
        <f aca="false">FX!F8</f>
        <v>1.33947307</v>
      </c>
    </row>
    <row r="314" customFormat="false" ht="10.5" hidden="false" customHeight="true" outlineLevel="0" collapsed="false">
      <c r="A314" s="76"/>
      <c r="B314" s="76"/>
      <c r="C314" s="76"/>
      <c r="D314" s="76"/>
      <c r="E314" s="2" t="s">
        <v>235</v>
      </c>
      <c r="K314" s="111" t="n">
        <f aca="false">+K$309</f>
        <v>0</v>
      </c>
      <c r="L314" s="111" t="str">
        <f aca="false">+L$309</f>
        <v>USD</v>
      </c>
      <c r="M314" s="111" t="str">
        <f aca="false">+M$309</f>
        <v>USD</v>
      </c>
      <c r="N314" s="111" t="str">
        <f aca="false">+N$309</f>
        <v>USD</v>
      </c>
      <c r="O314" s="111" t="str">
        <f aca="false">+O$309</f>
        <v>USD</v>
      </c>
      <c r="P314" s="111" t="str">
        <f aca="false">+P$309</f>
        <v>CHF</v>
      </c>
      <c r="Q314" s="111" t="str">
        <f aca="false">+Q$309</f>
        <v>CHF</v>
      </c>
      <c r="R314" s="111" t="str">
        <f aca="false">+R$309</f>
        <v>CHF</v>
      </c>
      <c r="S314" s="111" t="str">
        <f aca="false">+S$309</f>
        <v>KRW</v>
      </c>
      <c r="T314" s="111" t="str">
        <f aca="false">+T$309</f>
        <v>KRW</v>
      </c>
      <c r="U314" s="111" t="str">
        <f aca="false">+U$309</f>
        <v>EUR</v>
      </c>
      <c r="V314" s="111" t="str">
        <f aca="false">+V$309</f>
        <v>EUR</v>
      </c>
      <c r="W314" s="111" t="str">
        <f aca="false">+W$309</f>
        <v>CHF</v>
      </c>
      <c r="X314" s="111" t="str">
        <f aca="false">+X$309</f>
        <v>EUR</v>
      </c>
      <c r="Y314" s="111" t="str">
        <f aca="false">+Y$309</f>
        <v>GBP</v>
      </c>
      <c r="Z314" s="111" t="str">
        <f aca="false">+Z$309</f>
        <v>USD</v>
      </c>
      <c r="AA314" s="111" t="str">
        <f aca="false">+AA$309</f>
        <v>USD</v>
      </c>
      <c r="AB314" s="111" t="str">
        <f aca="false">+AB$309</f>
        <v>USD</v>
      </c>
      <c r="AC314" s="111" t="str">
        <f aca="false">+AC$309</f>
        <v>USD</v>
      </c>
      <c r="AD314" s="111" t="str">
        <f aca="false">+AD$309</f>
        <v>USD</v>
      </c>
      <c r="AE314" s="111" t="str">
        <f aca="false">+AE$309</f>
        <v>CNY</v>
      </c>
      <c r="AF314" s="111" t="str">
        <f aca="false">+AF$309</f>
        <v>GBP</v>
      </c>
    </row>
    <row r="315" customFormat="false" ht="10.5" hidden="false" customHeight="true" outlineLevel="0" collapsed="false">
      <c r="A315" s="28"/>
      <c r="B315" s="5"/>
      <c r="C315" s="31"/>
      <c r="D315" s="31"/>
      <c r="E315" s="2" t="s">
        <v>236</v>
      </c>
      <c r="K315" s="39"/>
      <c r="L315" s="112" t="s">
        <v>237</v>
      </c>
      <c r="M315" s="112" t="s">
        <v>237</v>
      </c>
      <c r="N315" s="112" t="s">
        <v>238</v>
      </c>
      <c r="O315" s="112" t="s">
        <v>237</v>
      </c>
      <c r="P315" s="112" t="s">
        <v>237</v>
      </c>
      <c r="Q315" s="112" t="s">
        <v>237</v>
      </c>
      <c r="R315" s="112" t="s">
        <v>237</v>
      </c>
      <c r="S315" s="112" t="s">
        <v>237</v>
      </c>
      <c r="T315" s="112" t="s">
        <v>237</v>
      </c>
      <c r="U315" s="112" t="s">
        <v>237</v>
      </c>
      <c r="V315" s="112" t="s">
        <v>237</v>
      </c>
      <c r="W315" s="112" t="s">
        <v>237</v>
      </c>
      <c r="X315" s="112" t="s">
        <v>237</v>
      </c>
      <c r="Y315" s="112" t="s">
        <v>237</v>
      </c>
      <c r="Z315" s="112" t="s">
        <v>239</v>
      </c>
      <c r="AA315" s="112" t="s">
        <v>240</v>
      </c>
      <c r="AB315" s="112" t="s">
        <v>241</v>
      </c>
      <c r="AC315" s="112" t="s">
        <v>242</v>
      </c>
      <c r="AD315" s="112" t="s">
        <v>243</v>
      </c>
      <c r="AE315" s="112" t="s">
        <v>237</v>
      </c>
      <c r="AF315" s="112" t="s">
        <v>237</v>
      </c>
    </row>
    <row r="316" customFormat="false" ht="10.5" hidden="false" customHeight="true" outlineLevel="0" collapsed="false">
      <c r="A316" s="31"/>
      <c r="B316" s="31"/>
      <c r="C316" s="31"/>
      <c r="D316" s="31"/>
      <c r="E316" s="2" t="s">
        <v>244</v>
      </c>
      <c r="K316" s="115"/>
      <c r="L316" s="116" t="n">
        <f aca="false">FX!E5</f>
        <v>1</v>
      </c>
      <c r="M316" s="116" t="n">
        <f aca="false">FX!E5</f>
        <v>1</v>
      </c>
      <c r="N316" s="116" t="n">
        <f aca="false">FX!E5</f>
        <v>1</v>
      </c>
      <c r="O316" s="116" t="n">
        <f aca="false">FX!E5</f>
        <v>1</v>
      </c>
      <c r="P316" s="116" t="n">
        <f aca="false">FX!E6</f>
        <v>1.23525585</v>
      </c>
      <c r="Q316" s="116" t="n">
        <f aca="false">FX!E6</f>
        <v>1.23525585</v>
      </c>
      <c r="R316" s="116" t="n">
        <f aca="false">FX!E6</f>
        <v>1.23525585</v>
      </c>
      <c r="S316" s="116" t="n">
        <f aca="false">FX!E9</f>
        <v>0.00064479</v>
      </c>
      <c r="T316" s="116" t="n">
        <f aca="false">FX!E9</f>
        <v>0.00064479</v>
      </c>
      <c r="U316" s="116" t="n">
        <f aca="false">FX!E7</f>
        <v>1.1394</v>
      </c>
      <c r="V316" s="116" t="n">
        <f aca="false">FX!E7</f>
        <v>1.1394</v>
      </c>
      <c r="W316" s="116" t="n">
        <f aca="false">FX!E6</f>
        <v>1.23525585</v>
      </c>
      <c r="X316" s="116" t="n">
        <f aca="false">FX!E7</f>
        <v>1.1394</v>
      </c>
      <c r="Y316" s="116" t="n">
        <f aca="false">FX!E8</f>
        <v>1.32214718</v>
      </c>
      <c r="Z316" s="116" t="n">
        <f aca="false">FX!E5</f>
        <v>1</v>
      </c>
      <c r="AA316" s="116" t="n">
        <f aca="false">FX!E5</f>
        <v>1</v>
      </c>
      <c r="AB316" s="116" t="n">
        <f aca="false">FX!E5</f>
        <v>1</v>
      </c>
      <c r="AC316" s="116" t="n">
        <f aca="false">FX!E5</f>
        <v>1</v>
      </c>
      <c r="AD316" s="116" t="n">
        <f aca="false">FX!E5</f>
        <v>1</v>
      </c>
      <c r="AE316" s="116" t="n">
        <f aca="false">FX!E11</f>
        <v>0.14737305</v>
      </c>
      <c r="AF316" s="116" t="n">
        <f aca="false">FX!E8</f>
        <v>1.32214718</v>
      </c>
    </row>
    <row r="317" customFormat="false" ht="10.5" hidden="false" customHeight="true" outlineLevel="0" collapsed="false">
      <c r="A317" s="31"/>
      <c r="B317" s="31"/>
      <c r="C317" s="31"/>
      <c r="D317" s="31"/>
      <c r="E317" s="2" t="str">
        <f aca="false">+"Current Dividend per Share - "&amp;F4</f>
        <v>Current Dividend per Share - USD</v>
      </c>
      <c r="K317" s="60"/>
      <c r="L317" s="60" t="n">
        <v>0.2631579</v>
      </c>
      <c r="M317" s="60" t="n">
        <v>0</v>
      </c>
      <c r="N317" s="60"/>
      <c r="O317" s="60" t="n">
        <v>0</v>
      </c>
      <c r="P317" s="60" t="n">
        <v>1.2181752</v>
      </c>
      <c r="Q317" s="60" t="n">
        <v>0.5116336</v>
      </c>
      <c r="R317" s="60" t="n">
        <v>6.6999636</v>
      </c>
      <c r="S317" s="60" t="n">
        <v>0</v>
      </c>
      <c r="T317" s="60" t="n">
        <v>0.36196476</v>
      </c>
      <c r="U317" s="60" t="n">
        <v>1.101408</v>
      </c>
      <c r="V317" s="60" t="n">
        <v>0.9235765</v>
      </c>
      <c r="W317" s="60" t="n">
        <v>3.8981607</v>
      </c>
      <c r="X317" s="60" t="n">
        <v>1.158773</v>
      </c>
      <c r="Y317" s="60" t="n">
        <v>2.2946475</v>
      </c>
      <c r="Z317" s="60" t="n">
        <v>0</v>
      </c>
      <c r="AA317" s="60" t="n">
        <v>0.28</v>
      </c>
      <c r="AB317" s="60" t="n">
        <v>1.8429012</v>
      </c>
      <c r="AC317" s="60" t="n">
        <v>1.4255259</v>
      </c>
      <c r="AD317" s="60" t="n">
        <v>1.02</v>
      </c>
      <c r="AE317" s="60" t="n">
        <v>0</v>
      </c>
      <c r="AF317" s="60" t="n">
        <v>0</v>
      </c>
    </row>
    <row r="318" customFormat="false" ht="10.5" hidden="false" customHeight="true" outlineLevel="0" collapsed="false">
      <c r="E318" s="117"/>
      <c r="AE318" s="3"/>
      <c r="AF318" s="3"/>
    </row>
    <row r="319" customFormat="false" ht="10.5" hidden="false" customHeight="true" outlineLevel="0" collapsed="false">
      <c r="B319" s="28" t="s">
        <v>28</v>
      </c>
      <c r="E319" s="108" t="s">
        <v>245</v>
      </c>
      <c r="AE319" s="3"/>
      <c r="AF319" s="3"/>
    </row>
    <row r="320" customFormat="false" ht="10.5" hidden="false" customHeight="true" outlineLevel="0" collapsed="false">
      <c r="E320" s="118" t="s">
        <v>246</v>
      </c>
      <c r="K320" s="119" t="s">
        <v>104</v>
      </c>
      <c r="L320" s="119" t="n">
        <v>0.052637372</v>
      </c>
      <c r="M320" s="119" t="s">
        <v>104</v>
      </c>
      <c r="N320" s="119" t="s">
        <v>104</v>
      </c>
      <c r="O320" s="119" t="n">
        <v>0.0275</v>
      </c>
      <c r="P320" s="119" t="n">
        <v>0.05</v>
      </c>
      <c r="Q320" s="119" t="n">
        <v>0.04</v>
      </c>
      <c r="R320" s="119" t="n">
        <v>0.14601606</v>
      </c>
      <c r="S320" s="119" t="n">
        <v>0.035</v>
      </c>
      <c r="T320" s="119" t="n">
        <v>0.03</v>
      </c>
      <c r="U320" s="119" t="n">
        <v>0</v>
      </c>
      <c r="V320" s="119" t="n">
        <v>0.1504993</v>
      </c>
      <c r="W320" s="119" t="n">
        <v>0.05291431</v>
      </c>
      <c r="X320" s="119" t="n">
        <v>0.04652228</v>
      </c>
      <c r="Y320" s="119" t="s">
        <v>104</v>
      </c>
      <c r="Z320" s="119" t="n">
        <v>0.11645667</v>
      </c>
      <c r="AA320" s="119" t="n">
        <v>0.068765156</v>
      </c>
      <c r="AB320" s="119" t="n">
        <v>0.0881832</v>
      </c>
      <c r="AC320" s="119" t="n">
        <v>0.08550393</v>
      </c>
      <c r="AD320" s="119" t="n">
        <v>0.08</v>
      </c>
      <c r="AE320" s="119" t="n">
        <v>0.0325</v>
      </c>
      <c r="AF320" s="119" t="s">
        <v>104</v>
      </c>
    </row>
    <row r="321" customFormat="false" ht="10.5" hidden="false" customHeight="true" outlineLevel="0" collapsed="false">
      <c r="E321" s="118" t="s">
        <v>247</v>
      </c>
      <c r="K321" s="120" t="s">
        <v>104</v>
      </c>
      <c r="L321" s="120" t="n">
        <v>16</v>
      </c>
      <c r="M321" s="120" t="n">
        <v>3</v>
      </c>
      <c r="N321" s="120" t="n">
        <v>1</v>
      </c>
      <c r="O321" s="120" t="n">
        <v>4</v>
      </c>
      <c r="P321" s="120" t="n">
        <v>11</v>
      </c>
      <c r="Q321" s="120" t="n">
        <v>11</v>
      </c>
      <c r="R321" s="120" t="n">
        <v>22</v>
      </c>
      <c r="S321" s="120" t="n">
        <v>26</v>
      </c>
      <c r="T321" s="120" t="n">
        <v>8</v>
      </c>
      <c r="U321" s="120" t="n">
        <v>8</v>
      </c>
      <c r="V321" s="120" t="n">
        <v>11</v>
      </c>
      <c r="W321" s="120" t="n">
        <v>16</v>
      </c>
      <c r="X321" s="120" t="n">
        <v>13</v>
      </c>
      <c r="Y321" s="120" t="n">
        <v>13</v>
      </c>
      <c r="Z321" s="120" t="n">
        <v>17</v>
      </c>
      <c r="AA321" s="120" t="n">
        <v>12</v>
      </c>
      <c r="AB321" s="120" t="n">
        <v>16</v>
      </c>
      <c r="AC321" s="120" t="n">
        <v>17</v>
      </c>
      <c r="AD321" s="120" t="n">
        <v>16</v>
      </c>
      <c r="AE321" s="120" t="n">
        <v>19</v>
      </c>
      <c r="AF321" s="120" t="n">
        <v>6</v>
      </c>
    </row>
    <row r="322" customFormat="false" ht="10.5" hidden="false" customHeight="true" outlineLevel="0" collapsed="false">
      <c r="E322" s="118" t="s">
        <v>248</v>
      </c>
      <c r="K322" s="120" t="s">
        <v>104</v>
      </c>
      <c r="L322" s="120" t="n">
        <v>19</v>
      </c>
      <c r="M322" s="120" t="n">
        <v>4</v>
      </c>
      <c r="N322" s="120" t="n">
        <v>2</v>
      </c>
      <c r="O322" s="120" t="n">
        <v>9</v>
      </c>
      <c r="P322" s="120" t="n">
        <v>11</v>
      </c>
      <c r="Q322" s="120" t="n">
        <v>11</v>
      </c>
      <c r="R322" s="120" t="n">
        <v>25</v>
      </c>
      <c r="S322" s="120" t="n">
        <v>27</v>
      </c>
      <c r="T322" s="120" t="n">
        <v>9</v>
      </c>
      <c r="U322" s="120" t="n">
        <v>8</v>
      </c>
      <c r="V322" s="120" t="n">
        <v>12</v>
      </c>
      <c r="W322" s="120" t="n">
        <v>17</v>
      </c>
      <c r="X322" s="120" t="n">
        <v>14</v>
      </c>
      <c r="Y322" s="120" t="n">
        <v>15</v>
      </c>
      <c r="Z322" s="120" t="n">
        <v>25</v>
      </c>
      <c r="AA322" s="120" t="n">
        <v>18</v>
      </c>
      <c r="AB322" s="120" t="n">
        <v>27</v>
      </c>
      <c r="AC322" s="120" t="n">
        <v>25</v>
      </c>
      <c r="AD322" s="120" t="n">
        <v>22</v>
      </c>
      <c r="AE322" s="120" t="n">
        <v>21</v>
      </c>
      <c r="AF322" s="120" t="n">
        <v>7</v>
      </c>
    </row>
    <row r="323" customFormat="false" ht="10.5" hidden="false" customHeight="true" outlineLevel="0" collapsed="false">
      <c r="E323" s="118" t="s">
        <v>249</v>
      </c>
      <c r="K323" s="120" t="s">
        <v>104</v>
      </c>
      <c r="L323" s="120" t="n">
        <v>19</v>
      </c>
      <c r="M323" s="120" t="n">
        <v>4</v>
      </c>
      <c r="N323" s="120" t="n">
        <v>3</v>
      </c>
      <c r="O323" s="120" t="n">
        <v>9</v>
      </c>
      <c r="P323" s="120" t="n">
        <v>11</v>
      </c>
      <c r="Q323" s="120" t="n">
        <v>11</v>
      </c>
      <c r="R323" s="120" t="n">
        <v>24</v>
      </c>
      <c r="S323" s="120" t="n">
        <v>27</v>
      </c>
      <c r="T323" s="120" t="n">
        <v>9</v>
      </c>
      <c r="U323" s="120" t="n">
        <v>8</v>
      </c>
      <c r="V323" s="120" t="n">
        <v>12</v>
      </c>
      <c r="W323" s="120" t="n">
        <v>17</v>
      </c>
      <c r="X323" s="120" t="n">
        <v>14</v>
      </c>
      <c r="Y323" s="120" t="n">
        <v>16</v>
      </c>
      <c r="Z323" s="120" t="n">
        <v>25</v>
      </c>
      <c r="AA323" s="120" t="n">
        <v>18</v>
      </c>
      <c r="AB323" s="120" t="n">
        <v>27</v>
      </c>
      <c r="AC323" s="120" t="n">
        <v>25</v>
      </c>
      <c r="AD323" s="120" t="n">
        <v>22</v>
      </c>
      <c r="AE323" s="120" t="n">
        <v>21</v>
      </c>
      <c r="AF323" s="120" t="n">
        <v>7</v>
      </c>
    </row>
    <row r="324" customFormat="false" ht="10.5" hidden="false" customHeight="true" outlineLevel="0" collapsed="false">
      <c r="E324" s="118" t="s">
        <v>250</v>
      </c>
      <c r="K324" s="121" t="s">
        <v>104</v>
      </c>
      <c r="L324" s="121" t="n">
        <v>2.8796315</v>
      </c>
      <c r="M324" s="121" t="n">
        <v>11.232425</v>
      </c>
      <c r="N324" s="121" t="n">
        <v>0.46</v>
      </c>
      <c r="O324" s="121" t="n">
        <v>-0.06742184</v>
      </c>
      <c r="P324" s="121" t="n">
        <v>3.5834558</v>
      </c>
      <c r="Q324" s="121" t="n">
        <v>5.2345643</v>
      </c>
      <c r="R324" s="121" t="n">
        <v>25.16473</v>
      </c>
      <c r="S324" s="121" t="n">
        <v>55031.914</v>
      </c>
      <c r="T324" s="121" t="n">
        <v>5783</v>
      </c>
      <c r="U324" s="121" t="n">
        <v>4.2035275</v>
      </c>
      <c r="V324" s="121" t="n">
        <v>5.107899</v>
      </c>
      <c r="W324" s="121" t="n">
        <v>4.813438</v>
      </c>
      <c r="X324" s="121" t="n">
        <v>1.7658952</v>
      </c>
      <c r="Y324" s="121" t="n">
        <v>3.0843523</v>
      </c>
      <c r="Z324" s="121" t="n">
        <v>18.392378</v>
      </c>
      <c r="AA324" s="121" t="n">
        <v>6.4824786</v>
      </c>
      <c r="AB324" s="121" t="n">
        <v>30.317652</v>
      </c>
      <c r="AC324" s="121" t="n">
        <v>10.220478</v>
      </c>
      <c r="AD324" s="121" t="n">
        <v>7.4728436</v>
      </c>
      <c r="AE324" s="121" t="n">
        <v>2.5309186</v>
      </c>
      <c r="AF324" s="121" t="n">
        <v>0.1252325</v>
      </c>
    </row>
    <row r="325" customFormat="false" ht="10.5" hidden="false" customHeight="true" outlineLevel="0" collapsed="false">
      <c r="E325" s="118" t="s">
        <v>251</v>
      </c>
      <c r="K325" s="121" t="s">
        <v>104</v>
      </c>
      <c r="L325" s="121" t="n">
        <v>2.6000102</v>
      </c>
      <c r="M325" s="121" t="n">
        <v>10.347838</v>
      </c>
      <c r="N325" s="121" t="n">
        <v>0.41</v>
      </c>
      <c r="O325" s="121" t="n">
        <v>-0.0905958</v>
      </c>
      <c r="P325" s="121" t="n">
        <v>3.0141819</v>
      </c>
      <c r="Q325" s="121" t="n">
        <v>4.7045746</v>
      </c>
      <c r="R325" s="121" t="n">
        <v>21.63866</v>
      </c>
      <c r="S325" s="121" t="n">
        <v>48971.816</v>
      </c>
      <c r="T325" s="121" t="n">
        <v>4516.1113</v>
      </c>
      <c r="U325" s="121" t="n">
        <v>3.2871637</v>
      </c>
      <c r="V325" s="121" t="n">
        <v>4.516558</v>
      </c>
      <c r="W325" s="121" t="n">
        <v>4.4540887</v>
      </c>
      <c r="X325" s="121" t="n">
        <v>1.6299452</v>
      </c>
      <c r="Y325" s="121" t="n">
        <v>2.8625154</v>
      </c>
      <c r="Z325" s="121" t="n">
        <v>16.502434</v>
      </c>
      <c r="AA325" s="121" t="n">
        <v>5.885595</v>
      </c>
      <c r="AB325" s="121" t="n">
        <v>27.422781</v>
      </c>
      <c r="AC325" s="121" t="n">
        <v>9.298792</v>
      </c>
      <c r="AD325" s="121" t="n">
        <v>6.7447333</v>
      </c>
      <c r="AE325" s="121" t="n">
        <v>2.0614078</v>
      </c>
      <c r="AF325" s="121" t="n">
        <v>-0.06120068</v>
      </c>
    </row>
    <row r="326" customFormat="false" ht="10.5" hidden="false" customHeight="true" outlineLevel="0" collapsed="false">
      <c r="E326" s="118" t="s">
        <v>252</v>
      </c>
      <c r="K326" s="121" t="s">
        <v>104</v>
      </c>
      <c r="L326" s="121" t="n">
        <v>2.4281762</v>
      </c>
      <c r="M326" s="121" t="n">
        <v>9.640487</v>
      </c>
      <c r="N326" s="121" t="n">
        <v>0.31</v>
      </c>
      <c r="O326" s="121" t="n">
        <v>-0.10832178</v>
      </c>
      <c r="P326" s="121" t="n">
        <v>2.4041715</v>
      </c>
      <c r="Q326" s="121" t="n">
        <v>4.0801125</v>
      </c>
      <c r="R326" s="121" t="n">
        <v>18.205572</v>
      </c>
      <c r="S326" s="121" t="n">
        <v>41261.35</v>
      </c>
      <c r="T326" s="121" t="n">
        <v>3293.3333</v>
      </c>
      <c r="U326" s="121" t="n">
        <v>2.718016</v>
      </c>
      <c r="V326" s="121" t="n">
        <v>3.972654</v>
      </c>
      <c r="W326" s="121" t="n">
        <v>4.097135</v>
      </c>
      <c r="X326" s="121" t="n">
        <v>1.5325001</v>
      </c>
      <c r="Y326" s="121" t="n">
        <v>2.6522546</v>
      </c>
      <c r="Z326" s="121" t="n">
        <v>14.573043</v>
      </c>
      <c r="AA326" s="121" t="n">
        <v>5.355492</v>
      </c>
      <c r="AB326" s="121" t="n">
        <v>25.109718</v>
      </c>
      <c r="AC326" s="121" t="n">
        <v>8.505565</v>
      </c>
      <c r="AD326" s="121" t="n">
        <v>6.202199</v>
      </c>
      <c r="AE326" s="121" t="n">
        <v>1.6599092</v>
      </c>
      <c r="AF326" s="121" t="n">
        <v>-0.22970057</v>
      </c>
    </row>
    <row r="327" customFormat="false" ht="10.5" hidden="false" customHeight="true" outlineLevel="0" collapsed="false">
      <c r="E327" s="118" t="s">
        <v>253</v>
      </c>
      <c r="K327" s="122" t="n">
        <v>0</v>
      </c>
      <c r="L327" s="123" t="n">
        <v>0</v>
      </c>
      <c r="M327" s="123" t="n">
        <v>0</v>
      </c>
      <c r="N327" s="123" t="n">
        <v>0</v>
      </c>
      <c r="O327" s="123" t="n">
        <v>0</v>
      </c>
      <c r="P327" s="123" t="n">
        <v>0</v>
      </c>
      <c r="Q327" s="123" t="n">
        <v>0</v>
      </c>
      <c r="R327" s="123" t="n">
        <v>40</v>
      </c>
      <c r="S327" s="123" t="n">
        <v>18000.614352</v>
      </c>
      <c r="T327" s="123" t="n">
        <v>1717.163</v>
      </c>
      <c r="U327" s="123" t="n">
        <v>6.545</v>
      </c>
      <c r="V327" s="123" t="n">
        <v>163.3</v>
      </c>
      <c r="W327" s="123" t="n">
        <v>181</v>
      </c>
      <c r="X327" s="123" t="n">
        <v>132.3</v>
      </c>
      <c r="Y327" s="123" t="n">
        <v>80.1</v>
      </c>
      <c r="Z327" s="123" t="n">
        <v>0</v>
      </c>
      <c r="AA327" s="123" t="n">
        <v>0</v>
      </c>
      <c r="AB327" s="123" t="n">
        <v>0</v>
      </c>
      <c r="AC327" s="123" t="n">
        <v>0</v>
      </c>
      <c r="AD327" s="123" t="n">
        <v>0</v>
      </c>
      <c r="AE327" s="123" t="n">
        <v>246.569</v>
      </c>
      <c r="AF327" s="123" t="n">
        <v>5.823</v>
      </c>
    </row>
    <row r="328" customFormat="false" ht="10.5" hidden="false" customHeight="true" outlineLevel="0" collapsed="false">
      <c r="E328" s="118" t="s">
        <v>254</v>
      </c>
      <c r="K328" s="122" t="n">
        <v>0</v>
      </c>
      <c r="L328" s="123" t="n">
        <v>0</v>
      </c>
      <c r="M328" s="123" t="n">
        <v>0</v>
      </c>
      <c r="N328" s="123" t="n">
        <v>0</v>
      </c>
      <c r="O328" s="123" t="n">
        <v>0</v>
      </c>
      <c r="P328" s="123" t="n">
        <v>0</v>
      </c>
      <c r="Q328" s="123" t="n">
        <v>0</v>
      </c>
      <c r="R328" s="123" t="n">
        <v>14</v>
      </c>
      <c r="S328" s="123" t="n">
        <v>3949.895956</v>
      </c>
      <c r="T328" s="123" t="n">
        <v>123.852</v>
      </c>
      <c r="U328" s="123" t="n">
        <v>0</v>
      </c>
      <c r="V328" s="123" t="n">
        <v>20.5</v>
      </c>
      <c r="W328" s="123" t="n">
        <v>20</v>
      </c>
      <c r="X328" s="123" t="n">
        <v>22.4</v>
      </c>
      <c r="Y328" s="123" t="n">
        <v>11.5</v>
      </c>
      <c r="Z328" s="123" t="n">
        <v>0</v>
      </c>
      <c r="AA328" s="123" t="n">
        <v>0</v>
      </c>
      <c r="AB328" s="123" t="n">
        <v>0</v>
      </c>
      <c r="AC328" s="123" t="n">
        <v>0</v>
      </c>
      <c r="AD328" s="123" t="n">
        <v>0</v>
      </c>
      <c r="AE328" s="123" t="n">
        <v>76.48</v>
      </c>
      <c r="AF328" s="123" t="n">
        <v>8.659</v>
      </c>
    </row>
    <row r="329" customFormat="false" ht="10.5" hidden="false" customHeight="true" outlineLevel="0" collapsed="false">
      <c r="E329" s="118" t="s">
        <v>255</v>
      </c>
      <c r="K329" s="124" t="n">
        <f aca="false">-$F$5*(K327+K328)*K$193</f>
        <v>-0</v>
      </c>
      <c r="L329" s="124" t="n">
        <f aca="false">-$F$5*(L327+L328)*L$193</f>
        <v>-0</v>
      </c>
      <c r="M329" s="124" t="n">
        <f aca="false">-$F$5*(M327+M328)*M$193</f>
        <v>-0</v>
      </c>
      <c r="N329" s="124" t="n">
        <f aca="false">-$F$5*(N327+N328)*N$193</f>
        <v>-0</v>
      </c>
      <c r="O329" s="124" t="n">
        <f aca="false">-$F$5*(O327+O328)*O$193</f>
        <v>-0</v>
      </c>
      <c r="P329" s="124" t="n">
        <f aca="false">-$F$5*(P327+P328)*P$193</f>
        <v>-0</v>
      </c>
      <c r="Q329" s="124" t="n">
        <f aca="false">-$F$5*(Q327+Q328)*Q$193</f>
        <v>-0</v>
      </c>
      <c r="R329" s="124" t="n">
        <f aca="false">-$F$5*(R327+R328)*R$193</f>
        <v>-65.74062276</v>
      </c>
      <c r="S329" s="124" t="n">
        <f aca="false">-$F$5*(S327+S328)*S$193</f>
        <v>-15.9968733971612</v>
      </c>
      <c r="T329" s="124" t="n">
        <f aca="false">-$F$5*(T327+T328)*T$193</f>
        <v>-1.34167650155</v>
      </c>
      <c r="U329" s="124" t="n">
        <f aca="false">-$F$5*(U327+U328)*U$193</f>
        <v>-7.520205</v>
      </c>
      <c r="V329" s="124" t="n">
        <f aca="false">-$F$5*(V327+V328)*V$193</f>
        <v>-211.1862</v>
      </c>
      <c r="W329" s="124" t="n">
        <f aca="false">-$F$5*(W327+W328)*W$193</f>
        <v>-244.70120694</v>
      </c>
      <c r="X329" s="124" t="n">
        <f aca="false">-$F$5*(X327+X328)*X$193</f>
        <v>-177.7503</v>
      </c>
      <c r="Y329" s="124" t="n">
        <f aca="false">-$F$5*(Y327+Y328)*Y$193</f>
        <v>-122.953372868</v>
      </c>
      <c r="Z329" s="124" t="n">
        <f aca="false">-$F$5*(Z327+Z328)*Z$193</f>
        <v>-0</v>
      </c>
      <c r="AA329" s="124" t="n">
        <f aca="false">-$F$5*(AA327+AA328)*AA$193</f>
        <v>-0</v>
      </c>
      <c r="AB329" s="124" t="n">
        <f aca="false">-$F$5*(AB327+AB328)*AB$193</f>
        <v>-0</v>
      </c>
      <c r="AC329" s="124" t="n">
        <f aca="false">-$F$5*(AC327+AC328)*AC$193</f>
        <v>-0</v>
      </c>
      <c r="AD329" s="124" t="n">
        <f aca="false">-$F$5*(AD327+AD328)*AD$193</f>
        <v>-0</v>
      </c>
      <c r="AE329" s="124" t="n">
        <f aca="false">-$F$5*(AE327+AE328)*AE$193</f>
        <v>-48.24948735144</v>
      </c>
      <c r="AF329" s="124" t="n">
        <f aca="false">-$F$5*(AF327+AF328)*AF$193</f>
        <v>-19.39824899974</v>
      </c>
    </row>
    <row r="330" customFormat="false" ht="10.5" hidden="false" customHeight="true" outlineLevel="0" collapsed="false">
      <c r="E330" s="118" t="s">
        <v>256</v>
      </c>
      <c r="K330" s="124" t="n">
        <f aca="false">-$F$5*K328*K$193</f>
        <v>-0</v>
      </c>
      <c r="L330" s="124" t="n">
        <f aca="false">-$F$5*L328*L$193</f>
        <v>-0</v>
      </c>
      <c r="M330" s="124" t="n">
        <f aca="false">-$F$5*M328*M$193</f>
        <v>-0</v>
      </c>
      <c r="N330" s="124" t="n">
        <f aca="false">-$F$5*N328*N$193</f>
        <v>-0</v>
      </c>
      <c r="O330" s="124" t="n">
        <f aca="false">-$F$5*O328*O$193</f>
        <v>-0</v>
      </c>
      <c r="P330" s="124" t="n">
        <f aca="false">-$F$5*P328*P$193</f>
        <v>-0</v>
      </c>
      <c r="Q330" s="124" t="n">
        <f aca="false">-$F$5*Q328*Q$193</f>
        <v>-0</v>
      </c>
      <c r="R330" s="124" t="n">
        <f aca="false">-$F$5*R328*R$193</f>
        <v>-17.04386516</v>
      </c>
      <c r="S330" s="124" t="n">
        <f aca="false">-$F$5*S328*S$193</f>
        <v>-2.87856567585412</v>
      </c>
      <c r="T330" s="124" t="n">
        <f aca="false">-$F$5*T328*T$193</f>
        <v>-0.09025962204</v>
      </c>
      <c r="U330" s="124" t="n">
        <f aca="false">-$F$5*U328*U$193</f>
        <v>-0</v>
      </c>
      <c r="V330" s="124" t="n">
        <f aca="false">-$F$5*V328*V$193</f>
        <v>-23.5545</v>
      </c>
      <c r="W330" s="124" t="n">
        <f aca="false">-$F$5*W328*W$193</f>
        <v>-24.3483788</v>
      </c>
      <c r="X330" s="124" t="n">
        <f aca="false">-$F$5*X328*X$193</f>
        <v>-25.7376</v>
      </c>
      <c r="Y330" s="124" t="n">
        <f aca="false">-$F$5*Y328*Y$193</f>
        <v>-15.436285895</v>
      </c>
      <c r="Z330" s="124" t="n">
        <f aca="false">-$F$5*Z328*Z$193</f>
        <v>-0</v>
      </c>
      <c r="AA330" s="124" t="n">
        <f aca="false">-$F$5*AA328*AA$193</f>
        <v>-0</v>
      </c>
      <c r="AB330" s="124" t="n">
        <f aca="false">-$F$5*AB328*AB$193</f>
        <v>-0</v>
      </c>
      <c r="AC330" s="124" t="n">
        <f aca="false">-$F$5*AC328*AC$193</f>
        <v>-0</v>
      </c>
      <c r="AD330" s="124" t="n">
        <f aca="false">-$F$5*AD328*AD$193</f>
        <v>-0</v>
      </c>
      <c r="AE330" s="124" t="n">
        <f aca="false">-$F$5*AE328*AE$193</f>
        <v>-11.4227897088</v>
      </c>
      <c r="AF330" s="124" t="n">
        <f aca="false">-$F$5*AF328*AF$193</f>
        <v>-11.59849731313</v>
      </c>
    </row>
    <row r="331" customFormat="false" ht="10.5" hidden="false" customHeight="true" outlineLevel="0" collapsed="false">
      <c r="E331" s="118"/>
      <c r="K331" s="121"/>
      <c r="L331" s="121"/>
      <c r="M331" s="121"/>
      <c r="N331" s="121"/>
      <c r="O331" s="121"/>
      <c r="P331" s="121"/>
      <c r="Q331" s="121"/>
      <c r="R331" s="121"/>
      <c r="S331" s="121"/>
      <c r="T331" s="121"/>
      <c r="U331" s="121"/>
      <c r="V331" s="121"/>
      <c r="W331" s="121"/>
      <c r="X331" s="121"/>
      <c r="Y331" s="121"/>
      <c r="Z331" s="121"/>
      <c r="AA331" s="121"/>
      <c r="AB331" s="121"/>
      <c r="AC331" s="121"/>
      <c r="AD331" s="121"/>
      <c r="AE331" s="121"/>
      <c r="AF331" s="121"/>
    </row>
    <row r="332" customFormat="false" ht="10.5" hidden="false" customHeight="true" outlineLevel="0" collapsed="false">
      <c r="A332" s="28"/>
      <c r="B332" s="28" t="s">
        <v>28</v>
      </c>
      <c r="E332" s="108" t="s">
        <v>257</v>
      </c>
      <c r="AE332" s="3"/>
      <c r="AF332" s="3"/>
    </row>
    <row r="333" customFormat="false" ht="10.5" hidden="false" customHeight="true" outlineLevel="0" collapsed="false">
      <c r="E333" s="96" t="n">
        <f aca="false">E334+365</f>
        <v>48212</v>
      </c>
      <c r="F333" s="97" t="s">
        <v>258</v>
      </c>
      <c r="G333" s="4" t="str">
        <f aca="false">+TEXT(E333,"yyyy")&amp;F333</f>
        <v>2031CapEx</v>
      </c>
      <c r="H333" s="4" t="s">
        <v>28</v>
      </c>
      <c r="K333" s="63" t="s">
        <v>104</v>
      </c>
      <c r="L333" s="63" t="s">
        <v>104</v>
      </c>
      <c r="M333" s="63" t="s">
        <v>104</v>
      </c>
      <c r="N333" s="63" t="s">
        <v>104</v>
      </c>
      <c r="O333" s="63" t="s">
        <v>104</v>
      </c>
      <c r="P333" s="63" t="s">
        <v>104</v>
      </c>
      <c r="Q333" s="63" t="s">
        <v>104</v>
      </c>
      <c r="R333" s="63" t="n">
        <v>2288.9512</v>
      </c>
      <c r="S333" s="63" t="s">
        <v>104</v>
      </c>
      <c r="T333" s="63" t="n">
        <v>55.16343</v>
      </c>
      <c r="U333" s="63" t="s">
        <v>104</v>
      </c>
      <c r="V333" s="63" t="s">
        <v>104</v>
      </c>
      <c r="W333" s="63" t="s">
        <v>104</v>
      </c>
      <c r="X333" s="63" t="s">
        <v>104</v>
      </c>
      <c r="Y333" s="63" t="s">
        <v>104</v>
      </c>
      <c r="Z333" s="63" t="s">
        <v>104</v>
      </c>
      <c r="AA333" s="63" t="s">
        <v>104</v>
      </c>
      <c r="AB333" s="63" t="s">
        <v>104</v>
      </c>
      <c r="AC333" s="63" t="s">
        <v>104</v>
      </c>
      <c r="AD333" s="63" t="s">
        <v>104</v>
      </c>
      <c r="AE333" s="63" t="n">
        <v>930.91675</v>
      </c>
      <c r="AF333" s="63" t="s">
        <v>104</v>
      </c>
    </row>
    <row r="334" customFormat="false" ht="10.5" hidden="false" customHeight="true" outlineLevel="0" collapsed="false">
      <c r="E334" s="96" t="n">
        <f aca="false">E335+365</f>
        <v>47847</v>
      </c>
      <c r="F334" s="97" t="s">
        <v>258</v>
      </c>
      <c r="G334" s="4" t="str">
        <f aca="false">+TEXT(E334,"yyyy")&amp;F334</f>
        <v>2030CapEx</v>
      </c>
      <c r="H334" s="4" t="s">
        <v>28</v>
      </c>
      <c r="K334" s="63" t="s">
        <v>104</v>
      </c>
      <c r="L334" s="63" t="s">
        <v>104</v>
      </c>
      <c r="M334" s="63" t="n">
        <v>140.7</v>
      </c>
      <c r="N334" s="63" t="s">
        <v>104</v>
      </c>
      <c r="O334" s="63" t="s">
        <v>104</v>
      </c>
      <c r="P334" s="63" t="n">
        <v>432.5131</v>
      </c>
      <c r="Q334" s="63" t="n">
        <v>252.99733</v>
      </c>
      <c r="R334" s="63" t="n">
        <v>2193.9336</v>
      </c>
      <c r="S334" s="63" t="s">
        <v>104</v>
      </c>
      <c r="T334" s="63" t="n">
        <v>52.919247</v>
      </c>
      <c r="U334" s="63" t="s">
        <v>104</v>
      </c>
      <c r="V334" s="63" t="s">
        <v>104</v>
      </c>
      <c r="W334" s="63" t="s">
        <v>104</v>
      </c>
      <c r="X334" s="63" t="s">
        <v>104</v>
      </c>
      <c r="Y334" s="63" t="s">
        <v>104</v>
      </c>
      <c r="Z334" s="63" t="n">
        <v>212</v>
      </c>
      <c r="AA334" s="63" t="n">
        <v>122.558</v>
      </c>
      <c r="AB334" s="63" t="n">
        <v>2242</v>
      </c>
      <c r="AC334" s="63" t="n">
        <v>1423</v>
      </c>
      <c r="AD334" s="63" t="s">
        <v>104</v>
      </c>
      <c r="AE334" s="63" t="n">
        <v>784.99896</v>
      </c>
      <c r="AF334" s="63" t="n">
        <v>33.43375</v>
      </c>
    </row>
    <row r="335" customFormat="false" ht="10.5" hidden="false" customHeight="true" outlineLevel="0" collapsed="false">
      <c r="E335" s="96" t="n">
        <f aca="false">E336+365</f>
        <v>47482</v>
      </c>
      <c r="F335" s="97" t="s">
        <v>258</v>
      </c>
      <c r="G335" s="4" t="str">
        <f aca="false">+TEXT(E335,"yyyy")&amp;F335</f>
        <v>2029CapEx</v>
      </c>
      <c r="H335" s="4" t="s">
        <v>28</v>
      </c>
      <c r="K335" s="63" t="s">
        <v>104</v>
      </c>
      <c r="L335" s="63" t="n">
        <v>183.61438</v>
      </c>
      <c r="M335" s="63" t="n">
        <v>140.7</v>
      </c>
      <c r="N335" s="63" t="s">
        <v>104</v>
      </c>
      <c r="O335" s="63" t="s">
        <v>104</v>
      </c>
      <c r="P335" s="63" t="n">
        <v>445.73032</v>
      </c>
      <c r="Q335" s="63" t="n">
        <v>252.55623</v>
      </c>
      <c r="R335" s="63" t="n">
        <v>2092.9565</v>
      </c>
      <c r="S335" s="63" t="s">
        <v>104</v>
      </c>
      <c r="T335" s="63" t="n">
        <v>53.208817</v>
      </c>
      <c r="U335" s="63" t="n">
        <v>41.3028</v>
      </c>
      <c r="V335" s="63" t="n">
        <v>914.7868</v>
      </c>
      <c r="W335" s="63" t="n">
        <v>336.18585</v>
      </c>
      <c r="X335" s="63" t="n">
        <v>235.17055</v>
      </c>
      <c r="Y335" s="63" t="n">
        <v>245.65038</v>
      </c>
      <c r="Z335" s="63" t="n">
        <v>254.93008</v>
      </c>
      <c r="AA335" s="63" t="n">
        <v>100.905</v>
      </c>
      <c r="AB335" s="63" t="n">
        <v>2137</v>
      </c>
      <c r="AC335" s="63" t="n">
        <v>1343.5964</v>
      </c>
      <c r="AD335" s="63" t="n">
        <v>439.35068</v>
      </c>
      <c r="AE335" s="63" t="n">
        <v>718.6863</v>
      </c>
      <c r="AF335" s="63" t="n">
        <v>33.43375</v>
      </c>
    </row>
    <row r="336" customFormat="false" ht="10.5" hidden="false" customHeight="true" outlineLevel="0" collapsed="false">
      <c r="E336" s="96" t="n">
        <f aca="false">E337+365</f>
        <v>47117</v>
      </c>
      <c r="F336" s="97" t="s">
        <v>258</v>
      </c>
      <c r="G336" s="4" t="str">
        <f aca="false">+TEXT(E336,"yyyy")&amp;F336</f>
        <v>2028CapEx</v>
      </c>
      <c r="H336" s="4" t="s">
        <v>28</v>
      </c>
      <c r="K336" s="63" t="s">
        <v>104</v>
      </c>
      <c r="L336" s="63" t="n">
        <v>204.96971</v>
      </c>
      <c r="M336" s="63" t="n">
        <v>140.7</v>
      </c>
      <c r="N336" s="63" t="s">
        <v>104</v>
      </c>
      <c r="O336" s="63" t="n">
        <v>7.3754544</v>
      </c>
      <c r="P336" s="63" t="n">
        <v>491.45883</v>
      </c>
      <c r="Q336" s="63" t="n">
        <v>225.91058</v>
      </c>
      <c r="R336" s="63" t="n">
        <v>1780.363</v>
      </c>
      <c r="S336" s="63" t="n">
        <v>868.7154</v>
      </c>
      <c r="T336" s="63" t="n">
        <v>25.04796</v>
      </c>
      <c r="U336" s="63" t="n">
        <v>50.4812</v>
      </c>
      <c r="V336" s="63" t="n">
        <v>697.2233</v>
      </c>
      <c r="W336" s="63" t="n">
        <v>400.17056</v>
      </c>
      <c r="X336" s="63" t="n">
        <v>221.4289</v>
      </c>
      <c r="Y336" s="63" t="n">
        <v>229.91966</v>
      </c>
      <c r="Z336" s="63" t="n">
        <v>263.04175</v>
      </c>
      <c r="AA336" s="63" t="n">
        <v>94.133965</v>
      </c>
      <c r="AB336" s="63" t="n">
        <v>2045.0519</v>
      </c>
      <c r="AC336" s="63" t="n">
        <v>1343.171</v>
      </c>
      <c r="AD336" s="63" t="n">
        <v>464.2435</v>
      </c>
      <c r="AE336" s="63" t="n">
        <v>746.7646</v>
      </c>
      <c r="AF336" s="63" t="n">
        <v>33.43375</v>
      </c>
    </row>
    <row r="337" customFormat="false" ht="10.5" hidden="false" customHeight="true" outlineLevel="0" collapsed="false">
      <c r="E337" s="96" t="n">
        <f aca="false">E338+365</f>
        <v>46752</v>
      </c>
      <c r="F337" s="97" t="s">
        <v>258</v>
      </c>
      <c r="G337" s="4" t="str">
        <f aca="false">+TEXT(E337,"yyyy")&amp;F337</f>
        <v>2027CapEx</v>
      </c>
      <c r="H337" s="4" t="s">
        <v>28</v>
      </c>
      <c r="K337" s="63" t="s">
        <v>104</v>
      </c>
      <c r="L337" s="63" t="n">
        <v>192.37668</v>
      </c>
      <c r="M337" s="63" t="n">
        <v>153.9</v>
      </c>
      <c r="N337" s="63" t="s">
        <v>104</v>
      </c>
      <c r="O337" s="63" t="n">
        <v>6.8439655</v>
      </c>
      <c r="P337" s="63" t="n">
        <v>468.99747</v>
      </c>
      <c r="Q337" s="63" t="n">
        <v>221.70789</v>
      </c>
      <c r="R337" s="63" t="n">
        <v>1715.1907</v>
      </c>
      <c r="S337" s="63" t="n">
        <v>834.69073</v>
      </c>
      <c r="T337" s="63" t="n">
        <v>21.5731</v>
      </c>
      <c r="U337" s="63" t="n">
        <v>74.5745</v>
      </c>
      <c r="V337" s="63" t="n">
        <v>702.72125</v>
      </c>
      <c r="W337" s="63" t="n">
        <v>360.00732</v>
      </c>
      <c r="X337" s="63" t="n">
        <v>208.23495</v>
      </c>
      <c r="Y337" s="63" t="n">
        <v>219.34865</v>
      </c>
      <c r="Z337" s="63" t="n">
        <v>267.538</v>
      </c>
      <c r="AA337" s="63" t="n">
        <v>89.70212</v>
      </c>
      <c r="AB337" s="63" t="n">
        <v>1997.2181</v>
      </c>
      <c r="AC337" s="63" t="n">
        <v>1304.9636</v>
      </c>
      <c r="AD337" s="63" t="n">
        <v>453.17035</v>
      </c>
      <c r="AE337" s="63" t="n">
        <v>939.4299</v>
      </c>
      <c r="AF337" s="63" t="n">
        <v>33.43375</v>
      </c>
    </row>
    <row r="338" customFormat="false" ht="10.5" hidden="false" customHeight="true" outlineLevel="0" collapsed="false">
      <c r="E338" s="96" t="n">
        <f aca="false">E339+365</f>
        <v>46387</v>
      </c>
      <c r="F338" s="97" t="s">
        <v>258</v>
      </c>
      <c r="G338" s="4" t="str">
        <f aca="false">+TEXT(E338,"yyyy")&amp;F338</f>
        <v>2026CapEx</v>
      </c>
      <c r="H338" s="4" t="s">
        <v>28</v>
      </c>
      <c r="K338" s="63" t="s">
        <v>104</v>
      </c>
      <c r="L338" s="63" t="n">
        <v>185.27626</v>
      </c>
      <c r="M338" s="63" t="n">
        <v>150.2</v>
      </c>
      <c r="N338" s="63" t="s">
        <v>104</v>
      </c>
      <c r="O338" s="63" t="n">
        <v>5.2494917</v>
      </c>
      <c r="P338" s="63" t="n">
        <v>460.4702</v>
      </c>
      <c r="Q338" s="63" t="n">
        <v>206.72433</v>
      </c>
      <c r="R338" s="63" t="n">
        <v>1500.7919</v>
      </c>
      <c r="S338" s="63" t="n">
        <v>726.8252</v>
      </c>
      <c r="T338" s="63" t="n">
        <v>28.993376</v>
      </c>
      <c r="U338" s="63" t="n">
        <v>89.4894</v>
      </c>
      <c r="V338" s="63" t="n">
        <v>659.0569</v>
      </c>
      <c r="W338" s="63" t="n">
        <v>337.43454</v>
      </c>
      <c r="X338" s="63" t="n">
        <v>203.64575</v>
      </c>
      <c r="Y338" s="63" t="n">
        <v>208.16254</v>
      </c>
      <c r="Z338" s="63" t="n">
        <v>242.43744</v>
      </c>
      <c r="AA338" s="63" t="n">
        <v>80</v>
      </c>
      <c r="AB338" s="63" t="n">
        <v>1978.5</v>
      </c>
      <c r="AC338" s="63" t="n">
        <v>1219.5641</v>
      </c>
      <c r="AD338" s="63" t="n">
        <v>450</v>
      </c>
      <c r="AE338" s="63" t="n">
        <v>1060.4058</v>
      </c>
      <c r="AF338" s="63" t="n">
        <v>33.43375</v>
      </c>
    </row>
    <row r="339" customFormat="false" ht="10.5" hidden="false" customHeight="true" outlineLevel="0" collapsed="false">
      <c r="E339" s="99" t="n">
        <f aca="false">+$F$3</f>
        <v>46022</v>
      </c>
      <c r="F339" s="100" t="s">
        <v>258</v>
      </c>
      <c r="G339" s="34" t="str">
        <f aca="false">+TEXT(E339,"yyyy")&amp;F339</f>
        <v>2025CapEx</v>
      </c>
      <c r="H339" s="34" t="s">
        <v>28</v>
      </c>
      <c r="K339" s="101" t="s">
        <v>104</v>
      </c>
      <c r="L339" s="102" t="n">
        <v>201.049</v>
      </c>
      <c r="M339" s="102" t="n">
        <v>157.6</v>
      </c>
      <c r="N339" s="102" t="n">
        <v>73.5083333333333</v>
      </c>
      <c r="O339" s="102" t="n">
        <v>13.149</v>
      </c>
      <c r="P339" s="102" t="n">
        <f aca="false">329.396*FX!D6</f>
        <v>397.32920146136</v>
      </c>
      <c r="Q339" s="102" t="n">
        <f aca="false">231.469*FX!D6</f>
        <v>279.20616198454</v>
      </c>
      <c r="R339" s="102" t="n">
        <f aca="false">1373*FX!D6</f>
        <v>1656.16156118</v>
      </c>
      <c r="S339" s="102" t="n">
        <f aca="false">1475073.515293*FX!D9</f>
        <v>1038.36325035535</v>
      </c>
      <c r="T339" s="102" t="n">
        <f aca="false">47285.16008*FX!D9</f>
        <v>33.2859155867152</v>
      </c>
      <c r="U339" s="102" t="n">
        <f aca="false">67.813*FX!D7</f>
        <v>76.62754667282</v>
      </c>
      <c r="V339" s="102" t="n">
        <f aca="false">536.6*FX!D7</f>
        <v>606.348952924</v>
      </c>
      <c r="W339" s="102" t="n">
        <f aca="false">255*FX!D6</f>
        <v>307.5900933</v>
      </c>
      <c r="X339" s="102" t="n">
        <f aca="false">147*FX!D7</f>
        <v>166.10752158</v>
      </c>
      <c r="Y339" s="102" t="n">
        <f aca="false">144.5*FX!D8</f>
        <v>190.5119501</v>
      </c>
      <c r="Z339" s="102" t="n">
        <v>112.745</v>
      </c>
      <c r="AA339" s="102" t="n">
        <v>73.522</v>
      </c>
      <c r="AB339" s="102" t="n">
        <v>1525</v>
      </c>
      <c r="AC339" s="102" t="n">
        <v>1156</v>
      </c>
      <c r="AD339" s="102" t="n">
        <v>403</v>
      </c>
      <c r="AE339" s="102" t="n">
        <f aca="false">3685.115*FX!D11</f>
        <v>512.78459982645</v>
      </c>
      <c r="AF339" s="102" t="n">
        <f aca="false">4.761*FX!D8</f>
        <v>6.2770061898</v>
      </c>
    </row>
    <row r="340" customFormat="false" ht="10.5" hidden="false" customHeight="true" outlineLevel="0" collapsed="false">
      <c r="E340" s="96" t="n">
        <f aca="false">E339-366</f>
        <v>45656</v>
      </c>
      <c r="F340" s="97" t="s">
        <v>258</v>
      </c>
      <c r="G340" s="4" t="str">
        <f aca="false">+TEXT(E340,"yyyy")&amp;F340</f>
        <v>2024CapEx</v>
      </c>
      <c r="H340" s="4" t="s">
        <v>28</v>
      </c>
      <c r="K340" s="63" t="s">
        <v>104</v>
      </c>
      <c r="L340" s="64" t="n">
        <v>167.174</v>
      </c>
      <c r="M340" s="64" t="n">
        <v>165.6</v>
      </c>
      <c r="N340" s="64" t="n">
        <v>107.433333333333</v>
      </c>
      <c r="O340" s="64" t="n">
        <v>29.658</v>
      </c>
      <c r="P340" s="64" t="n">
        <f aca="false">284.618*FX!C6</f>
        <v>323.48863318632</v>
      </c>
      <c r="Q340" s="64" t="n">
        <f aca="false">180.847*FX!C6</f>
        <v>205.54549904028</v>
      </c>
      <c r="R340" s="64" t="n">
        <f aca="false">1417*FX!C6</f>
        <v>1610.52144708</v>
      </c>
      <c r="S340" s="64" t="n">
        <f aca="false">1377525.533941*FX!C9</f>
        <v>1010.85578731658</v>
      </c>
      <c r="T340" s="64" t="n">
        <f aca="false">83224.382869*FX!C9</f>
        <v>61.0717166369296</v>
      </c>
      <c r="U340" s="64" t="n">
        <f aca="false">62.219*FX!C7</f>
        <v>67.34463046293</v>
      </c>
      <c r="V340" s="64" t="n">
        <f aca="false">528.4*FX!C7</f>
        <v>571.929840348</v>
      </c>
      <c r="W340" s="64" t="n">
        <f aca="false">251*FX!C6</f>
        <v>285.27938124</v>
      </c>
      <c r="X340" s="64" t="n">
        <f aca="false">145.9*FX!C7</f>
        <v>157.919310573</v>
      </c>
      <c r="Y340" s="64" t="n">
        <f aca="false">135*FX!C8</f>
        <v>172.61021295</v>
      </c>
      <c r="Z340" s="64" t="n">
        <v>142.481</v>
      </c>
      <c r="AA340" s="64" t="n">
        <v>86.648</v>
      </c>
      <c r="AB340" s="64" t="n">
        <v>1400</v>
      </c>
      <c r="AC340" s="64" t="n">
        <v>1392</v>
      </c>
      <c r="AD340" s="64" t="n">
        <v>385</v>
      </c>
      <c r="AE340" s="64" t="n">
        <f aca="false">3929.621*FX!C11</f>
        <v>546.16477996723</v>
      </c>
      <c r="AF340" s="64" t="n">
        <f aca="false">7.496*FX!C8</f>
        <v>9.58434189832</v>
      </c>
    </row>
    <row r="341" customFormat="false" ht="10.5" hidden="false" customHeight="true" outlineLevel="0" collapsed="false">
      <c r="E341" s="96" t="n">
        <f aca="false">E340-366</f>
        <v>45290</v>
      </c>
      <c r="F341" s="97" t="s">
        <v>258</v>
      </c>
      <c r="G341" s="4" t="str">
        <f aca="false">+TEXT(E341,"yyyy")&amp;F341</f>
        <v>2023CapEx</v>
      </c>
      <c r="H341" s="4" t="s">
        <v>28</v>
      </c>
      <c r="K341" s="63" t="s">
        <v>104</v>
      </c>
      <c r="L341" s="64" t="n">
        <v>149.71</v>
      </c>
      <c r="M341" s="64" t="n">
        <v>156.7</v>
      </c>
      <c r="N341" s="64" t="n">
        <v>92.3820833333333</v>
      </c>
      <c r="O341" s="64" t="n">
        <v>65.553</v>
      </c>
      <c r="P341" s="64" t="n">
        <f aca="false">268.402*FX!B6</f>
        <v>298.7258969188</v>
      </c>
      <c r="Q341" s="64" t="n">
        <f aca="false">137.094*FX!B6</f>
        <v>152.5827978636</v>
      </c>
      <c r="R341" s="64" t="n">
        <f aca="false">1682*FX!B6</f>
        <v>1872.0313508</v>
      </c>
      <c r="S341" s="64" t="n">
        <f aca="false">1105324.66302*FX!B9</f>
        <v>846.269721748003</v>
      </c>
      <c r="T341" s="64" t="n">
        <f aca="false">43442.933197*FX!B9</f>
        <v>33.2612129436191</v>
      </c>
      <c r="U341" s="64" t="n">
        <f aca="false">55.187*FX!B7</f>
        <v>59.67197188381</v>
      </c>
      <c r="V341" s="64" t="n">
        <f aca="false">550.1*FX!B7</f>
        <v>594.805873363</v>
      </c>
      <c r="W341" s="64" t="n">
        <f aca="false">298*FX!B6</f>
        <v>331.6678612</v>
      </c>
      <c r="X341" s="64" t="n">
        <f aca="false">157.6*FX!B7</f>
        <v>170.407936088</v>
      </c>
      <c r="Y341" s="64" t="n">
        <f aca="false">116.9*FX!B8</f>
        <v>145.350635696</v>
      </c>
      <c r="Z341" s="64" t="n">
        <v>160.632</v>
      </c>
      <c r="AA341" s="64" t="n">
        <v>81.368</v>
      </c>
      <c r="AB341" s="64" t="n">
        <v>1479</v>
      </c>
      <c r="AC341" s="64" t="n">
        <v>1383</v>
      </c>
      <c r="AD341" s="64" t="n">
        <v>312</v>
      </c>
      <c r="AE341" s="64" t="n">
        <f aca="false">4045.574*FX!B11</f>
        <v>571.43566881466</v>
      </c>
      <c r="AF341" s="64" t="n">
        <f aca="false">9.832*FX!B8</f>
        <v>12.22487125888</v>
      </c>
    </row>
    <row r="342" customFormat="false" ht="15" hidden="false" customHeight="false" outlineLevel="0" collapsed="false">
      <c r="A342" s="28" t="s">
        <v>28</v>
      </c>
      <c r="B342" s="28" t="s">
        <v>28</v>
      </c>
      <c r="AE342" s="3"/>
      <c r="AF342" s="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3" min="3" style="0" width="130"/>
  </cols>
  <sheetData>
    <row r="1" customFormat="false" ht="15" hidden="false" customHeight="false" outlineLevel="0" collapsed="false">
      <c r="A1" s="125" t="s">
        <v>259</v>
      </c>
    </row>
    <row r="2" customFormat="false" ht="41.75" hidden="false" customHeight="false" outlineLevel="0" collapsed="false">
      <c r="A2" s="126"/>
      <c r="B2" s="126"/>
      <c r="C2" s="126" t="s">
        <v>260</v>
      </c>
    </row>
    <row r="3" customFormat="false" ht="28.35" hidden="false" customHeight="false" outlineLevel="0" collapsed="false">
      <c r="A3" s="126"/>
      <c r="B3" s="126"/>
      <c r="C3" s="126" t="s">
        <v>261</v>
      </c>
    </row>
    <row r="5" customFormat="false" ht="15" hidden="false" customHeight="false" outlineLevel="0" collapsed="false">
      <c r="A5" s="125" t="s">
        <v>262</v>
      </c>
    </row>
    <row r="6" customFormat="false" ht="28.35" hidden="false" customHeight="false" outlineLevel="0" collapsed="false">
      <c r="A6" s="126" t="s">
        <v>263</v>
      </c>
      <c r="B6" s="126"/>
      <c r="C6" s="126" t="s">
        <v>264</v>
      </c>
    </row>
    <row r="7" customFormat="false" ht="55.2" hidden="false" customHeight="false" outlineLevel="0" collapsed="false">
      <c r="A7" s="126" t="s">
        <v>265</v>
      </c>
      <c r="B7" s="126"/>
      <c r="C7" s="126" t="s">
        <v>266</v>
      </c>
    </row>
    <row r="8" customFormat="false" ht="28.35" hidden="false" customHeight="false" outlineLevel="0" collapsed="false">
      <c r="A8" s="126" t="s">
        <v>267</v>
      </c>
      <c r="B8" s="126"/>
      <c r="C8" s="126" t="s">
        <v>268</v>
      </c>
    </row>
    <row r="9" customFormat="false" ht="55.2" hidden="false" customHeight="false" outlineLevel="0" collapsed="false">
      <c r="A9" s="126" t="s">
        <v>269</v>
      </c>
      <c r="B9" s="126"/>
      <c r="C9" s="126" t="s">
        <v>270</v>
      </c>
    </row>
    <row r="10" customFormat="false" ht="28.35" hidden="false" customHeight="false" outlineLevel="0" collapsed="false">
      <c r="A10" s="126" t="s">
        <v>271</v>
      </c>
      <c r="B10" s="126"/>
      <c r="C10" s="126" t="s">
        <v>272</v>
      </c>
    </row>
    <row r="11" customFormat="false" ht="28.35" hidden="false" customHeight="false" outlineLevel="0" collapsed="false">
      <c r="A11" s="126" t="s">
        <v>273</v>
      </c>
      <c r="B11" s="126"/>
      <c r="C11" s="126" t="s">
        <v>274</v>
      </c>
    </row>
    <row r="12" customFormat="false" ht="15" hidden="false" customHeight="false" outlineLevel="0" collapsed="false">
      <c r="A12" s="126" t="s">
        <v>275</v>
      </c>
      <c r="B12" s="126"/>
      <c r="C12" s="126" t="s">
        <v>276</v>
      </c>
    </row>
    <row r="13" customFormat="false" ht="28.35" hidden="false" customHeight="false" outlineLevel="0" collapsed="false">
      <c r="A13" s="126" t="s">
        <v>277</v>
      </c>
      <c r="B13" s="126"/>
      <c r="C13" s="126" t="s">
        <v>278</v>
      </c>
    </row>
    <row r="14" customFormat="false" ht="41.75" hidden="false" customHeight="false" outlineLevel="0" collapsed="false">
      <c r="A14" s="126" t="s">
        <v>279</v>
      </c>
      <c r="B14" s="126"/>
      <c r="C14" s="126" t="s">
        <v>280</v>
      </c>
    </row>
    <row r="16" customFormat="false" ht="15" hidden="false" customHeight="false" outlineLevel="0" collapsed="false">
      <c r="A16" s="125" t="s">
        <v>281</v>
      </c>
    </row>
    <row r="17" customFormat="false" ht="15" hidden="false" customHeight="false" outlineLevel="0" collapsed="false">
      <c r="A17" s="126" t="s">
        <v>7</v>
      </c>
      <c r="B17" s="126" t="s">
        <v>32</v>
      </c>
      <c r="C17" s="126" t="s">
        <v>282</v>
      </c>
    </row>
    <row r="18" customFormat="false" ht="15" hidden="false" customHeight="false" outlineLevel="0" collapsed="false">
      <c r="A18" s="126" t="s">
        <v>8</v>
      </c>
      <c r="B18" s="126" t="s">
        <v>33</v>
      </c>
      <c r="C18" s="126" t="s">
        <v>283</v>
      </c>
    </row>
    <row r="19" customFormat="false" ht="15" hidden="false" customHeight="false" outlineLevel="0" collapsed="false">
      <c r="A19" s="126" t="s">
        <v>9</v>
      </c>
      <c r="B19" s="126" t="s">
        <v>34</v>
      </c>
      <c r="C19" s="126" t="s">
        <v>284</v>
      </c>
    </row>
    <row r="20" customFormat="false" ht="15" hidden="false" customHeight="false" outlineLevel="0" collapsed="false">
      <c r="A20" s="126" t="s">
        <v>10</v>
      </c>
      <c r="B20" s="126" t="s">
        <v>35</v>
      </c>
      <c r="C20" s="126" t="s">
        <v>285</v>
      </c>
    </row>
    <row r="21" customFormat="false" ht="15" hidden="false" customHeight="false" outlineLevel="0" collapsed="false">
      <c r="A21" s="126" t="s">
        <v>11</v>
      </c>
      <c r="B21" s="126" t="s">
        <v>36</v>
      </c>
      <c r="C21" s="126" t="s">
        <v>286</v>
      </c>
    </row>
    <row r="22" customFormat="false" ht="15" hidden="false" customHeight="false" outlineLevel="0" collapsed="false">
      <c r="A22" s="126" t="s">
        <v>12</v>
      </c>
      <c r="B22" s="126" t="s">
        <v>37</v>
      </c>
      <c r="C22" s="126" t="s">
        <v>286</v>
      </c>
    </row>
    <row r="23" customFormat="false" ht="28.35" hidden="false" customHeight="false" outlineLevel="0" collapsed="false">
      <c r="A23" s="126" t="s">
        <v>13</v>
      </c>
      <c r="B23" s="126" t="s">
        <v>38</v>
      </c>
      <c r="C23" s="126" t="s">
        <v>287</v>
      </c>
    </row>
    <row r="24" customFormat="false" ht="15" hidden="false" customHeight="false" outlineLevel="0" collapsed="false">
      <c r="A24" s="126" t="s">
        <v>14</v>
      </c>
      <c r="B24" s="126" t="s">
        <v>39</v>
      </c>
      <c r="C24" s="126" t="s">
        <v>288</v>
      </c>
    </row>
    <row r="25" customFormat="false" ht="15" hidden="false" customHeight="false" outlineLevel="0" collapsed="false">
      <c r="A25" s="126" t="s">
        <v>15</v>
      </c>
      <c r="B25" s="126" t="s">
        <v>40</v>
      </c>
      <c r="C25" s="126" t="s">
        <v>289</v>
      </c>
    </row>
    <row r="26" customFormat="false" ht="15" hidden="false" customHeight="false" outlineLevel="0" collapsed="false">
      <c r="A26" s="126" t="s">
        <v>16</v>
      </c>
      <c r="B26" s="126" t="s">
        <v>41</v>
      </c>
      <c r="C26" s="126" t="s">
        <v>290</v>
      </c>
    </row>
    <row r="27" customFormat="false" ht="28.35" hidden="false" customHeight="false" outlineLevel="0" collapsed="false">
      <c r="A27" s="126" t="s">
        <v>17</v>
      </c>
      <c r="B27" s="126" t="s">
        <v>42</v>
      </c>
      <c r="C27" s="126" t="s">
        <v>291</v>
      </c>
    </row>
    <row r="28" customFormat="false" ht="15" hidden="false" customHeight="false" outlineLevel="0" collapsed="false">
      <c r="A28" s="126" t="s">
        <v>18</v>
      </c>
      <c r="B28" s="126" t="s">
        <v>43</v>
      </c>
      <c r="C28" s="126" t="s">
        <v>292</v>
      </c>
    </row>
    <row r="29" customFormat="false" ht="15" hidden="false" customHeight="false" outlineLevel="0" collapsed="false">
      <c r="A29" s="126" t="s">
        <v>19</v>
      </c>
      <c r="B29" s="126" t="s">
        <v>44</v>
      </c>
      <c r="C29" s="126" t="s">
        <v>293</v>
      </c>
    </row>
    <row r="30" customFormat="false" ht="28.35" hidden="false" customHeight="false" outlineLevel="0" collapsed="false">
      <c r="A30" s="126" t="s">
        <v>20</v>
      </c>
      <c r="B30" s="126" t="s">
        <v>45</v>
      </c>
      <c r="C30" s="126" t="s">
        <v>294</v>
      </c>
    </row>
    <row r="31" customFormat="false" ht="15" hidden="false" customHeight="false" outlineLevel="0" collapsed="false">
      <c r="A31" s="126" t="s">
        <v>21</v>
      </c>
      <c r="B31" s="126" t="s">
        <v>46</v>
      </c>
      <c r="C31" s="126" t="s">
        <v>295</v>
      </c>
    </row>
    <row r="32" customFormat="false" ht="15" hidden="false" customHeight="false" outlineLevel="0" collapsed="false">
      <c r="A32" s="126" t="s">
        <v>23</v>
      </c>
      <c r="B32" s="126" t="s">
        <v>48</v>
      </c>
      <c r="C32" s="126" t="s">
        <v>296</v>
      </c>
    </row>
    <row r="33" customFormat="false" ht="15" hidden="false" customHeight="false" outlineLevel="0" collapsed="false">
      <c r="A33" s="126" t="s">
        <v>24</v>
      </c>
      <c r="B33" s="126" t="s">
        <v>49</v>
      </c>
      <c r="C33" s="126" t="s">
        <v>297</v>
      </c>
    </row>
    <row r="34" customFormat="false" ht="15" hidden="false" customHeight="false" outlineLevel="0" collapsed="false">
      <c r="A34" s="126" t="s">
        <v>25</v>
      </c>
      <c r="B34" s="126" t="s">
        <v>50</v>
      </c>
      <c r="C34" s="126" t="s">
        <v>298</v>
      </c>
    </row>
    <row r="35" customFormat="false" ht="28.35" hidden="false" customHeight="false" outlineLevel="0" collapsed="false">
      <c r="A35" s="126" t="s">
        <v>26</v>
      </c>
      <c r="B35" s="126" t="s">
        <v>51</v>
      </c>
      <c r="C35" s="126" t="s">
        <v>299</v>
      </c>
    </row>
    <row r="36" customFormat="false" ht="41.75" hidden="false" customHeight="false" outlineLevel="0" collapsed="false">
      <c r="A36" s="126" t="s">
        <v>27</v>
      </c>
      <c r="B36" s="126" t="s">
        <v>52</v>
      </c>
      <c r="C36" s="126" t="s">
        <v>300</v>
      </c>
    </row>
    <row r="38" customFormat="false" ht="15" hidden="false" customHeight="false" outlineLevel="0" collapsed="false">
      <c r="A38" s="125" t="s">
        <v>301</v>
      </c>
    </row>
    <row r="39" customFormat="false" ht="108.95" hidden="false" customHeight="false" outlineLevel="0" collapsed="false">
      <c r="A39" s="126" t="s">
        <v>7</v>
      </c>
      <c r="B39" s="126" t="s">
        <v>32</v>
      </c>
      <c r="C39" s="126" t="s">
        <v>302</v>
      </c>
    </row>
    <row r="40" customFormat="false" ht="108.95" hidden="false" customHeight="false" outlineLevel="0" collapsed="false">
      <c r="A40" s="126" t="s">
        <v>8</v>
      </c>
      <c r="B40" s="126" t="s">
        <v>33</v>
      </c>
      <c r="C40" s="126" t="s">
        <v>303</v>
      </c>
    </row>
    <row r="41" customFormat="false" ht="108.95" hidden="false" customHeight="false" outlineLevel="0" collapsed="false">
      <c r="A41" s="126" t="s">
        <v>9</v>
      </c>
      <c r="B41" s="126" t="s">
        <v>34</v>
      </c>
      <c r="C41" s="126" t="s">
        <v>304</v>
      </c>
    </row>
    <row r="42" customFormat="false" ht="108.95" hidden="false" customHeight="false" outlineLevel="0" collapsed="false">
      <c r="A42" s="126" t="s">
        <v>10</v>
      </c>
      <c r="B42" s="126" t="s">
        <v>35</v>
      </c>
      <c r="C42" s="126" t="s">
        <v>305</v>
      </c>
    </row>
    <row r="43" customFormat="false" ht="108.95" hidden="false" customHeight="false" outlineLevel="0" collapsed="false">
      <c r="A43" s="126" t="s">
        <v>11</v>
      </c>
      <c r="B43" s="126" t="s">
        <v>36</v>
      </c>
      <c r="C43" s="126" t="s">
        <v>306</v>
      </c>
    </row>
    <row r="44" customFormat="false" ht="41.75" hidden="false" customHeight="false" outlineLevel="0" collapsed="false">
      <c r="A44" s="126" t="s">
        <v>12</v>
      </c>
      <c r="B44" s="126" t="s">
        <v>37</v>
      </c>
      <c r="C44" s="126" t="s">
        <v>307</v>
      </c>
    </row>
    <row r="45" customFormat="false" ht="41.75" hidden="false" customHeight="false" outlineLevel="0" collapsed="false">
      <c r="A45" s="126" t="s">
        <v>13</v>
      </c>
      <c r="B45" s="126" t="s">
        <v>38</v>
      </c>
      <c r="C45" s="126" t="s">
        <v>308</v>
      </c>
    </row>
    <row r="46" customFormat="false" ht="55.2" hidden="false" customHeight="false" outlineLevel="0" collapsed="false">
      <c r="A46" s="126" t="s">
        <v>14</v>
      </c>
      <c r="B46" s="126" t="s">
        <v>39</v>
      </c>
      <c r="C46" s="126" t="s">
        <v>309</v>
      </c>
    </row>
    <row r="47" customFormat="false" ht="108.95" hidden="false" customHeight="false" outlineLevel="0" collapsed="false">
      <c r="A47" s="126" t="s">
        <v>15</v>
      </c>
      <c r="B47" s="126" t="s">
        <v>40</v>
      </c>
      <c r="C47" s="126" t="s">
        <v>310</v>
      </c>
    </row>
    <row r="48" customFormat="false" ht="95.5" hidden="false" customHeight="false" outlineLevel="0" collapsed="false">
      <c r="A48" s="126" t="s">
        <v>16</v>
      </c>
      <c r="B48" s="126" t="s">
        <v>41</v>
      </c>
      <c r="C48" s="126" t="s">
        <v>311</v>
      </c>
    </row>
    <row r="49" customFormat="false" ht="55.2" hidden="false" customHeight="false" outlineLevel="0" collapsed="false">
      <c r="A49" s="126" t="s">
        <v>17</v>
      </c>
      <c r="B49" s="126" t="s">
        <v>42</v>
      </c>
      <c r="C49" s="126" t="s">
        <v>312</v>
      </c>
    </row>
    <row r="50" customFormat="false" ht="41.75" hidden="false" customHeight="false" outlineLevel="0" collapsed="false">
      <c r="A50" s="126" t="s">
        <v>18</v>
      </c>
      <c r="B50" s="126" t="s">
        <v>43</v>
      </c>
      <c r="C50" s="126" t="s">
        <v>313</v>
      </c>
    </row>
    <row r="51" customFormat="false" ht="55.2" hidden="false" customHeight="false" outlineLevel="0" collapsed="false">
      <c r="A51" s="126" t="s">
        <v>19</v>
      </c>
      <c r="B51" s="126" t="s">
        <v>44</v>
      </c>
      <c r="C51" s="126" t="s">
        <v>314</v>
      </c>
    </row>
    <row r="52" customFormat="false" ht="68.65" hidden="false" customHeight="false" outlineLevel="0" collapsed="false">
      <c r="A52" s="126" t="s">
        <v>20</v>
      </c>
      <c r="B52" s="126" t="s">
        <v>45</v>
      </c>
      <c r="C52" s="126" t="s">
        <v>315</v>
      </c>
    </row>
    <row r="53" customFormat="false" ht="108.95" hidden="false" customHeight="false" outlineLevel="0" collapsed="false">
      <c r="A53" s="126" t="s">
        <v>21</v>
      </c>
      <c r="B53" s="126" t="s">
        <v>46</v>
      </c>
      <c r="C53" s="126" t="s">
        <v>316</v>
      </c>
    </row>
    <row r="54" customFormat="false" ht="108.95" hidden="false" customHeight="false" outlineLevel="0" collapsed="false">
      <c r="A54" s="126" t="s">
        <v>22</v>
      </c>
      <c r="B54" s="126" t="s">
        <v>47</v>
      </c>
      <c r="C54" s="126" t="s">
        <v>317</v>
      </c>
    </row>
    <row r="55" customFormat="false" ht="108.95" hidden="false" customHeight="false" outlineLevel="0" collapsed="false">
      <c r="A55" s="126" t="s">
        <v>23</v>
      </c>
      <c r="B55" s="126" t="s">
        <v>48</v>
      </c>
      <c r="C55" s="126" t="s">
        <v>318</v>
      </c>
    </row>
    <row r="56" customFormat="false" ht="108.95" hidden="false" customHeight="false" outlineLevel="0" collapsed="false">
      <c r="A56" s="126" t="s">
        <v>24</v>
      </c>
      <c r="B56" s="126" t="s">
        <v>49</v>
      </c>
      <c r="C56" s="126" t="s">
        <v>319</v>
      </c>
    </row>
    <row r="57" customFormat="false" ht="108.95" hidden="false" customHeight="false" outlineLevel="0" collapsed="false">
      <c r="A57" s="126" t="s">
        <v>25</v>
      </c>
      <c r="B57" s="126" t="s">
        <v>50</v>
      </c>
      <c r="C57" s="126" t="s">
        <v>320</v>
      </c>
    </row>
    <row r="58" customFormat="false" ht="55.2" hidden="false" customHeight="false" outlineLevel="0" collapsed="false">
      <c r="A58" s="126" t="s">
        <v>26</v>
      </c>
      <c r="B58" s="126" t="s">
        <v>51</v>
      </c>
      <c r="C58" s="126" t="s">
        <v>321</v>
      </c>
    </row>
    <row r="59" customFormat="false" ht="55.2" hidden="false" customHeight="false" outlineLevel="0" collapsed="false">
      <c r="A59" s="126" t="s">
        <v>27</v>
      </c>
      <c r="B59" s="126" t="s">
        <v>52</v>
      </c>
      <c r="C59" s="126" t="s">
        <v>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8" min="2" style="0" width="22"/>
  </cols>
  <sheetData>
    <row r="1" customFormat="false" ht="15" hidden="false" customHeight="false" outlineLevel="0" collapsed="false">
      <c r="A1" s="125" t="s">
        <v>323</v>
      </c>
    </row>
    <row r="2" customFormat="false" ht="48" hidden="false" customHeight="true" outlineLevel="0" collapsed="false">
      <c r="A2" s="127" t="s">
        <v>324</v>
      </c>
      <c r="B2" s="127"/>
      <c r="C2" s="127"/>
      <c r="D2" s="127"/>
      <c r="E2" s="127"/>
      <c r="F2" s="127"/>
      <c r="G2" s="127"/>
      <c r="H2" s="127"/>
    </row>
    <row r="4" customFormat="false" ht="15" hidden="false" customHeight="false" outlineLevel="0" collapsed="false">
      <c r="A4" s="128" t="s">
        <v>2</v>
      </c>
      <c r="B4" s="128" t="s">
        <v>325</v>
      </c>
      <c r="C4" s="128" t="s">
        <v>326</v>
      </c>
      <c r="D4" s="128" t="s">
        <v>327</v>
      </c>
      <c r="E4" s="128" t="s">
        <v>328</v>
      </c>
      <c r="F4" s="128" t="s">
        <v>329</v>
      </c>
      <c r="G4" s="128" t="s">
        <v>330</v>
      </c>
      <c r="H4" s="128" t="s">
        <v>331</v>
      </c>
    </row>
    <row r="5" customFormat="false" ht="15" hidden="false" customHeight="false" outlineLevel="0" collapsed="false">
      <c r="A5" s="129" t="s">
        <v>3</v>
      </c>
      <c r="B5" s="130" t="n">
        <v>1</v>
      </c>
      <c r="C5" s="130" t="n">
        <v>1</v>
      </c>
      <c r="D5" s="130" t="n">
        <v>1</v>
      </c>
      <c r="E5" s="130" t="n">
        <v>1</v>
      </c>
      <c r="F5" s="130" t="n">
        <v>1</v>
      </c>
      <c r="G5" s="130" t="n">
        <v>1</v>
      </c>
      <c r="H5" s="130" t="n">
        <v>1</v>
      </c>
    </row>
    <row r="6" customFormat="false" ht="15" hidden="false" customHeight="false" outlineLevel="0" collapsed="false">
      <c r="A6" s="129" t="s">
        <v>228</v>
      </c>
      <c r="B6" s="130" t="n">
        <v>1.1129794</v>
      </c>
      <c r="C6" s="130" t="n">
        <v>1.13657124</v>
      </c>
      <c r="D6" s="130" t="n">
        <v>1.20623566</v>
      </c>
      <c r="E6" s="130" t="n">
        <v>1.23525585</v>
      </c>
      <c r="F6" s="130" t="n">
        <v>1.21741894</v>
      </c>
      <c r="G6" s="130" t="n">
        <v>1.24739611</v>
      </c>
      <c r="H6" s="130" t="n">
        <v>1.26461039</v>
      </c>
    </row>
    <row r="7" customFormat="false" ht="15" hidden="false" customHeight="false" outlineLevel="0" collapsed="false">
      <c r="A7" s="129" t="s">
        <v>230</v>
      </c>
      <c r="B7" s="130" t="n">
        <v>1.08126863</v>
      </c>
      <c r="C7" s="130" t="n">
        <v>1.08238047</v>
      </c>
      <c r="D7" s="130" t="n">
        <v>1.12998314</v>
      </c>
      <c r="E7" s="130" t="n">
        <v>1.1394</v>
      </c>
      <c r="F7" s="130" t="n">
        <v>1.149</v>
      </c>
      <c r="G7" s="130" t="n">
        <v>1.1617</v>
      </c>
      <c r="H7" s="130" t="n">
        <v>1.1685</v>
      </c>
    </row>
    <row r="8" customFormat="false" ht="15" hidden="false" customHeight="false" outlineLevel="0" collapsed="false">
      <c r="A8" s="129" t="s">
        <v>231</v>
      </c>
      <c r="B8" s="130" t="n">
        <v>1.24337584</v>
      </c>
      <c r="C8" s="130" t="n">
        <v>1.27859417</v>
      </c>
      <c r="D8" s="130" t="n">
        <v>1.3184218</v>
      </c>
      <c r="E8" s="130" t="n">
        <v>1.32214718</v>
      </c>
      <c r="F8" s="130" t="n">
        <v>1.33947307</v>
      </c>
      <c r="G8" s="130" t="n">
        <v>1.33990773</v>
      </c>
      <c r="H8" s="130" t="n">
        <v>1.34228573</v>
      </c>
    </row>
    <row r="9" customFormat="false" ht="15" hidden="false" customHeight="false" outlineLevel="0" collapsed="false">
      <c r="A9" s="129" t="s">
        <v>229</v>
      </c>
      <c r="B9" s="130" t="n">
        <v>0.00076563</v>
      </c>
      <c r="C9" s="130" t="n">
        <v>0.00073382</v>
      </c>
      <c r="D9" s="130" t="n">
        <v>0.00070394</v>
      </c>
      <c r="E9" s="130" t="n">
        <v>0.00064479</v>
      </c>
      <c r="F9" s="130" t="n">
        <v>0.00072877</v>
      </c>
      <c r="G9" s="130" t="n">
        <v>0.00067892</v>
      </c>
      <c r="H9" s="130" t="n">
        <v>0.00067591</v>
      </c>
    </row>
    <row r="10" customFormat="false" ht="15" hidden="false" customHeight="false" outlineLevel="0" collapsed="false">
      <c r="A10" s="129" t="s">
        <v>234</v>
      </c>
      <c r="B10" s="130" t="n">
        <v>0.12773432</v>
      </c>
      <c r="C10" s="130" t="n">
        <v>0.12816399</v>
      </c>
      <c r="D10" s="130" t="n">
        <v>0.12826395</v>
      </c>
      <c r="E10" s="130" t="n">
        <v>0.12752098</v>
      </c>
      <c r="F10" s="130" t="n">
        <v>0.12746273</v>
      </c>
      <c r="G10" s="130" t="n">
        <v>0.12820456</v>
      </c>
      <c r="H10" s="130" t="n">
        <v>0.12763378</v>
      </c>
    </row>
    <row r="11" customFormat="false" ht="15" hidden="false" customHeight="false" outlineLevel="0" collapsed="false">
      <c r="A11" s="129" t="s">
        <v>232</v>
      </c>
      <c r="B11" s="130" t="n">
        <v>0.14124959</v>
      </c>
      <c r="C11" s="130" t="n">
        <v>0.13898663</v>
      </c>
      <c r="D11" s="130" t="n">
        <v>0.13915023</v>
      </c>
      <c r="E11" s="130" t="n">
        <v>0.14737305</v>
      </c>
      <c r="F11" s="130" t="n">
        <v>0.14935656</v>
      </c>
      <c r="G11" s="130" t="n">
        <v>0.14347821</v>
      </c>
      <c r="H11" s="130" t="n">
        <v>0.14631306</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6"/>
    <col collapsed="false" customWidth="true" hidden="false" outlineLevel="0" max="4" min="4" style="0" width="32"/>
    <col collapsed="false" customWidth="true" hidden="false" outlineLevel="0" max="7" min="5" style="0" width="14"/>
    <col collapsed="false" customWidth="true" hidden="false" outlineLevel="0" max="8" min="8" style="0" width="10"/>
  </cols>
  <sheetData>
    <row r="1" customFormat="false" ht="15" hidden="false" customHeight="false" outlineLevel="0" collapsed="false">
      <c r="A1" s="128" t="s">
        <v>332</v>
      </c>
      <c r="B1" s="128"/>
      <c r="C1" s="128"/>
      <c r="D1" s="128"/>
      <c r="E1" s="128"/>
      <c r="F1" s="128"/>
      <c r="G1" s="128"/>
      <c r="H1" s="128"/>
    </row>
    <row r="3" customFormat="false" ht="15" hidden="false" customHeight="false" outlineLevel="0" collapsed="false">
      <c r="A3" s="128" t="s">
        <v>5</v>
      </c>
      <c r="B3" s="128" t="s">
        <v>333</v>
      </c>
      <c r="C3" s="128" t="s">
        <v>334</v>
      </c>
      <c r="D3" s="128" t="s">
        <v>335</v>
      </c>
      <c r="E3" s="128" t="s">
        <v>336</v>
      </c>
      <c r="F3" s="128" t="s">
        <v>337</v>
      </c>
      <c r="G3" s="128" t="s">
        <v>338</v>
      </c>
      <c r="H3" s="128" t="s">
        <v>339</v>
      </c>
    </row>
    <row r="4" customFormat="false" ht="15" hidden="false" customHeight="false" outlineLevel="0" collapsed="false">
      <c r="A4" s="0" t="s">
        <v>7</v>
      </c>
      <c r="B4" s="0" t="s">
        <v>32</v>
      </c>
      <c r="C4" s="0" t="n">
        <v>43</v>
      </c>
      <c r="D4" s="0" t="s">
        <v>340</v>
      </c>
      <c r="E4" s="131" t="n">
        <v>1098.918</v>
      </c>
      <c r="F4" s="132" t="n">
        <f aca="false">Spreads!L43</f>
        <v>768.5</v>
      </c>
      <c r="G4" s="131" t="n">
        <f aca="false">IF(AND(ISNUMBER(E4),ISNUMBER(F4)),F4-E4,"")</f>
        <v>-330.418</v>
      </c>
      <c r="H4" s="133" t="n">
        <f aca="false">IF(AND(ISNUMBER(E4),ISNUMBER(F4)),IF(E4=0,"",F4/E4-1),"")</f>
        <v>-0.300675755606879</v>
      </c>
    </row>
    <row r="5" customFormat="false" ht="15" hidden="false" customHeight="false" outlineLevel="0" collapsed="false">
      <c r="A5" s="0" t="s">
        <v>7</v>
      </c>
      <c r="B5" s="0" t="s">
        <v>32</v>
      </c>
      <c r="C5" s="0" t="n">
        <v>44</v>
      </c>
      <c r="D5" s="0" t="s">
        <v>341</v>
      </c>
      <c r="E5" s="131"/>
      <c r="F5" s="132" t="n">
        <f aca="false">Spreads!L44</f>
        <v>25</v>
      </c>
      <c r="G5" s="131" t="str">
        <f aca="false">IF(AND(ISNUMBER(E5),ISNUMBER(F5)),F5-E5,"")</f>
        <v/>
      </c>
      <c r="H5" s="133" t="str">
        <f aca="false">IF(AND(ISNUMBER(E5),ISNUMBER(F5)),IF(E5=0,"",F5/E5-1),"")</f>
        <v/>
      </c>
    </row>
    <row r="6" customFormat="false" ht="15" hidden="false" customHeight="false" outlineLevel="0" collapsed="false">
      <c r="A6" s="0" t="s">
        <v>7</v>
      </c>
      <c r="B6" s="0" t="s">
        <v>32</v>
      </c>
      <c r="C6" s="0" t="n">
        <v>45</v>
      </c>
      <c r="D6" s="0" t="s">
        <v>342</v>
      </c>
      <c r="E6" s="131"/>
      <c r="F6" s="132" t="n">
        <f aca="false">Spreads!L45</f>
        <v>0</v>
      </c>
      <c r="G6" s="131" t="str">
        <f aca="false">IF(AND(ISNUMBER(E6),ISNUMBER(F6)),F6-E6,"")</f>
        <v/>
      </c>
      <c r="H6" s="133" t="str">
        <f aca="false">IF(AND(ISNUMBER(E6),ISNUMBER(F6)),IF(E6=0,"",F6/E6-1),"")</f>
        <v/>
      </c>
    </row>
    <row r="7" customFormat="false" ht="15" hidden="false" customHeight="false" outlineLevel="0" collapsed="false">
      <c r="A7" s="0" t="s">
        <v>7</v>
      </c>
      <c r="B7" s="0" t="s">
        <v>32</v>
      </c>
      <c r="C7" s="0" t="n">
        <v>46</v>
      </c>
      <c r="D7" s="0" t="s">
        <v>343</v>
      </c>
      <c r="E7" s="131" t="n">
        <v>12.9</v>
      </c>
      <c r="F7" s="132" t="n">
        <f aca="false">Spreads!L46</f>
        <v>17</v>
      </c>
      <c r="G7" s="131" t="n">
        <f aca="false">IF(AND(ISNUMBER(E7),ISNUMBER(F7)),F7-E7,"")</f>
        <v>4.1</v>
      </c>
      <c r="H7" s="133" t="n">
        <f aca="false">IF(AND(ISNUMBER(E7),ISNUMBER(F7)),IF(E7=0,"",F7/E7-1),"")</f>
        <v>0.317829457364341</v>
      </c>
    </row>
    <row r="8" customFormat="false" ht="15" hidden="false" customHeight="false" outlineLevel="0" collapsed="false">
      <c r="A8" s="0" t="s">
        <v>7</v>
      </c>
      <c r="B8" s="0" t="s">
        <v>32</v>
      </c>
      <c r="C8" s="0" t="n">
        <v>55</v>
      </c>
      <c r="D8" s="0" t="s">
        <v>344</v>
      </c>
      <c r="E8" s="131" t="n">
        <v>28.837</v>
      </c>
      <c r="F8" s="132" t="n">
        <f aca="false">Spreads!L55</f>
        <v>16.517</v>
      </c>
      <c r="G8" s="131" t="n">
        <f aca="false">IF(AND(ISNUMBER(E8),ISNUMBER(F8)),F8-E8,"")</f>
        <v>-12.32</v>
      </c>
      <c r="H8" s="133" t="n">
        <f aca="false">IF(AND(ISNUMBER(E8),ISNUMBER(F8)),IF(E8=0,"",F8/E8-1),"")</f>
        <v>-0.427228907306585</v>
      </c>
    </row>
    <row r="9" customFormat="false" ht="15" hidden="false" customHeight="false" outlineLevel="0" collapsed="false">
      <c r="A9" s="0" t="s">
        <v>7</v>
      </c>
      <c r="B9" s="0" t="s">
        <v>32</v>
      </c>
      <c r="C9" s="0" t="n">
        <v>56</v>
      </c>
      <c r="D9" s="0" t="s">
        <v>345</v>
      </c>
      <c r="E9" s="131" t="n">
        <v>1783.535</v>
      </c>
      <c r="F9" s="132" t="n">
        <f aca="false">Spreads!L56</f>
        <v>1627.105</v>
      </c>
      <c r="G9" s="131" t="n">
        <f aca="false">IF(AND(ISNUMBER(E9),ISNUMBER(F9)),F9-E9,"")</f>
        <v>-156.43</v>
      </c>
      <c r="H9" s="133" t="n">
        <f aca="false">IF(AND(ISNUMBER(E9),ISNUMBER(F9)),IF(E9=0,"",F9/E9-1),"")</f>
        <v>-0.087707838646284</v>
      </c>
    </row>
    <row r="10" customFormat="false" ht="15" hidden="false" customHeight="false" outlineLevel="0" collapsed="false">
      <c r="A10" s="0" t="s">
        <v>7</v>
      </c>
      <c r="B10" s="0" t="s">
        <v>32</v>
      </c>
      <c r="C10" s="0" t="n">
        <v>58</v>
      </c>
      <c r="D10" s="0" t="s">
        <v>346</v>
      </c>
      <c r="E10" s="131"/>
      <c r="F10" s="132" t="n">
        <f aca="false">Spreads!L58</f>
        <v>0</v>
      </c>
      <c r="G10" s="131" t="str">
        <f aca="false">IF(AND(ISNUMBER(E10),ISNUMBER(F10)),F10-E10,"")</f>
        <v/>
      </c>
      <c r="H10" s="133" t="str">
        <f aca="false">IF(AND(ISNUMBER(E10),ISNUMBER(F10)),IF(E10=0,"",F10/E10-1),"")</f>
        <v/>
      </c>
    </row>
    <row r="11" customFormat="false" ht="15" hidden="false" customHeight="false" outlineLevel="0" collapsed="false">
      <c r="A11" s="0" t="s">
        <v>7</v>
      </c>
      <c r="B11" s="0" t="s">
        <v>32</v>
      </c>
      <c r="C11" s="0" t="n">
        <v>62</v>
      </c>
      <c r="D11" s="0" t="s">
        <v>347</v>
      </c>
      <c r="E11" s="131" t="n">
        <v>0</v>
      </c>
      <c r="F11" s="132" t="n">
        <f aca="false">Spreads!L62</f>
        <v>0</v>
      </c>
      <c r="G11" s="131" t="n">
        <f aca="false">IF(AND(ISNUMBER(E11),ISNUMBER(F11)),F11-E11,"")</f>
        <v>0</v>
      </c>
      <c r="H11" s="133" t="str">
        <f aca="false">IF(AND(ISNUMBER(E11),ISNUMBER(F11)),IF(E11=0,"",F11/E11-1),"")</f>
        <v/>
      </c>
    </row>
    <row r="12" customFormat="false" ht="15" hidden="false" customHeight="false" outlineLevel="0" collapsed="false">
      <c r="A12" s="0" t="s">
        <v>7</v>
      </c>
      <c r="B12" s="0" t="s">
        <v>32</v>
      </c>
      <c r="C12" s="0" t="n">
        <v>70</v>
      </c>
      <c r="D12" s="0" t="s">
        <v>348</v>
      </c>
      <c r="E12" s="131" t="n">
        <v>9.2</v>
      </c>
      <c r="F12" s="132" t="n">
        <f aca="false">Spreads!L70</f>
        <v>9.2</v>
      </c>
      <c r="G12" s="131" t="n">
        <f aca="false">IF(AND(ISNUMBER(E12),ISNUMBER(F12)),F12-E12,"")</f>
        <v>0</v>
      </c>
      <c r="H12" s="133" t="n">
        <f aca="false">IF(AND(ISNUMBER(E12),ISNUMBER(F12)),IF(E12=0,"",F12/E12-1),"")</f>
        <v>0</v>
      </c>
    </row>
    <row r="13" customFormat="false" ht="15" hidden="false" customHeight="false" outlineLevel="0" collapsed="false">
      <c r="A13" s="0" t="s">
        <v>7</v>
      </c>
      <c r="B13" s="0" t="s">
        <v>32</v>
      </c>
      <c r="C13" s="0" t="n">
        <v>74</v>
      </c>
      <c r="D13" s="0" t="s">
        <v>349</v>
      </c>
      <c r="E13" s="131" t="n">
        <v>0</v>
      </c>
      <c r="F13" s="132" t="n">
        <f aca="false">Spreads!L74</f>
        <v>0</v>
      </c>
      <c r="G13" s="131" t="n">
        <f aca="false">IF(AND(ISNUMBER(E13),ISNUMBER(F13)),F13-E13,"")</f>
        <v>0</v>
      </c>
      <c r="H13" s="133" t="str">
        <f aca="false">IF(AND(ISNUMBER(E13),ISNUMBER(F13)),IF(E13=0,"",F13/E13-1),"")</f>
        <v/>
      </c>
    </row>
    <row r="14" customFormat="false" ht="15" hidden="false" customHeight="false" outlineLevel="0" collapsed="false">
      <c r="A14" s="0" t="s">
        <v>7</v>
      </c>
      <c r="B14" s="0" t="s">
        <v>32</v>
      </c>
      <c r="C14" s="0" t="n">
        <v>77</v>
      </c>
      <c r="D14" s="0" t="s">
        <v>350</v>
      </c>
      <c r="E14" s="131" t="n">
        <v>0</v>
      </c>
      <c r="F14" s="132" t="n">
        <f aca="false">Spreads!L77</f>
        <v>0</v>
      </c>
      <c r="G14" s="131" t="n">
        <f aca="false">IF(AND(ISNUMBER(E14),ISNUMBER(F14)),F14-E14,"")</f>
        <v>0</v>
      </c>
      <c r="H14" s="133" t="str">
        <f aca="false">IF(AND(ISNUMBER(E14),ISNUMBER(F14)),IF(E14=0,"",F14/E14-1),"")</f>
        <v/>
      </c>
    </row>
    <row r="15" customFormat="false" ht="15" hidden="false" customHeight="false" outlineLevel="0" collapsed="false">
      <c r="A15" s="0" t="s">
        <v>7</v>
      </c>
      <c r="B15" s="0" t="s">
        <v>32</v>
      </c>
      <c r="C15" s="0" t="n">
        <v>81</v>
      </c>
      <c r="D15" s="0" t="s">
        <v>351</v>
      </c>
      <c r="E15" s="131" t="n">
        <v>3778.154</v>
      </c>
      <c r="F15" s="132" t="n">
        <f aca="false">Spreads!L81</f>
        <v>3357.74</v>
      </c>
      <c r="G15" s="131" t="n">
        <f aca="false">IF(AND(ISNUMBER(E15),ISNUMBER(F15)),F15-E15,"")</f>
        <v>-420.414</v>
      </c>
      <c r="H15" s="133" t="n">
        <f aca="false">IF(AND(ISNUMBER(E15),ISNUMBER(F15)),IF(E15=0,"",F15/E15-1),"")</f>
        <v>-0.111274977144923</v>
      </c>
    </row>
    <row r="16" customFormat="false" ht="15" hidden="false" customHeight="false" outlineLevel="0" collapsed="false">
      <c r="A16" s="0" t="s">
        <v>7</v>
      </c>
      <c r="B16" s="0" t="s">
        <v>32</v>
      </c>
      <c r="C16" s="0" t="n">
        <v>137</v>
      </c>
      <c r="D16" s="0" t="s">
        <v>352</v>
      </c>
      <c r="E16" s="131" t="n">
        <v>206.8</v>
      </c>
      <c r="F16" s="132" t="n">
        <f aca="false">Spreads!L137</f>
        <v>206.495</v>
      </c>
      <c r="G16" s="131" t="n">
        <f aca="false">IF(AND(ISNUMBER(E16),ISNUMBER(F16)),F16-E16,"")</f>
        <v>-0.305000000000007</v>
      </c>
      <c r="H16" s="133" t="n">
        <f aca="false">IF(AND(ISNUMBER(E16),ISNUMBER(F16)),IF(E16=0,"",F16/E16-1),"")</f>
        <v>-0.00147485493230182</v>
      </c>
    </row>
    <row r="17" customFormat="false" ht="15" hidden="false" customHeight="false" outlineLevel="0" collapsed="false">
      <c r="A17" s="0" t="s">
        <v>7</v>
      </c>
      <c r="B17" s="0" t="s">
        <v>32</v>
      </c>
      <c r="C17" s="0" t="n">
        <v>145</v>
      </c>
      <c r="D17" s="0" t="s">
        <v>353</v>
      </c>
      <c r="E17" s="131" t="n">
        <v>206.8</v>
      </c>
      <c r="F17" s="132" t="n">
        <f aca="false">Spreads!L145</f>
        <v>209.581</v>
      </c>
      <c r="G17" s="131" t="n">
        <f aca="false">IF(AND(ISNUMBER(E17),ISNUMBER(F17)),F17-E17,"")</f>
        <v>2.78100000000001</v>
      </c>
      <c r="H17" s="133" t="n">
        <f aca="false">IF(AND(ISNUMBER(E17),ISNUMBER(F17)),IF(E17=0,"",F17/E17-1),"")</f>
        <v>0.0134477756286266</v>
      </c>
    </row>
    <row r="18" customFormat="false" ht="15" hidden="false" customHeight="false" outlineLevel="0" collapsed="false">
      <c r="A18" s="0" t="s">
        <v>7</v>
      </c>
      <c r="B18" s="0" t="s">
        <v>32</v>
      </c>
      <c r="C18" s="0" t="n">
        <v>50</v>
      </c>
      <c r="D18" s="0" t="s">
        <v>354</v>
      </c>
      <c r="E18" s="131" t="n">
        <v>1111.818</v>
      </c>
      <c r="F18" s="132" t="n">
        <f aca="false">Spreads!L50</f>
        <v>810.5</v>
      </c>
      <c r="G18" s="131" t="n">
        <f aca="false">IF(AND(ISNUMBER(E18),ISNUMBER(F18)),F18-E18,"")</f>
        <v>-301.318</v>
      </c>
      <c r="H18" s="133" t="n">
        <f aca="false">IF(AND(ISNUMBER(E18),ISNUMBER(F18)),IF(E18=0,"",F18/E18-1),"")</f>
        <v>-0.271013781032507</v>
      </c>
    </row>
    <row r="19" customFormat="false" ht="15" hidden="false" customHeight="false" outlineLevel="0" collapsed="false">
      <c r="A19" s="0" t="s">
        <v>7</v>
      </c>
      <c r="B19" s="0" t="s">
        <v>32</v>
      </c>
      <c r="C19" s="0" t="n">
        <v>65</v>
      </c>
      <c r="D19" s="0" t="s">
        <v>355</v>
      </c>
      <c r="E19" s="131" t="n">
        <v>1819.1984</v>
      </c>
      <c r="F19" s="132" t="n">
        <f aca="false">Spreads!L65</f>
        <v>1661.8144</v>
      </c>
      <c r="G19" s="131" t="n">
        <f aca="false">IF(AND(ISNUMBER(E19),ISNUMBER(F19)),F19-E19,"")</f>
        <v>-157.384</v>
      </c>
      <c r="H19" s="133" t="n">
        <f aca="false">IF(AND(ISNUMBER(E19),ISNUMBER(F19)),IF(E19=0,"",F19/E19-1),"")</f>
        <v>-0.086512828947079</v>
      </c>
    </row>
    <row r="20" customFormat="false" ht="15" hidden="false" customHeight="false" outlineLevel="0" collapsed="false">
      <c r="A20" s="0" t="s">
        <v>7</v>
      </c>
      <c r="B20" s="0" t="s">
        <v>32</v>
      </c>
      <c r="C20" s="0" t="n">
        <v>27</v>
      </c>
      <c r="D20" s="0" t="s">
        <v>356</v>
      </c>
      <c r="E20" s="131" t="n">
        <v>10544.8564</v>
      </c>
      <c r="F20" s="132" t="n">
        <f aca="false">Spreads!L27</f>
        <v>10821.08257</v>
      </c>
      <c r="G20" s="131" t="n">
        <f aca="false">IF(AND(ISNUMBER(E20),ISNUMBER(F20)),F20-E20,"")</f>
        <v>276.226170000002</v>
      </c>
      <c r="H20" s="133" t="n">
        <f aca="false">IF(AND(ISNUMBER(E20),ISNUMBER(F20)),IF(E20=0,"",F20/E20-1),"")</f>
        <v>0.0261953467664104</v>
      </c>
    </row>
    <row r="21" customFormat="false" ht="15" hidden="false" customHeight="false" outlineLevel="0" collapsed="false">
      <c r="A21" s="0" t="s">
        <v>7</v>
      </c>
      <c r="B21" s="0" t="s">
        <v>32</v>
      </c>
      <c r="C21" s="0" t="n">
        <v>205</v>
      </c>
      <c r="D21" s="0" t="s">
        <v>357</v>
      </c>
      <c r="E21" s="131" t="n">
        <v>2078</v>
      </c>
      <c r="F21" s="132" t="n">
        <f aca="false">Spreads!L205</f>
        <v>2089.999</v>
      </c>
      <c r="G21" s="131" t="n">
        <f aca="false">IF(AND(ISNUMBER(E21),ISNUMBER(F21)),F21-E21,"")</f>
        <v>11.9989999999998</v>
      </c>
      <c r="H21" s="133" t="n">
        <f aca="false">IF(AND(ISNUMBER(E21),ISNUMBER(F21)),IF(E21=0,"",F21/E21-1),"")</f>
        <v>0.00577430221366693</v>
      </c>
    </row>
    <row r="22" customFormat="false" ht="15" hidden="false" customHeight="false" outlineLevel="0" collapsed="false">
      <c r="A22" s="0" t="s">
        <v>7</v>
      </c>
      <c r="B22" s="0" t="s">
        <v>32</v>
      </c>
      <c r="C22" s="0" t="n">
        <v>245</v>
      </c>
      <c r="D22" s="0" t="s">
        <v>358</v>
      </c>
      <c r="E22" s="131" t="n">
        <v>614.10443</v>
      </c>
      <c r="F22" s="132" t="n">
        <f aca="false">Spreads!L245</f>
        <v>465.851</v>
      </c>
      <c r="G22" s="131" t="n">
        <f aca="false">IF(AND(ISNUMBER(E22),ISNUMBER(F22)),F22-E22,"")</f>
        <v>-148.25343</v>
      </c>
      <c r="H22" s="133" t="n">
        <f aca="false">IF(AND(ISNUMBER(E22),ISNUMBER(F22)),IF(E22=0,"",F22/E22-1),"")</f>
        <v>-0.241414037674341</v>
      </c>
    </row>
    <row r="23" customFormat="false" ht="15" hidden="false" customHeight="false" outlineLevel="0" collapsed="false">
      <c r="A23" s="0" t="s">
        <v>7</v>
      </c>
      <c r="B23" s="0" t="s">
        <v>32</v>
      </c>
      <c r="C23" s="0" t="n">
        <v>265</v>
      </c>
      <c r="D23" s="0" t="s">
        <v>359</v>
      </c>
      <c r="E23" s="131" t="n">
        <v>757.10034</v>
      </c>
      <c r="F23" s="132" t="n">
        <f aca="false">Spreads!L265</f>
        <v>682.037</v>
      </c>
      <c r="G23" s="131" t="n">
        <f aca="false">IF(AND(ISNUMBER(E23),ISNUMBER(F23)),F23-E23,"")</f>
        <v>-75.0633399999999</v>
      </c>
      <c r="H23" s="133" t="n">
        <f aca="false">IF(AND(ISNUMBER(E23),ISNUMBER(F23)),IF(E23=0,"",F23/E23-1),"")</f>
        <v>-0.0991458278832631</v>
      </c>
    </row>
    <row r="24" customFormat="false" ht="15" hidden="false" customHeight="false" outlineLevel="0" collapsed="false">
      <c r="A24" s="0" t="s">
        <v>7</v>
      </c>
      <c r="B24" s="0" t="s">
        <v>32</v>
      </c>
      <c r="C24" s="0" t="n">
        <v>275</v>
      </c>
      <c r="D24" s="0" t="s">
        <v>360</v>
      </c>
      <c r="E24" s="131" t="n">
        <v>757.10034</v>
      </c>
      <c r="F24" s="132" t="n">
        <f aca="false">Spreads!L275</f>
        <v>682.037</v>
      </c>
      <c r="G24" s="131" t="n">
        <f aca="false">IF(AND(ISNUMBER(E24),ISNUMBER(F24)),F24-E24,"")</f>
        <v>-75.0633399999999</v>
      </c>
      <c r="H24" s="133" t="n">
        <f aca="false">IF(AND(ISNUMBER(E24),ISNUMBER(F24)),IF(E24=0,"",F24/E24-1),"")</f>
        <v>-0.0991458278832631</v>
      </c>
    </row>
    <row r="25" customFormat="false" ht="15" hidden="false" customHeight="false" outlineLevel="0" collapsed="false">
      <c r="A25" s="0" t="s">
        <v>7</v>
      </c>
      <c r="B25" s="0" t="s">
        <v>32</v>
      </c>
      <c r="C25" s="0" t="n">
        <v>285</v>
      </c>
      <c r="D25" s="0" t="s">
        <v>361</v>
      </c>
      <c r="E25" s="131" t="n">
        <v>516.01</v>
      </c>
      <c r="F25" s="132" t="n">
        <f aca="false">Spreads!L285</f>
        <v>424.88</v>
      </c>
      <c r="G25" s="131" t="n">
        <f aca="false">IF(AND(ISNUMBER(E25),ISNUMBER(F25)),F25-E25,"")</f>
        <v>-91.13</v>
      </c>
      <c r="H25" s="133" t="n">
        <f aca="false">IF(AND(ISNUMBER(E25),ISNUMBER(F25)),IF(E25=0,"",F25/E25-1),"")</f>
        <v>-0.176605104552237</v>
      </c>
    </row>
    <row r="26" customFormat="false" ht="15" hidden="false" customHeight="false" outlineLevel="0" collapsed="false">
      <c r="A26" s="0" t="s">
        <v>7</v>
      </c>
      <c r="B26" s="0" t="s">
        <v>32</v>
      </c>
      <c r="C26" s="0" t="n">
        <v>295</v>
      </c>
      <c r="D26" s="0" t="s">
        <v>362</v>
      </c>
      <c r="E26" s="131" t="n">
        <v>2.4736843</v>
      </c>
      <c r="F26" s="132" t="n">
        <f aca="false">Spreads!L295</f>
        <v>1.94</v>
      </c>
      <c r="G26" s="131" t="n">
        <f aca="false">IF(AND(ISNUMBER(E26),ISNUMBER(F26)),F26-E26,"")</f>
        <v>-0.5336843</v>
      </c>
      <c r="H26" s="133" t="n">
        <f aca="false">IF(AND(ISNUMBER(E26),ISNUMBER(F26)),IF(E26=0,"",F26/E26-1),"")</f>
        <v>-0.215744709217745</v>
      </c>
    </row>
    <row r="27" customFormat="false" ht="15" hidden="false" customHeight="false" outlineLevel="0" collapsed="false">
      <c r="A27" s="0" t="s">
        <v>7</v>
      </c>
      <c r="B27" s="0" t="s">
        <v>32</v>
      </c>
      <c r="C27" s="0" t="n">
        <v>339</v>
      </c>
      <c r="D27" s="0" t="s">
        <v>363</v>
      </c>
      <c r="E27" s="131" t="n">
        <v>179.1758</v>
      </c>
      <c r="F27" s="132" t="n">
        <f aca="false">Spreads!L339</f>
        <v>201.049</v>
      </c>
      <c r="G27" s="131" t="n">
        <f aca="false">IF(AND(ISNUMBER(E27),ISNUMBER(F27)),F27-E27,"")</f>
        <v>21.8732</v>
      </c>
      <c r="H27" s="133" t="n">
        <f aca="false">IF(AND(ISNUMBER(E27),ISNUMBER(F27)),IF(E27=0,"",F27/E27-1),"")</f>
        <v>0.122076753668743</v>
      </c>
    </row>
    <row r="28" customFormat="false" ht="15" hidden="false" customHeight="false" outlineLevel="0" collapsed="false">
      <c r="A28" s="0" t="s">
        <v>7</v>
      </c>
      <c r="B28" s="0" t="s">
        <v>32</v>
      </c>
      <c r="C28" s="0" t="n">
        <v>327</v>
      </c>
      <c r="D28" s="0" t="s">
        <v>364</v>
      </c>
      <c r="E28" s="131" t="n">
        <v>0</v>
      </c>
      <c r="F28" s="132" t="n">
        <f aca="false">Spreads!L327</f>
        <v>0</v>
      </c>
      <c r="G28" s="131" t="n">
        <f aca="false">IF(AND(ISNUMBER(E28),ISNUMBER(F28)),F28-E28,"")</f>
        <v>0</v>
      </c>
      <c r="H28" s="133" t="str">
        <f aca="false">IF(AND(ISNUMBER(E28),ISNUMBER(F28)),IF(E28=0,"",F28/E28-1),"")</f>
        <v/>
      </c>
    </row>
    <row r="29" customFormat="false" ht="15" hidden="false" customHeight="false" outlineLevel="0" collapsed="false">
      <c r="A29" s="0" t="s">
        <v>7</v>
      </c>
      <c r="B29" s="0" t="s">
        <v>32</v>
      </c>
      <c r="C29" s="0" t="n">
        <v>328</v>
      </c>
      <c r="D29" s="0" t="s">
        <v>365</v>
      </c>
      <c r="E29" s="131" t="n">
        <v>0</v>
      </c>
      <c r="F29" s="132" t="n">
        <f aca="false">Spreads!L328</f>
        <v>0</v>
      </c>
      <c r="G29" s="131" t="n">
        <f aca="false">IF(AND(ISNUMBER(E29),ISNUMBER(F29)),F29-E29,"")</f>
        <v>0</v>
      </c>
      <c r="H29" s="133" t="str">
        <f aca="false">IF(AND(ISNUMBER(E29),ISNUMBER(F29)),IF(E29=0,"",F29/E29-1),"")</f>
        <v/>
      </c>
    </row>
    <row r="30" customFormat="false" ht="15" hidden="false" customHeight="false" outlineLevel="0" collapsed="false">
      <c r="A30" s="0" t="s">
        <v>8</v>
      </c>
      <c r="B30" s="0" t="s">
        <v>33</v>
      </c>
      <c r="C30" s="0" t="n">
        <v>43</v>
      </c>
      <c r="D30" s="0" t="s">
        <v>340</v>
      </c>
      <c r="E30" s="131" t="n">
        <v>1620.1</v>
      </c>
      <c r="F30" s="132" t="n">
        <f aca="false">Spreads!M43</f>
        <v>517</v>
      </c>
      <c r="G30" s="131" t="n">
        <f aca="false">IF(AND(ISNUMBER(E30),ISNUMBER(F30)),F30-E30,"")</f>
        <v>-1103.1</v>
      </c>
      <c r="H30" s="133" t="n">
        <f aca="false">IF(AND(ISNUMBER(E30),ISNUMBER(F30)),IF(E30=0,"",F30/E30-1),"")</f>
        <v>-0.680883896055799</v>
      </c>
    </row>
    <row r="31" customFormat="false" ht="15" hidden="false" customHeight="false" outlineLevel="0" collapsed="false">
      <c r="A31" s="0" t="s">
        <v>8</v>
      </c>
      <c r="B31" s="0" t="s">
        <v>33</v>
      </c>
      <c r="C31" s="0" t="n">
        <v>44</v>
      </c>
      <c r="D31" s="0" t="s">
        <v>341</v>
      </c>
      <c r="E31" s="131"/>
      <c r="F31" s="132" t="n">
        <f aca="false">Spreads!M44</f>
        <v>1101.5</v>
      </c>
      <c r="G31" s="131" t="str">
        <f aca="false">IF(AND(ISNUMBER(E31),ISNUMBER(F31)),F31-E31,"")</f>
        <v/>
      </c>
      <c r="H31" s="133" t="str">
        <f aca="false">IF(AND(ISNUMBER(E31),ISNUMBER(F31)),IF(E31=0,"",F31/E31-1),"")</f>
        <v/>
      </c>
    </row>
    <row r="32" customFormat="false" ht="15" hidden="false" customHeight="false" outlineLevel="0" collapsed="false">
      <c r="A32" s="0" t="s">
        <v>8</v>
      </c>
      <c r="B32" s="0" t="s">
        <v>33</v>
      </c>
      <c r="C32" s="0" t="n">
        <v>45</v>
      </c>
      <c r="D32" s="0" t="s">
        <v>342</v>
      </c>
      <c r="E32" s="131"/>
      <c r="F32" s="132" t="n">
        <f aca="false">Spreads!M45</f>
        <v>5295.2</v>
      </c>
      <c r="G32" s="131" t="str">
        <f aca="false">IF(AND(ISNUMBER(E32),ISNUMBER(F32)),F32-E32,"")</f>
        <v/>
      </c>
      <c r="H32" s="133" t="str">
        <f aca="false">IF(AND(ISNUMBER(E32),ISNUMBER(F32)),IF(E32=0,"",F32/E32-1),"")</f>
        <v/>
      </c>
    </row>
    <row r="33" customFormat="false" ht="15" hidden="false" customHeight="false" outlineLevel="0" collapsed="false">
      <c r="A33" s="0" t="s">
        <v>8</v>
      </c>
      <c r="B33" s="0" t="s">
        <v>33</v>
      </c>
      <c r="C33" s="0" t="n">
        <v>46</v>
      </c>
      <c r="D33" s="0" t="s">
        <v>343</v>
      </c>
      <c r="E33" s="131" t="n">
        <v>0</v>
      </c>
      <c r="F33" s="132" t="n">
        <f aca="false">Spreads!M46</f>
        <v>33.9</v>
      </c>
      <c r="G33" s="131" t="n">
        <f aca="false">IF(AND(ISNUMBER(E33),ISNUMBER(F33)),F33-E33,"")</f>
        <v>33.9</v>
      </c>
      <c r="H33" s="133" t="str">
        <f aca="false">IF(AND(ISNUMBER(E33),ISNUMBER(F33)),IF(E33=0,"",F33/E33-1),"")</f>
        <v/>
      </c>
    </row>
    <row r="34" customFormat="false" ht="15" hidden="false" customHeight="false" outlineLevel="0" collapsed="false">
      <c r="A34" s="0" t="s">
        <v>8</v>
      </c>
      <c r="B34" s="0" t="s">
        <v>33</v>
      </c>
      <c r="C34" s="0" t="n">
        <v>55</v>
      </c>
      <c r="D34" s="0" t="s">
        <v>344</v>
      </c>
      <c r="E34" s="131" t="n">
        <v>434.3</v>
      </c>
      <c r="F34" s="132" t="n">
        <f aca="false">Spreads!M55</f>
        <v>400.7</v>
      </c>
      <c r="G34" s="131" t="n">
        <f aca="false">IF(AND(ISNUMBER(E34),ISNUMBER(F34)),F34-E34,"")</f>
        <v>-33.6</v>
      </c>
      <c r="H34" s="133" t="n">
        <f aca="false">IF(AND(ISNUMBER(E34),ISNUMBER(F34)),IF(E34=0,"",F34/E34-1),"")</f>
        <v>-0.077365876122496</v>
      </c>
    </row>
    <row r="35" customFormat="false" ht="15" hidden="false" customHeight="false" outlineLevel="0" collapsed="false">
      <c r="A35" s="0" t="s">
        <v>8</v>
      </c>
      <c r="B35" s="0" t="s">
        <v>33</v>
      </c>
      <c r="C35" s="0" t="n">
        <v>56</v>
      </c>
      <c r="D35" s="0" t="s">
        <v>345</v>
      </c>
      <c r="E35" s="131" t="n">
        <v>936.1</v>
      </c>
      <c r="F35" s="132" t="n">
        <f aca="false">Spreads!M56</f>
        <v>803</v>
      </c>
      <c r="G35" s="131" t="n">
        <f aca="false">IF(AND(ISNUMBER(E35),ISNUMBER(F35)),F35-E35,"")</f>
        <v>-133.1</v>
      </c>
      <c r="H35" s="133" t="n">
        <f aca="false">IF(AND(ISNUMBER(E35),ISNUMBER(F35)),IF(E35=0,"",F35/E35-1),"")</f>
        <v>-0.142185663924794</v>
      </c>
    </row>
    <row r="36" customFormat="false" ht="15" hidden="false" customHeight="false" outlineLevel="0" collapsed="false">
      <c r="A36" s="0" t="s">
        <v>8</v>
      </c>
      <c r="B36" s="0" t="s">
        <v>33</v>
      </c>
      <c r="C36" s="0" t="n">
        <v>58</v>
      </c>
      <c r="D36" s="0" t="s">
        <v>346</v>
      </c>
      <c r="E36" s="131"/>
      <c r="F36" s="132" t="n">
        <f aca="false">Spreads!M58</f>
        <v>0</v>
      </c>
      <c r="G36" s="131" t="str">
        <f aca="false">IF(AND(ISNUMBER(E36),ISNUMBER(F36)),F36-E36,"")</f>
        <v/>
      </c>
      <c r="H36" s="133" t="str">
        <f aca="false">IF(AND(ISNUMBER(E36),ISNUMBER(F36)),IF(E36=0,"",F36/E36-1),"")</f>
        <v/>
      </c>
    </row>
    <row r="37" customFormat="false" ht="15" hidden="false" customHeight="false" outlineLevel="0" collapsed="false">
      <c r="A37" s="0" t="s">
        <v>8</v>
      </c>
      <c r="B37" s="0" t="s">
        <v>33</v>
      </c>
      <c r="C37" s="0" t="n">
        <v>62</v>
      </c>
      <c r="D37" s="0" t="s">
        <v>347</v>
      </c>
      <c r="E37" s="131" t="n">
        <v>0</v>
      </c>
      <c r="F37" s="132" t="n">
        <f aca="false">Spreads!M62</f>
        <v>0</v>
      </c>
      <c r="G37" s="131" t="n">
        <f aca="false">IF(AND(ISNUMBER(E37),ISNUMBER(F37)),F37-E37,"")</f>
        <v>0</v>
      </c>
      <c r="H37" s="133" t="str">
        <f aca="false">IF(AND(ISNUMBER(E37),ISNUMBER(F37)),IF(E37=0,"",F37/E37-1),"")</f>
        <v/>
      </c>
    </row>
    <row r="38" customFormat="false" ht="15" hidden="false" customHeight="false" outlineLevel="0" collapsed="false">
      <c r="A38" s="0" t="s">
        <v>8</v>
      </c>
      <c r="B38" s="0" t="s">
        <v>33</v>
      </c>
      <c r="C38" s="0" t="n">
        <v>70</v>
      </c>
      <c r="D38" s="0" t="s">
        <v>348</v>
      </c>
      <c r="E38" s="131" t="n">
        <v>57.6</v>
      </c>
      <c r="F38" s="132" t="n">
        <f aca="false">Spreads!M70</f>
        <v>57.6</v>
      </c>
      <c r="G38" s="131" t="n">
        <f aca="false">IF(AND(ISNUMBER(E38),ISNUMBER(F38)),F38-E38,"")</f>
        <v>0</v>
      </c>
      <c r="H38" s="133" t="n">
        <f aca="false">IF(AND(ISNUMBER(E38),ISNUMBER(F38)),IF(E38=0,"",F38/E38-1),"")</f>
        <v>0</v>
      </c>
    </row>
    <row r="39" customFormat="false" ht="15" hidden="false" customHeight="false" outlineLevel="0" collapsed="false">
      <c r="A39" s="0" t="s">
        <v>8</v>
      </c>
      <c r="B39" s="0" t="s">
        <v>33</v>
      </c>
      <c r="C39" s="0" t="n">
        <v>74</v>
      </c>
      <c r="D39" s="0" t="s">
        <v>349</v>
      </c>
      <c r="E39" s="131" t="n">
        <v>0</v>
      </c>
      <c r="F39" s="132" t="n">
        <f aca="false">Spreads!M74</f>
        <v>0</v>
      </c>
      <c r="G39" s="131" t="n">
        <f aca="false">IF(AND(ISNUMBER(E39),ISNUMBER(F39)),F39-E39,"")</f>
        <v>0</v>
      </c>
      <c r="H39" s="133" t="str">
        <f aca="false">IF(AND(ISNUMBER(E39),ISNUMBER(F39)),IF(E39=0,"",F39/E39-1),"")</f>
        <v/>
      </c>
    </row>
    <row r="40" customFormat="false" ht="15" hidden="false" customHeight="false" outlineLevel="0" collapsed="false">
      <c r="A40" s="0" t="s">
        <v>8</v>
      </c>
      <c r="B40" s="0" t="s">
        <v>33</v>
      </c>
      <c r="C40" s="0" t="n">
        <v>77</v>
      </c>
      <c r="D40" s="0" t="s">
        <v>350</v>
      </c>
      <c r="E40" s="131" t="n">
        <v>0</v>
      </c>
      <c r="F40" s="132" t="n">
        <f aca="false">Spreads!M77</f>
        <v>0</v>
      </c>
      <c r="G40" s="131" t="n">
        <f aca="false">IF(AND(ISNUMBER(E40),ISNUMBER(F40)),F40-E40,"")</f>
        <v>0</v>
      </c>
      <c r="H40" s="133" t="str">
        <f aca="false">IF(AND(ISNUMBER(E40),ISNUMBER(F40)),IF(E40=0,"",F40/E40-1),"")</f>
        <v/>
      </c>
    </row>
    <row r="41" customFormat="false" ht="15" hidden="false" customHeight="false" outlineLevel="0" collapsed="false">
      <c r="A41" s="0" t="s">
        <v>8</v>
      </c>
      <c r="B41" s="0" t="s">
        <v>33</v>
      </c>
      <c r="C41" s="0" t="n">
        <v>81</v>
      </c>
      <c r="D41" s="0" t="s">
        <v>351</v>
      </c>
      <c r="E41" s="131" t="n">
        <v>7173.9</v>
      </c>
      <c r="F41" s="132" t="n">
        <f aca="false">Spreads!M81</f>
        <v>7173.9</v>
      </c>
      <c r="G41" s="131" t="n">
        <f aca="false">IF(AND(ISNUMBER(E41),ISNUMBER(F41)),F41-E41,"")</f>
        <v>0</v>
      </c>
      <c r="H41" s="133" t="n">
        <f aca="false">IF(AND(ISNUMBER(E41),ISNUMBER(F41)),IF(E41=0,"",F41/E41-1),"")</f>
        <v>0</v>
      </c>
    </row>
    <row r="42" customFormat="false" ht="15" hidden="false" customHeight="false" outlineLevel="0" collapsed="false">
      <c r="A42" s="0" t="s">
        <v>8</v>
      </c>
      <c r="B42" s="0" t="s">
        <v>33</v>
      </c>
      <c r="C42" s="0" t="n">
        <v>137</v>
      </c>
      <c r="D42" s="0" t="s">
        <v>352</v>
      </c>
      <c r="E42" s="131" t="n">
        <v>21.677137</v>
      </c>
      <c r="F42" s="132" t="n">
        <f aca="false">Spreads!M137</f>
        <v>21.677137</v>
      </c>
      <c r="G42" s="131" t="n">
        <f aca="false">IF(AND(ISNUMBER(E42),ISNUMBER(F42)),F42-E42,"")</f>
        <v>0</v>
      </c>
      <c r="H42" s="133" t="n">
        <f aca="false">IF(AND(ISNUMBER(E42),ISNUMBER(F42)),IF(E42=0,"",F42/E42-1),"")</f>
        <v>0</v>
      </c>
    </row>
    <row r="43" customFormat="false" ht="15" hidden="false" customHeight="false" outlineLevel="0" collapsed="false">
      <c r="A43" s="0" t="s">
        <v>8</v>
      </c>
      <c r="B43" s="0" t="s">
        <v>33</v>
      </c>
      <c r="C43" s="0" t="n">
        <v>145</v>
      </c>
      <c r="D43" s="0" t="s">
        <v>353</v>
      </c>
      <c r="E43" s="131" t="n">
        <v>21.677137</v>
      </c>
      <c r="F43" s="132" t="n">
        <f aca="false">Spreads!M145</f>
        <v>27.2510580480481</v>
      </c>
      <c r="G43" s="131" t="n">
        <f aca="false">IF(AND(ISNUMBER(E43),ISNUMBER(F43)),F43-E43,"")</f>
        <v>5.57392104804813</v>
      </c>
      <c r="H43" s="133" t="n">
        <f aca="false">IF(AND(ISNUMBER(E43),ISNUMBER(F43)),IF(E43=0,"",F43/E43-1),"")</f>
        <v>0.257133635684829</v>
      </c>
    </row>
    <row r="44" customFormat="false" ht="15" hidden="false" customHeight="false" outlineLevel="0" collapsed="false">
      <c r="A44" s="0" t="s">
        <v>8</v>
      </c>
      <c r="B44" s="0" t="s">
        <v>33</v>
      </c>
      <c r="C44" s="0" t="n">
        <v>50</v>
      </c>
      <c r="D44" s="0" t="s">
        <v>354</v>
      </c>
      <c r="E44" s="131" t="n">
        <v>1620.1</v>
      </c>
      <c r="F44" s="132" t="n">
        <f aca="false">Spreads!M50</f>
        <v>6947.6</v>
      </c>
      <c r="G44" s="131" t="n">
        <f aca="false">IF(AND(ISNUMBER(E44),ISNUMBER(F44)),F44-E44,"")</f>
        <v>5327.5</v>
      </c>
      <c r="H44" s="133" t="n">
        <f aca="false">IF(AND(ISNUMBER(E44),ISNUMBER(F44)),IF(E44=0,"",F44/E44-1),"")</f>
        <v>3.28837726066292</v>
      </c>
    </row>
    <row r="45" customFormat="false" ht="15" hidden="false" customHeight="false" outlineLevel="0" collapsed="false">
      <c r="A45" s="0" t="s">
        <v>8</v>
      </c>
      <c r="B45" s="0" t="s">
        <v>33</v>
      </c>
      <c r="C45" s="0" t="n">
        <v>65</v>
      </c>
      <c r="D45" s="0" t="s">
        <v>355</v>
      </c>
      <c r="E45" s="131" t="n">
        <v>1415.904</v>
      </c>
      <c r="F45" s="132" t="n">
        <f aca="false">Spreads!M65</f>
        <v>1249.204</v>
      </c>
      <c r="G45" s="131" t="n">
        <f aca="false">IF(AND(ISNUMBER(E45),ISNUMBER(F45)),F45-E45,"")</f>
        <v>-166.7</v>
      </c>
      <c r="H45" s="133" t="n">
        <f aca="false">IF(AND(ISNUMBER(E45),ISNUMBER(F45)),IF(E45=0,"",F45/E45-1),"")</f>
        <v>-0.117733970664678</v>
      </c>
    </row>
    <row r="46" customFormat="false" ht="15" hidden="false" customHeight="false" outlineLevel="0" collapsed="false">
      <c r="A46" s="0" t="s">
        <v>8</v>
      </c>
      <c r="B46" s="0" t="s">
        <v>33</v>
      </c>
      <c r="C46" s="0" t="n">
        <v>27</v>
      </c>
      <c r="D46" s="0" t="s">
        <v>356</v>
      </c>
      <c r="E46" s="131" t="n">
        <v>7975.23810421</v>
      </c>
      <c r="F46" s="132" t="n">
        <f aca="false">Spreads!M27</f>
        <v>4584.24573327</v>
      </c>
      <c r="G46" s="131" t="n">
        <f aca="false">IF(AND(ISNUMBER(E46),ISNUMBER(F46)),F46-E46,"")</f>
        <v>-3390.99237094</v>
      </c>
      <c r="H46" s="133" t="n">
        <f aca="false">IF(AND(ISNUMBER(E46),ISNUMBER(F46)),IF(E46=0,"",F46/E46-1),"")</f>
        <v>-0.42519011051845</v>
      </c>
    </row>
    <row r="47" customFormat="false" ht="15" hidden="false" customHeight="false" outlineLevel="0" collapsed="false">
      <c r="A47" s="0" t="s">
        <v>8</v>
      </c>
      <c r="B47" s="0" t="s">
        <v>33</v>
      </c>
      <c r="C47" s="0" t="n">
        <v>205</v>
      </c>
      <c r="D47" s="0" t="s">
        <v>357</v>
      </c>
      <c r="E47" s="131" t="n">
        <v>2583.2</v>
      </c>
      <c r="F47" s="132" t="n">
        <f aca="false">Spreads!M205</f>
        <v>2583.2</v>
      </c>
      <c r="G47" s="131" t="n">
        <f aca="false">IF(AND(ISNUMBER(E47),ISNUMBER(F47)),F47-E47,"")</f>
        <v>0</v>
      </c>
      <c r="H47" s="133" t="n">
        <f aca="false">IF(AND(ISNUMBER(E47),ISNUMBER(F47)),IF(E47=0,"",F47/E47-1),"")</f>
        <v>0</v>
      </c>
    </row>
    <row r="48" customFormat="false" ht="15" hidden="false" customHeight="false" outlineLevel="0" collapsed="false">
      <c r="A48" s="0" t="s">
        <v>8</v>
      </c>
      <c r="B48" s="0" t="s">
        <v>33</v>
      </c>
      <c r="C48" s="0" t="n">
        <v>245</v>
      </c>
      <c r="D48" s="0" t="s">
        <v>358</v>
      </c>
      <c r="E48" s="131" t="n">
        <v>311.6</v>
      </c>
      <c r="F48" s="132" t="n">
        <f aca="false">Spreads!M245</f>
        <v>47.2</v>
      </c>
      <c r="G48" s="131" t="n">
        <f aca="false">IF(AND(ISNUMBER(E48),ISNUMBER(F48)),F48-E48,"")</f>
        <v>-264.4</v>
      </c>
      <c r="H48" s="133" t="n">
        <f aca="false">IF(AND(ISNUMBER(E48),ISNUMBER(F48)),IF(E48=0,"",F48/E48-1),"")</f>
        <v>-0.848523748395379</v>
      </c>
    </row>
    <row r="49" customFormat="false" ht="15" hidden="false" customHeight="false" outlineLevel="0" collapsed="false">
      <c r="A49" s="0" t="s">
        <v>8</v>
      </c>
      <c r="B49" s="0" t="s">
        <v>33</v>
      </c>
      <c r="C49" s="0" t="n">
        <v>265</v>
      </c>
      <c r="D49" s="0" t="s">
        <v>359</v>
      </c>
      <c r="E49" s="131" t="n">
        <v>453.2</v>
      </c>
      <c r="F49" s="132" t="n">
        <f aca="false">Spreads!M265</f>
        <v>385.4</v>
      </c>
      <c r="G49" s="131" t="n">
        <f aca="false">IF(AND(ISNUMBER(E49),ISNUMBER(F49)),F49-E49,"")</f>
        <v>-67.8</v>
      </c>
      <c r="H49" s="133" t="n">
        <f aca="false">IF(AND(ISNUMBER(E49),ISNUMBER(F49)),IF(E49=0,"",F49/E49-1),"")</f>
        <v>-0.149602824360106</v>
      </c>
    </row>
    <row r="50" customFormat="false" ht="15" hidden="false" customHeight="false" outlineLevel="0" collapsed="false">
      <c r="A50" s="0" t="s">
        <v>8</v>
      </c>
      <c r="B50" s="0" t="s">
        <v>33</v>
      </c>
      <c r="C50" s="0" t="n">
        <v>275</v>
      </c>
      <c r="D50" s="0" t="s">
        <v>360</v>
      </c>
      <c r="E50" s="131" t="n">
        <v>453.2</v>
      </c>
      <c r="F50" s="132" t="n">
        <f aca="false">Spreads!M275</f>
        <v>385.4</v>
      </c>
      <c r="G50" s="131" t="n">
        <f aca="false">IF(AND(ISNUMBER(E50),ISNUMBER(F50)),F50-E50,"")</f>
        <v>-67.8</v>
      </c>
      <c r="H50" s="133" t="n">
        <f aca="false">IF(AND(ISNUMBER(E50),ISNUMBER(F50)),IF(E50=0,"",F50/E50-1),"")</f>
        <v>-0.149602824360106</v>
      </c>
    </row>
    <row r="51" customFormat="false" ht="15" hidden="false" customHeight="false" outlineLevel="0" collapsed="false">
      <c r="A51" s="0" t="s">
        <v>8</v>
      </c>
      <c r="B51" s="0" t="s">
        <v>33</v>
      </c>
      <c r="C51" s="0" t="n">
        <v>285</v>
      </c>
      <c r="D51" s="0" t="s">
        <v>361</v>
      </c>
      <c r="E51" s="131" t="n">
        <v>270.5</v>
      </c>
      <c r="F51" s="132" t="n">
        <f aca="false">Spreads!M285</f>
        <v>759.9</v>
      </c>
      <c r="G51" s="131" t="n">
        <f aca="false">IF(AND(ISNUMBER(E51),ISNUMBER(F51)),F51-E51,"")</f>
        <v>489.4</v>
      </c>
      <c r="H51" s="133" t="n">
        <f aca="false">IF(AND(ISNUMBER(E51),ISNUMBER(F51)),IF(E51=0,"",F51/E51-1),"")</f>
        <v>1.80924214417745</v>
      </c>
    </row>
    <row r="52" customFormat="false" ht="15" hidden="false" customHeight="false" outlineLevel="0" collapsed="false">
      <c r="A52" s="0" t="s">
        <v>8</v>
      </c>
      <c r="B52" s="0" t="s">
        <v>33</v>
      </c>
      <c r="C52" s="0" t="n">
        <v>295</v>
      </c>
      <c r="D52" s="0" t="s">
        <v>362</v>
      </c>
      <c r="E52" s="131" t="n">
        <v>9.92</v>
      </c>
      <c r="F52" s="132" t="n">
        <f aca="false">Spreads!M295</f>
        <v>27.85</v>
      </c>
      <c r="G52" s="131" t="n">
        <f aca="false">IF(AND(ISNUMBER(E52),ISNUMBER(F52)),F52-E52,"")</f>
        <v>17.93</v>
      </c>
      <c r="H52" s="133" t="n">
        <f aca="false">IF(AND(ISNUMBER(E52),ISNUMBER(F52)),IF(E52=0,"",F52/E52-1),"")</f>
        <v>1.80745967741936</v>
      </c>
    </row>
    <row r="53" customFormat="false" ht="15" hidden="false" customHeight="false" outlineLevel="0" collapsed="false">
      <c r="A53" s="0" t="s">
        <v>8</v>
      </c>
      <c r="B53" s="0" t="s">
        <v>33</v>
      </c>
      <c r="C53" s="0" t="n">
        <v>339</v>
      </c>
      <c r="D53" s="0" t="s">
        <v>363</v>
      </c>
      <c r="E53" s="131" t="n">
        <v>296</v>
      </c>
      <c r="F53" s="132" t="n">
        <f aca="false">Spreads!M339</f>
        <v>157.6</v>
      </c>
      <c r="G53" s="131" t="n">
        <f aca="false">IF(AND(ISNUMBER(E53),ISNUMBER(F53)),F53-E53,"")</f>
        <v>-138.4</v>
      </c>
      <c r="H53" s="133" t="n">
        <f aca="false">IF(AND(ISNUMBER(E53),ISNUMBER(F53)),IF(E53=0,"",F53/E53-1),"")</f>
        <v>-0.467567567567568</v>
      </c>
    </row>
    <row r="54" customFormat="false" ht="15" hidden="false" customHeight="false" outlineLevel="0" collapsed="false">
      <c r="A54" s="0" t="s">
        <v>8</v>
      </c>
      <c r="B54" s="0" t="s">
        <v>33</v>
      </c>
      <c r="C54" s="0" t="n">
        <v>327</v>
      </c>
      <c r="D54" s="0" t="s">
        <v>364</v>
      </c>
      <c r="E54" s="131" t="n">
        <v>0</v>
      </c>
      <c r="F54" s="132" t="n">
        <f aca="false">Spreads!M327</f>
        <v>0</v>
      </c>
      <c r="G54" s="131" t="n">
        <f aca="false">IF(AND(ISNUMBER(E54),ISNUMBER(F54)),F54-E54,"")</f>
        <v>0</v>
      </c>
      <c r="H54" s="133" t="str">
        <f aca="false">IF(AND(ISNUMBER(E54),ISNUMBER(F54)),IF(E54=0,"",F54/E54-1),"")</f>
        <v/>
      </c>
    </row>
    <row r="55" customFormat="false" ht="15" hidden="false" customHeight="false" outlineLevel="0" collapsed="false">
      <c r="A55" s="0" t="s">
        <v>8</v>
      </c>
      <c r="B55" s="0" t="s">
        <v>33</v>
      </c>
      <c r="C55" s="0" t="n">
        <v>328</v>
      </c>
      <c r="D55" s="0" t="s">
        <v>365</v>
      </c>
      <c r="E55" s="131" t="n">
        <v>0</v>
      </c>
      <c r="F55" s="132" t="n">
        <f aca="false">Spreads!M328</f>
        <v>0</v>
      </c>
      <c r="G55" s="131" t="n">
        <f aca="false">IF(AND(ISNUMBER(E55),ISNUMBER(F55)),F55-E55,"")</f>
        <v>0</v>
      </c>
      <c r="H55" s="133" t="str">
        <f aca="false">IF(AND(ISNUMBER(E55),ISNUMBER(F55)),IF(E55=0,"",F55/E55-1),"")</f>
        <v/>
      </c>
    </row>
    <row r="56" customFormat="false" ht="15" hidden="false" customHeight="false" outlineLevel="0" collapsed="false">
      <c r="A56" s="0" t="s">
        <v>9</v>
      </c>
      <c r="B56" s="0" t="s">
        <v>34</v>
      </c>
      <c r="C56" s="0" t="n">
        <v>43</v>
      </c>
      <c r="D56" s="0" t="s">
        <v>340</v>
      </c>
      <c r="E56" s="131" t="n">
        <v>185.5</v>
      </c>
      <c r="F56" s="132" t="n">
        <f aca="false">Spreads!N43</f>
        <v>185.5</v>
      </c>
      <c r="G56" s="131" t="n">
        <f aca="false">IF(AND(ISNUMBER(E56),ISNUMBER(F56)),F56-E56,"")</f>
        <v>0</v>
      </c>
      <c r="H56" s="133" t="n">
        <f aca="false">IF(AND(ISNUMBER(E56),ISNUMBER(F56)),IF(E56=0,"",F56/E56-1),"")</f>
        <v>0</v>
      </c>
    </row>
    <row r="57" customFormat="false" ht="15" hidden="false" customHeight="false" outlineLevel="0" collapsed="false">
      <c r="A57" s="0" t="s">
        <v>9</v>
      </c>
      <c r="B57" s="0" t="s">
        <v>34</v>
      </c>
      <c r="C57" s="0" t="n">
        <v>44</v>
      </c>
      <c r="D57" s="0" t="s">
        <v>341</v>
      </c>
      <c r="E57" s="131"/>
      <c r="F57" s="132" t="n">
        <f aca="false">Spreads!N44</f>
        <v>0</v>
      </c>
      <c r="G57" s="131" t="str">
        <f aca="false">IF(AND(ISNUMBER(E57),ISNUMBER(F57)),F57-E57,"")</f>
        <v/>
      </c>
      <c r="H57" s="133" t="str">
        <f aca="false">IF(AND(ISNUMBER(E57),ISNUMBER(F57)),IF(E57=0,"",F57/E57-1),"")</f>
        <v/>
      </c>
    </row>
    <row r="58" customFormat="false" ht="15" hidden="false" customHeight="false" outlineLevel="0" collapsed="false">
      <c r="A58" s="0" t="s">
        <v>9</v>
      </c>
      <c r="B58" s="0" t="s">
        <v>34</v>
      </c>
      <c r="C58" s="0" t="n">
        <v>45</v>
      </c>
      <c r="D58" s="0" t="s">
        <v>342</v>
      </c>
      <c r="E58" s="131"/>
      <c r="F58" s="132" t="n">
        <f aca="false">Spreads!N45</f>
        <v>0</v>
      </c>
      <c r="G58" s="131" t="str">
        <f aca="false">IF(AND(ISNUMBER(E58),ISNUMBER(F58)),F58-E58,"")</f>
        <v/>
      </c>
      <c r="H58" s="133" t="str">
        <f aca="false">IF(AND(ISNUMBER(E58),ISNUMBER(F58)),IF(E58=0,"",F58/E58-1),"")</f>
        <v/>
      </c>
    </row>
    <row r="59" customFormat="false" ht="15" hidden="false" customHeight="false" outlineLevel="0" collapsed="false">
      <c r="A59" s="0" t="s">
        <v>9</v>
      </c>
      <c r="B59" s="0" t="s">
        <v>34</v>
      </c>
      <c r="C59" s="0" t="n">
        <v>46</v>
      </c>
      <c r="D59" s="0" t="s">
        <v>343</v>
      </c>
      <c r="E59" s="131" t="n">
        <v>0</v>
      </c>
      <c r="F59" s="132" t="n">
        <f aca="false">Spreads!N46</f>
        <v>0</v>
      </c>
      <c r="G59" s="131" t="n">
        <f aca="false">IF(AND(ISNUMBER(E59),ISNUMBER(F59)),F59-E59,"")</f>
        <v>0</v>
      </c>
      <c r="H59" s="133" t="str">
        <f aca="false">IF(AND(ISNUMBER(E59),ISNUMBER(F59)),IF(E59=0,"",F59/E59-1),"")</f>
        <v/>
      </c>
    </row>
    <row r="60" customFormat="false" ht="15" hidden="false" customHeight="false" outlineLevel="0" collapsed="false">
      <c r="A60" s="0" t="s">
        <v>9</v>
      </c>
      <c r="B60" s="0" t="s">
        <v>34</v>
      </c>
      <c r="C60" s="0" t="n">
        <v>55</v>
      </c>
      <c r="D60" s="0" t="s">
        <v>344</v>
      </c>
      <c r="E60" s="131" t="n">
        <v>4.7</v>
      </c>
      <c r="F60" s="132" t="n">
        <f aca="false">Spreads!N55</f>
        <v>0</v>
      </c>
      <c r="G60" s="131" t="n">
        <f aca="false">IF(AND(ISNUMBER(E60),ISNUMBER(F60)),F60-E60,"")</f>
        <v>-4.7</v>
      </c>
      <c r="H60" s="133" t="n">
        <f aca="false">IF(AND(ISNUMBER(E60),ISNUMBER(F60)),IF(E60=0,"",F60/E60-1),"")</f>
        <v>-1</v>
      </c>
    </row>
    <row r="61" customFormat="false" ht="15" hidden="false" customHeight="false" outlineLevel="0" collapsed="false">
      <c r="A61" s="0" t="s">
        <v>9</v>
      </c>
      <c r="B61" s="0" t="s">
        <v>34</v>
      </c>
      <c r="C61" s="0" t="n">
        <v>56</v>
      </c>
      <c r="D61" s="0" t="s">
        <v>345</v>
      </c>
      <c r="E61" s="131" t="n">
        <v>807.3</v>
      </c>
      <c r="F61" s="132" t="n">
        <f aca="false">Spreads!N56</f>
        <v>793.7</v>
      </c>
      <c r="G61" s="131" t="n">
        <f aca="false">IF(AND(ISNUMBER(E61),ISNUMBER(F61)),F61-E61,"")</f>
        <v>-13.5999999999999</v>
      </c>
      <c r="H61" s="133" t="n">
        <f aca="false">IF(AND(ISNUMBER(E61),ISNUMBER(F61)),IF(E61=0,"",F61/E61-1),"")</f>
        <v>-0.0168462777158428</v>
      </c>
    </row>
    <row r="62" customFormat="false" ht="15" hidden="false" customHeight="false" outlineLevel="0" collapsed="false">
      <c r="A62" s="0" t="s">
        <v>9</v>
      </c>
      <c r="B62" s="0" t="s">
        <v>34</v>
      </c>
      <c r="C62" s="0" t="n">
        <v>58</v>
      </c>
      <c r="D62" s="0" t="s">
        <v>346</v>
      </c>
      <c r="E62" s="131"/>
      <c r="F62" s="132" t="n">
        <f aca="false">Spreads!N58</f>
        <v>0</v>
      </c>
      <c r="G62" s="131" t="str">
        <f aca="false">IF(AND(ISNUMBER(E62),ISNUMBER(F62)),F62-E62,"")</f>
        <v/>
      </c>
      <c r="H62" s="133" t="str">
        <f aca="false">IF(AND(ISNUMBER(E62),ISNUMBER(F62)),IF(E62=0,"",F62/E62-1),"")</f>
        <v/>
      </c>
    </row>
    <row r="63" customFormat="false" ht="15" hidden="false" customHeight="false" outlineLevel="0" collapsed="false">
      <c r="A63" s="0" t="s">
        <v>9</v>
      </c>
      <c r="B63" s="0" t="s">
        <v>34</v>
      </c>
      <c r="C63" s="0" t="n">
        <v>62</v>
      </c>
      <c r="D63" s="0" t="s">
        <v>347</v>
      </c>
      <c r="E63" s="131" t="n">
        <v>0</v>
      </c>
      <c r="F63" s="132" t="n">
        <f aca="false">Spreads!N62</f>
        <v>0</v>
      </c>
      <c r="G63" s="131" t="n">
        <f aca="false">IF(AND(ISNUMBER(E63),ISNUMBER(F63)),F63-E63,"")</f>
        <v>0</v>
      </c>
      <c r="H63" s="133" t="str">
        <f aca="false">IF(AND(ISNUMBER(E63),ISNUMBER(F63)),IF(E63=0,"",F63/E63-1),"")</f>
        <v/>
      </c>
    </row>
    <row r="64" customFormat="false" ht="15" hidden="false" customHeight="false" outlineLevel="0" collapsed="false">
      <c r="A64" s="0" t="s">
        <v>9</v>
      </c>
      <c r="B64" s="0" t="s">
        <v>34</v>
      </c>
      <c r="C64" s="0" t="n">
        <v>70</v>
      </c>
      <c r="D64" s="0" t="s">
        <v>348</v>
      </c>
      <c r="E64" s="131" t="n">
        <v>0</v>
      </c>
      <c r="F64" s="132" t="n">
        <f aca="false">Spreads!N70</f>
        <v>0</v>
      </c>
      <c r="G64" s="131" t="n">
        <f aca="false">IF(AND(ISNUMBER(E64),ISNUMBER(F64)),F64-E64,"")</f>
        <v>0</v>
      </c>
      <c r="H64" s="133" t="str">
        <f aca="false">IF(AND(ISNUMBER(E64),ISNUMBER(F64)),IF(E64=0,"",F64/E64-1),"")</f>
        <v/>
      </c>
    </row>
    <row r="65" customFormat="false" ht="15" hidden="false" customHeight="false" outlineLevel="0" collapsed="false">
      <c r="A65" s="0" t="s">
        <v>9</v>
      </c>
      <c r="B65" s="0" t="s">
        <v>34</v>
      </c>
      <c r="C65" s="0" t="n">
        <v>74</v>
      </c>
      <c r="D65" s="0" t="s">
        <v>349</v>
      </c>
      <c r="E65" s="131" t="n">
        <v>0</v>
      </c>
      <c r="F65" s="132" t="n">
        <f aca="false">Spreads!N74</f>
        <v>0</v>
      </c>
      <c r="G65" s="131" t="n">
        <f aca="false">IF(AND(ISNUMBER(E65),ISNUMBER(F65)),F65-E65,"")</f>
        <v>0</v>
      </c>
      <c r="H65" s="133" t="str">
        <f aca="false">IF(AND(ISNUMBER(E65),ISNUMBER(F65)),IF(E65=0,"",F65/E65-1),"")</f>
        <v/>
      </c>
    </row>
    <row r="66" customFormat="false" ht="15" hidden="false" customHeight="false" outlineLevel="0" collapsed="false">
      <c r="A66" s="0" t="s">
        <v>9</v>
      </c>
      <c r="B66" s="0" t="s">
        <v>34</v>
      </c>
      <c r="C66" s="0" t="n">
        <v>77</v>
      </c>
      <c r="D66" s="0" t="s">
        <v>350</v>
      </c>
      <c r="E66" s="131" t="n">
        <v>0</v>
      </c>
      <c r="F66" s="132" t="n">
        <f aca="false">Spreads!N77</f>
        <v>0</v>
      </c>
      <c r="G66" s="131" t="n">
        <f aca="false">IF(AND(ISNUMBER(E66),ISNUMBER(F66)),F66-E66,"")</f>
        <v>0</v>
      </c>
      <c r="H66" s="133" t="str">
        <f aca="false">IF(AND(ISNUMBER(E66),ISNUMBER(F66)),IF(E66=0,"",F66/E66-1),"")</f>
        <v/>
      </c>
    </row>
    <row r="67" customFormat="false" ht="15" hidden="false" customHeight="false" outlineLevel="0" collapsed="false">
      <c r="A67" s="0" t="s">
        <v>9</v>
      </c>
      <c r="B67" s="0" t="s">
        <v>34</v>
      </c>
      <c r="C67" s="0" t="n">
        <v>81</v>
      </c>
      <c r="D67" s="0" t="s">
        <v>351</v>
      </c>
      <c r="E67" s="131" t="n">
        <v>2092.9</v>
      </c>
      <c r="F67" s="132" t="n">
        <f aca="false">Spreads!N81</f>
        <v>2092.9</v>
      </c>
      <c r="G67" s="131" t="n">
        <f aca="false">IF(AND(ISNUMBER(E67),ISNUMBER(F67)),F67-E67,"")</f>
        <v>0</v>
      </c>
      <c r="H67" s="133" t="n">
        <f aca="false">IF(AND(ISNUMBER(E67),ISNUMBER(F67)),IF(E67=0,"",F67/E67-1),"")</f>
        <v>0</v>
      </c>
    </row>
    <row r="68" customFormat="false" ht="15" hidden="false" customHeight="false" outlineLevel="0" collapsed="false">
      <c r="A68" s="0" t="s">
        <v>9</v>
      </c>
      <c r="B68" s="0" t="s">
        <v>34</v>
      </c>
      <c r="C68" s="0" t="n">
        <v>137</v>
      </c>
      <c r="D68" s="0" t="s">
        <v>352</v>
      </c>
      <c r="E68" s="131" t="n">
        <v>218.106</v>
      </c>
      <c r="F68" s="132" t="n">
        <f aca="false">Spreads!N137</f>
        <v>218.056016</v>
      </c>
      <c r="G68" s="131" t="n">
        <f aca="false">IF(AND(ISNUMBER(E68),ISNUMBER(F68)),F68-E68,"")</f>
        <v>-0.0499839999999949</v>
      </c>
      <c r="H68" s="133" t="n">
        <f aca="false">IF(AND(ISNUMBER(E68),ISNUMBER(F68)),IF(E68=0,"",F68/E68-1),"")</f>
        <v>-0.000229172970940716</v>
      </c>
    </row>
    <row r="69" customFormat="false" ht="15" hidden="false" customHeight="false" outlineLevel="0" collapsed="false">
      <c r="A69" s="0" t="s">
        <v>9</v>
      </c>
      <c r="B69" s="0" t="s">
        <v>34</v>
      </c>
      <c r="C69" s="0" t="n">
        <v>145</v>
      </c>
      <c r="D69" s="0" t="s">
        <v>353</v>
      </c>
      <c r="E69" s="131" t="n">
        <v>218.106</v>
      </c>
      <c r="F69" s="132" t="n">
        <f aca="false">Spreads!N145</f>
        <v>222.470123274063</v>
      </c>
      <c r="G69" s="131" t="n">
        <f aca="false">IF(AND(ISNUMBER(E69),ISNUMBER(F69)),F69-E69,"")</f>
        <v>4.36412327406319</v>
      </c>
      <c r="H69" s="133" t="n">
        <f aca="false">IF(AND(ISNUMBER(E69),ISNUMBER(F69)),IF(E69=0,"",F69/E69-1),"")</f>
        <v>0.0200091848645301</v>
      </c>
    </row>
    <row r="70" customFormat="false" ht="15" hidden="false" customHeight="false" outlineLevel="0" collapsed="false">
      <c r="A70" s="0" t="s">
        <v>9</v>
      </c>
      <c r="B70" s="0" t="s">
        <v>34</v>
      </c>
      <c r="C70" s="0" t="n">
        <v>50</v>
      </c>
      <c r="D70" s="0" t="s">
        <v>354</v>
      </c>
      <c r="E70" s="131" t="n">
        <v>185.5</v>
      </c>
      <c r="F70" s="132" t="n">
        <f aca="false">Spreads!N50</f>
        <v>185.5</v>
      </c>
      <c r="G70" s="131" t="n">
        <f aca="false">IF(AND(ISNUMBER(E70),ISNUMBER(F70)),F70-E70,"")</f>
        <v>0</v>
      </c>
      <c r="H70" s="133" t="n">
        <f aca="false">IF(AND(ISNUMBER(E70),ISNUMBER(F70)),IF(E70=0,"",F70/E70-1),"")</f>
        <v>0</v>
      </c>
    </row>
    <row r="71" customFormat="false" ht="15" hidden="false" customHeight="false" outlineLevel="0" collapsed="false">
      <c r="A71" s="0" t="s">
        <v>9</v>
      </c>
      <c r="B71" s="0" t="s">
        <v>34</v>
      </c>
      <c r="C71" s="0" t="n">
        <v>65</v>
      </c>
      <c r="D71" s="0" t="s">
        <v>355</v>
      </c>
      <c r="E71" s="131" t="n">
        <v>812</v>
      </c>
      <c r="F71" s="132" t="n">
        <f aca="false">Spreads!N65</f>
        <v>793.7</v>
      </c>
      <c r="G71" s="131" t="n">
        <f aca="false">IF(AND(ISNUMBER(E71),ISNUMBER(F71)),F71-E71,"")</f>
        <v>-18.3</v>
      </c>
      <c r="H71" s="133" t="n">
        <f aca="false">IF(AND(ISNUMBER(E71),ISNUMBER(F71)),IF(E71=0,"",F71/E71-1),"")</f>
        <v>-0.0225369458128079</v>
      </c>
    </row>
    <row r="72" customFormat="false" ht="15" hidden="false" customHeight="false" outlineLevel="0" collapsed="false">
      <c r="A72" s="0" t="s">
        <v>9</v>
      </c>
      <c r="B72" s="0" t="s">
        <v>34</v>
      </c>
      <c r="C72" s="0" t="n">
        <v>27</v>
      </c>
      <c r="D72" s="0" t="s">
        <v>356</v>
      </c>
      <c r="E72" s="131" t="n">
        <v>3594.92266</v>
      </c>
      <c r="F72" s="132" t="n">
        <f aca="false">Spreads!N27</f>
        <v>3636.01837776</v>
      </c>
      <c r="G72" s="131" t="n">
        <f aca="false">IF(AND(ISNUMBER(E72),ISNUMBER(F72)),F72-E72,"")</f>
        <v>41.0957177599994</v>
      </c>
      <c r="H72" s="133" t="n">
        <f aca="false">IF(AND(ISNUMBER(E72),ISNUMBER(F72)),IF(E72=0,"",F72/E72-1),"")</f>
        <v>0.0114315999666039</v>
      </c>
    </row>
    <row r="73" customFormat="false" ht="15" hidden="false" customHeight="false" outlineLevel="0" collapsed="false">
      <c r="A73" s="0" t="s">
        <v>9</v>
      </c>
      <c r="B73" s="0" t="s">
        <v>34</v>
      </c>
      <c r="C73" s="0" t="n">
        <v>205</v>
      </c>
      <c r="D73" s="0" t="s">
        <v>357</v>
      </c>
      <c r="E73" s="131" t="n">
        <v>880.43677</v>
      </c>
      <c r="F73" s="132" t="n">
        <f aca="false">Spreads!N205</f>
        <v>880.525</v>
      </c>
      <c r="G73" s="131" t="n">
        <f aca="false">IF(AND(ISNUMBER(E73),ISNUMBER(F73)),F73-E73,"")</f>
        <v>0.0882300000000669</v>
      </c>
      <c r="H73" s="133" t="n">
        <f aca="false">IF(AND(ISNUMBER(E73),ISNUMBER(F73)),IF(E73=0,"",F73/E73-1),"")</f>
        <v>0.000100211625645885</v>
      </c>
    </row>
    <row r="74" customFormat="false" ht="15" hidden="false" customHeight="false" outlineLevel="0" collapsed="false">
      <c r="A74" s="0" t="s">
        <v>9</v>
      </c>
      <c r="B74" s="0" t="s">
        <v>34</v>
      </c>
      <c r="C74" s="0" t="n">
        <v>245</v>
      </c>
      <c r="D74" s="0" t="s">
        <v>358</v>
      </c>
      <c r="E74" s="131" t="n">
        <v>-451.65698</v>
      </c>
      <c r="F74" s="132" t="n">
        <f aca="false">Spreads!N245</f>
        <v>-454.683333333333</v>
      </c>
      <c r="G74" s="131" t="n">
        <f aca="false">IF(AND(ISNUMBER(E74),ISNUMBER(F74)),F74-E74,"")</f>
        <v>-3.02635333333342</v>
      </c>
      <c r="H74" s="133" t="n">
        <f aca="false">IF(AND(ISNUMBER(E74),ISNUMBER(F74)),IF(E74=0,"",F74/E74-1),"")</f>
        <v>0.00670055698759131</v>
      </c>
    </row>
    <row r="75" customFormat="false" ht="15" hidden="false" customHeight="false" outlineLevel="0" collapsed="false">
      <c r="A75" s="0" t="s">
        <v>9</v>
      </c>
      <c r="B75" s="0" t="s">
        <v>34</v>
      </c>
      <c r="C75" s="0" t="n">
        <v>265</v>
      </c>
      <c r="D75" s="0" t="s">
        <v>359</v>
      </c>
      <c r="E75" s="131" t="n">
        <v>180.45926</v>
      </c>
      <c r="F75" s="132" t="n">
        <f aca="false">Spreads!N265</f>
        <v>108.241666666667</v>
      </c>
      <c r="G75" s="131" t="n">
        <f aca="false">IF(AND(ISNUMBER(E75),ISNUMBER(F75)),F75-E75,"")</f>
        <v>-72.2175933333333</v>
      </c>
      <c r="H75" s="133" t="n">
        <f aca="false">IF(AND(ISNUMBER(E75),ISNUMBER(F75)),IF(E75=0,"",F75/E75-1),"")</f>
        <v>-0.400187794925754</v>
      </c>
    </row>
    <row r="76" customFormat="false" ht="15" hidden="false" customHeight="false" outlineLevel="0" collapsed="false">
      <c r="A76" s="0" t="s">
        <v>9</v>
      </c>
      <c r="B76" s="0" t="s">
        <v>34</v>
      </c>
      <c r="C76" s="0" t="n">
        <v>275</v>
      </c>
      <c r="D76" s="0" t="s">
        <v>360</v>
      </c>
      <c r="E76" s="131" t="n">
        <v>180.45926</v>
      </c>
      <c r="F76" s="132" t="n">
        <f aca="false">Spreads!N275</f>
        <v>108.241666666667</v>
      </c>
      <c r="G76" s="131" t="n">
        <f aca="false">IF(AND(ISNUMBER(E76),ISNUMBER(F76)),F76-E76,"")</f>
        <v>-72.2175933333333</v>
      </c>
      <c r="H76" s="133" t="n">
        <f aca="false">IF(AND(ISNUMBER(E76),ISNUMBER(F76)),IF(E76=0,"",F76/E76-1),"")</f>
        <v>-0.400187794925754</v>
      </c>
    </row>
    <row r="77" customFormat="false" ht="15" hidden="false" customHeight="false" outlineLevel="0" collapsed="false">
      <c r="A77" s="0" t="s">
        <v>9</v>
      </c>
      <c r="B77" s="0" t="s">
        <v>34</v>
      </c>
      <c r="C77" s="0" t="n">
        <v>285</v>
      </c>
      <c r="D77" s="0" t="s">
        <v>361</v>
      </c>
      <c r="E77" s="131" t="n">
        <v>-456.40887</v>
      </c>
      <c r="F77" s="132" t="n">
        <f aca="false">Spreads!N285</f>
        <v>-459.608333333333</v>
      </c>
      <c r="G77" s="131" t="n">
        <f aca="false">IF(AND(ISNUMBER(E77),ISNUMBER(F77)),F77-E77,"")</f>
        <v>-3.19946333333331</v>
      </c>
      <c r="H77" s="133" t="n">
        <f aca="false">IF(AND(ISNUMBER(E77),ISNUMBER(F77)),IF(E77=0,"",F77/E77-1),"")</f>
        <v>0.00701008140646642</v>
      </c>
    </row>
    <row r="78" customFormat="false" ht="15" hidden="false" customHeight="false" outlineLevel="0" collapsed="false">
      <c r="A78" s="0" t="s">
        <v>9</v>
      </c>
      <c r="B78" s="0" t="s">
        <v>34</v>
      </c>
      <c r="C78" s="0" t="n">
        <v>295</v>
      </c>
      <c r="D78" s="0" t="s">
        <v>362</v>
      </c>
      <c r="E78" s="131" t="n">
        <v>-1.8932877</v>
      </c>
      <c r="F78" s="132" t="n">
        <f aca="false">Spreads!N295</f>
        <v>-2.11916666666667</v>
      </c>
      <c r="G78" s="131" t="n">
        <f aca="false">IF(AND(ISNUMBER(E78),ISNUMBER(F78)),F78-E78,"")</f>
        <v>-0.225878966666667</v>
      </c>
      <c r="H78" s="133" t="n">
        <f aca="false">IF(AND(ISNUMBER(E78),ISNUMBER(F78)),IF(E78=0,"",F78/E78-1),"")</f>
        <v>0.119305146632848</v>
      </c>
    </row>
    <row r="79" customFormat="false" ht="15" hidden="false" customHeight="false" outlineLevel="0" collapsed="false">
      <c r="A79" s="0" t="s">
        <v>9</v>
      </c>
      <c r="B79" s="0" t="s">
        <v>34</v>
      </c>
      <c r="C79" s="0" t="n">
        <v>339</v>
      </c>
      <c r="D79" s="0" t="s">
        <v>363</v>
      </c>
      <c r="E79" s="131" t="n">
        <v>73.34807</v>
      </c>
      <c r="F79" s="132" t="n">
        <f aca="false">Spreads!N339</f>
        <v>73.5083333333333</v>
      </c>
      <c r="G79" s="131" t="n">
        <f aca="false">IF(AND(ISNUMBER(E79),ISNUMBER(F79)),F79-E79,"")</f>
        <v>0.160263333333333</v>
      </c>
      <c r="H79" s="133" t="n">
        <f aca="false">IF(AND(ISNUMBER(E79),ISNUMBER(F79)),IF(E79=0,"",F79/E79-1),"")</f>
        <v>0.00218497001125373</v>
      </c>
    </row>
    <row r="80" customFormat="false" ht="15" hidden="false" customHeight="false" outlineLevel="0" collapsed="false">
      <c r="A80" s="0" t="s">
        <v>9</v>
      </c>
      <c r="B80" s="0" t="s">
        <v>34</v>
      </c>
      <c r="C80" s="0" t="n">
        <v>327</v>
      </c>
      <c r="D80" s="0" t="s">
        <v>364</v>
      </c>
      <c r="E80" s="131" t="n">
        <v>0</v>
      </c>
      <c r="F80" s="132" t="n">
        <f aca="false">Spreads!N327</f>
        <v>0</v>
      </c>
      <c r="G80" s="131" t="n">
        <f aca="false">IF(AND(ISNUMBER(E80),ISNUMBER(F80)),F80-E80,"")</f>
        <v>0</v>
      </c>
      <c r="H80" s="133" t="str">
        <f aca="false">IF(AND(ISNUMBER(E80),ISNUMBER(F80)),IF(E80=0,"",F80/E80-1),"")</f>
        <v/>
      </c>
    </row>
    <row r="81" customFormat="false" ht="15" hidden="false" customHeight="false" outlineLevel="0" collapsed="false">
      <c r="A81" s="0" t="s">
        <v>9</v>
      </c>
      <c r="B81" s="0" t="s">
        <v>34</v>
      </c>
      <c r="C81" s="0" t="n">
        <v>328</v>
      </c>
      <c r="D81" s="0" t="s">
        <v>365</v>
      </c>
      <c r="E81" s="131" t="n">
        <v>0</v>
      </c>
      <c r="F81" s="132" t="n">
        <f aca="false">Spreads!N328</f>
        <v>0</v>
      </c>
      <c r="G81" s="131" t="n">
        <f aca="false">IF(AND(ISNUMBER(E81),ISNUMBER(F81)),F81-E81,"")</f>
        <v>0</v>
      </c>
      <c r="H81" s="133" t="str">
        <f aca="false">IF(AND(ISNUMBER(E81),ISNUMBER(F81)),IF(E81=0,"",F81/E81-1),"")</f>
        <v/>
      </c>
    </row>
    <row r="82" customFormat="false" ht="15" hidden="false" customHeight="false" outlineLevel="0" collapsed="false">
      <c r="A82" s="0" t="s">
        <v>10</v>
      </c>
      <c r="B82" s="0" t="s">
        <v>35</v>
      </c>
      <c r="C82" s="0" t="n">
        <v>43</v>
      </c>
      <c r="D82" s="0" t="s">
        <v>340</v>
      </c>
      <c r="E82" s="131" t="n">
        <v>70.581</v>
      </c>
      <c r="F82" s="132" t="n">
        <f aca="false">Spreads!O43</f>
        <v>70.091</v>
      </c>
      <c r="G82" s="131" t="n">
        <f aca="false">IF(AND(ISNUMBER(E82),ISNUMBER(F82)),F82-E82,"")</f>
        <v>-0.490000000000009</v>
      </c>
      <c r="H82" s="133" t="n">
        <f aca="false">IF(AND(ISNUMBER(E82),ISNUMBER(F82)),IF(E82=0,"",F82/E82-1),"")</f>
        <v>-0.00694237826043853</v>
      </c>
    </row>
    <row r="83" customFormat="false" ht="15" hidden="false" customHeight="false" outlineLevel="0" collapsed="false">
      <c r="A83" s="0" t="s">
        <v>10</v>
      </c>
      <c r="B83" s="0" t="s">
        <v>35</v>
      </c>
      <c r="C83" s="0" t="n">
        <v>44</v>
      </c>
      <c r="D83" s="0" t="s">
        <v>341</v>
      </c>
      <c r="E83" s="131"/>
      <c r="F83" s="132" t="n">
        <f aca="false">Spreads!O44</f>
        <v>0</v>
      </c>
      <c r="G83" s="131" t="str">
        <f aca="false">IF(AND(ISNUMBER(E83),ISNUMBER(F83)),F83-E83,"")</f>
        <v/>
      </c>
      <c r="H83" s="133" t="str">
        <f aca="false">IF(AND(ISNUMBER(E83),ISNUMBER(F83)),IF(E83=0,"",F83/E83-1),"")</f>
        <v/>
      </c>
    </row>
    <row r="84" customFormat="false" ht="15" hidden="false" customHeight="false" outlineLevel="0" collapsed="false">
      <c r="A84" s="0" t="s">
        <v>10</v>
      </c>
      <c r="B84" s="0" t="s">
        <v>35</v>
      </c>
      <c r="C84" s="0" t="n">
        <v>45</v>
      </c>
      <c r="D84" s="0" t="s">
        <v>342</v>
      </c>
      <c r="E84" s="131"/>
      <c r="F84" s="132" t="n">
        <f aca="false">Spreads!O45</f>
        <v>0</v>
      </c>
      <c r="G84" s="131" t="str">
        <f aca="false">IF(AND(ISNUMBER(E84),ISNUMBER(F84)),F84-E84,"")</f>
        <v/>
      </c>
      <c r="H84" s="133" t="str">
        <f aca="false">IF(AND(ISNUMBER(E84),ISNUMBER(F84)),IF(E84=0,"",F84/E84-1),"")</f>
        <v/>
      </c>
    </row>
    <row r="85" customFormat="false" ht="15" hidden="false" customHeight="false" outlineLevel="0" collapsed="false">
      <c r="A85" s="0" t="s">
        <v>10</v>
      </c>
      <c r="B85" s="0" t="s">
        <v>35</v>
      </c>
      <c r="C85" s="0" t="n">
        <v>46</v>
      </c>
      <c r="D85" s="0" t="s">
        <v>343</v>
      </c>
      <c r="E85" s="131" t="n">
        <v>0</v>
      </c>
      <c r="F85" s="132" t="n">
        <f aca="false">Spreads!O46</f>
        <v>0</v>
      </c>
      <c r="G85" s="131" t="n">
        <f aca="false">IF(AND(ISNUMBER(E85),ISNUMBER(F85)),F85-E85,"")</f>
        <v>0</v>
      </c>
      <c r="H85" s="133" t="str">
        <f aca="false">IF(AND(ISNUMBER(E85),ISNUMBER(F85)),IF(E85=0,"",F85/E85-1),"")</f>
        <v/>
      </c>
    </row>
    <row r="86" customFormat="false" ht="15" hidden="false" customHeight="false" outlineLevel="0" collapsed="false">
      <c r="A86" s="0" t="s">
        <v>10</v>
      </c>
      <c r="B86" s="0" t="s">
        <v>35</v>
      </c>
      <c r="C86" s="0" t="n">
        <v>55</v>
      </c>
      <c r="D86" s="0" t="s">
        <v>344</v>
      </c>
      <c r="E86" s="131" t="n">
        <v>1.125</v>
      </c>
      <c r="F86" s="132" t="n">
        <f aca="false">Spreads!O55</f>
        <v>1.125</v>
      </c>
      <c r="G86" s="131" t="n">
        <f aca="false">IF(AND(ISNUMBER(E86),ISNUMBER(F86)),F86-E86,"")</f>
        <v>0</v>
      </c>
      <c r="H86" s="133" t="n">
        <f aca="false">IF(AND(ISNUMBER(E86),ISNUMBER(F86)),IF(E86=0,"",F86/E86-1),"")</f>
        <v>0</v>
      </c>
    </row>
    <row r="87" customFormat="false" ht="15" hidden="false" customHeight="false" outlineLevel="0" collapsed="false">
      <c r="A87" s="0" t="s">
        <v>10</v>
      </c>
      <c r="B87" s="0" t="s">
        <v>35</v>
      </c>
      <c r="C87" s="0" t="n">
        <v>56</v>
      </c>
      <c r="D87" s="0" t="s">
        <v>345</v>
      </c>
      <c r="E87" s="131" t="n">
        <v>175.571</v>
      </c>
      <c r="F87" s="132" t="n">
        <f aca="false">Spreads!O56</f>
        <v>145.98</v>
      </c>
      <c r="G87" s="131" t="n">
        <f aca="false">IF(AND(ISNUMBER(E87),ISNUMBER(F87)),F87-E87,"")</f>
        <v>-29.591</v>
      </c>
      <c r="H87" s="133" t="n">
        <f aca="false">IF(AND(ISNUMBER(E87),ISNUMBER(F87)),IF(E87=0,"",F87/E87-1),"")</f>
        <v>-0.168541501728645</v>
      </c>
    </row>
    <row r="88" customFormat="false" ht="15" hidden="false" customHeight="false" outlineLevel="0" collapsed="false">
      <c r="A88" s="0" t="s">
        <v>10</v>
      </c>
      <c r="B88" s="0" t="s">
        <v>35</v>
      </c>
      <c r="C88" s="0" t="n">
        <v>58</v>
      </c>
      <c r="D88" s="0" t="s">
        <v>346</v>
      </c>
      <c r="E88" s="131"/>
      <c r="F88" s="132" t="n">
        <f aca="false">Spreads!O58</f>
        <v>29.591</v>
      </c>
      <c r="G88" s="131" t="str">
        <f aca="false">IF(AND(ISNUMBER(E88),ISNUMBER(F88)),F88-E88,"")</f>
        <v/>
      </c>
      <c r="H88" s="133" t="str">
        <f aca="false">IF(AND(ISNUMBER(E88),ISNUMBER(F88)),IF(E88=0,"",F88/E88-1),"")</f>
        <v/>
      </c>
    </row>
    <row r="89" customFormat="false" ht="15" hidden="false" customHeight="false" outlineLevel="0" collapsed="false">
      <c r="A89" s="0" t="s">
        <v>10</v>
      </c>
      <c r="B89" s="0" t="s">
        <v>35</v>
      </c>
      <c r="C89" s="0" t="n">
        <v>62</v>
      </c>
      <c r="D89" s="0" t="s">
        <v>347</v>
      </c>
      <c r="E89" s="131" t="n">
        <v>0</v>
      </c>
      <c r="F89" s="132" t="n">
        <f aca="false">Spreads!O62</f>
        <v>0</v>
      </c>
      <c r="G89" s="131" t="n">
        <f aca="false">IF(AND(ISNUMBER(E89),ISNUMBER(F89)),F89-E89,"")</f>
        <v>0</v>
      </c>
      <c r="H89" s="133" t="str">
        <f aca="false">IF(AND(ISNUMBER(E89),ISNUMBER(F89)),IF(E89=0,"",F89/E89-1),"")</f>
        <v/>
      </c>
    </row>
    <row r="90" customFormat="false" ht="15" hidden="false" customHeight="false" outlineLevel="0" collapsed="false">
      <c r="A90" s="0" t="s">
        <v>10</v>
      </c>
      <c r="B90" s="0" t="s">
        <v>35</v>
      </c>
      <c r="C90" s="0" t="n">
        <v>70</v>
      </c>
      <c r="D90" s="0" t="s">
        <v>348</v>
      </c>
      <c r="E90" s="131" t="n">
        <v>0</v>
      </c>
      <c r="F90" s="132" t="n">
        <f aca="false">Spreads!O70</f>
        <v>0</v>
      </c>
      <c r="G90" s="131" t="n">
        <f aca="false">IF(AND(ISNUMBER(E90),ISNUMBER(F90)),F90-E90,"")</f>
        <v>0</v>
      </c>
      <c r="H90" s="133" t="str">
        <f aca="false">IF(AND(ISNUMBER(E90),ISNUMBER(F90)),IF(E90=0,"",F90/E90-1),"")</f>
        <v/>
      </c>
    </row>
    <row r="91" customFormat="false" ht="15" hidden="false" customHeight="false" outlineLevel="0" collapsed="false">
      <c r="A91" s="0" t="s">
        <v>10</v>
      </c>
      <c r="B91" s="0" t="s">
        <v>35</v>
      </c>
      <c r="C91" s="0" t="n">
        <v>74</v>
      </c>
      <c r="D91" s="0" t="s">
        <v>349</v>
      </c>
      <c r="E91" s="131" t="n">
        <v>150.966</v>
      </c>
      <c r="F91" s="132" t="n">
        <f aca="false">Spreads!O74</f>
        <v>0</v>
      </c>
      <c r="G91" s="131" t="n">
        <f aca="false">IF(AND(ISNUMBER(E91),ISNUMBER(F91)),F91-E91,"")</f>
        <v>-150.966</v>
      </c>
      <c r="H91" s="133" t="n">
        <f aca="false">IF(AND(ISNUMBER(E91),ISNUMBER(F91)),IF(E91=0,"",F91/E91-1),"")</f>
        <v>-1</v>
      </c>
    </row>
    <row r="92" customFormat="false" ht="15" hidden="false" customHeight="false" outlineLevel="0" collapsed="false">
      <c r="A92" s="0" t="s">
        <v>10</v>
      </c>
      <c r="B92" s="0" t="s">
        <v>35</v>
      </c>
      <c r="C92" s="0" t="n">
        <v>77</v>
      </c>
      <c r="D92" s="0" t="s">
        <v>350</v>
      </c>
      <c r="E92" s="131" t="n">
        <v>0</v>
      </c>
      <c r="F92" s="132" t="n">
        <f aca="false">Spreads!O77</f>
        <v>0</v>
      </c>
      <c r="G92" s="131" t="n">
        <f aca="false">IF(AND(ISNUMBER(E92),ISNUMBER(F92)),F92-E92,"")</f>
        <v>0</v>
      </c>
      <c r="H92" s="133" t="str">
        <f aca="false">IF(AND(ISNUMBER(E92),ISNUMBER(F92)),IF(E92=0,"",F92/E92-1),"")</f>
        <v/>
      </c>
    </row>
    <row r="93" customFormat="false" ht="15" hidden="false" customHeight="false" outlineLevel="0" collapsed="false">
      <c r="A93" s="0" t="s">
        <v>10</v>
      </c>
      <c r="B93" s="0" t="s">
        <v>35</v>
      </c>
      <c r="C93" s="0" t="n">
        <v>81</v>
      </c>
      <c r="D93" s="0" t="s">
        <v>351</v>
      </c>
      <c r="E93" s="131" t="n">
        <v>204.622</v>
      </c>
      <c r="F93" s="132" t="n">
        <f aca="false">Spreads!O81</f>
        <v>204.622</v>
      </c>
      <c r="G93" s="131" t="n">
        <f aca="false">IF(AND(ISNUMBER(E93),ISNUMBER(F93)),F93-E93,"")</f>
        <v>0</v>
      </c>
      <c r="H93" s="133" t="n">
        <f aca="false">IF(AND(ISNUMBER(E93),ISNUMBER(F93)),IF(E93=0,"",F93/E93-1),"")</f>
        <v>0</v>
      </c>
    </row>
    <row r="94" customFormat="false" ht="15" hidden="false" customHeight="false" outlineLevel="0" collapsed="false">
      <c r="A94" s="0" t="s">
        <v>10</v>
      </c>
      <c r="B94" s="0" t="s">
        <v>35</v>
      </c>
      <c r="C94" s="0" t="n">
        <v>137</v>
      </c>
      <c r="D94" s="0" t="s">
        <v>352</v>
      </c>
      <c r="E94" s="131" t="n">
        <v>148.98955</v>
      </c>
      <c r="F94" s="132" t="n">
        <f aca="false">Spreads!O137</f>
        <v>148.989545</v>
      </c>
      <c r="G94" s="131" t="n">
        <f aca="false">IF(AND(ISNUMBER(E94),ISNUMBER(F94)),F94-E94,"")</f>
        <v>-5.00000001579792E-006</v>
      </c>
      <c r="H94" s="133" t="n">
        <f aca="false">IF(AND(ISNUMBER(E94),ISNUMBER(F94)),IF(E94=0,"",F94/E94-1),"")</f>
        <v>-3.35594007028206E-008</v>
      </c>
    </row>
    <row r="95" customFormat="false" ht="15" hidden="false" customHeight="false" outlineLevel="0" collapsed="false">
      <c r="A95" s="0" t="s">
        <v>10</v>
      </c>
      <c r="B95" s="0" t="s">
        <v>35</v>
      </c>
      <c r="C95" s="0" t="n">
        <v>145</v>
      </c>
      <c r="D95" s="0" t="s">
        <v>353</v>
      </c>
      <c r="E95" s="131" t="n">
        <v>148.98955</v>
      </c>
      <c r="F95" s="132" t="n">
        <f aca="false">Spreads!O145</f>
        <v>271.282625</v>
      </c>
      <c r="G95" s="131" t="n">
        <f aca="false">IF(AND(ISNUMBER(E95),ISNUMBER(F95)),F95-E95,"")</f>
        <v>122.293075</v>
      </c>
      <c r="H95" s="133" t="n">
        <f aca="false">IF(AND(ISNUMBER(E95),ISNUMBER(F95)),IF(E95=0,"",F95/E95-1),"")</f>
        <v>0.820816459946352</v>
      </c>
    </row>
    <row r="96" customFormat="false" ht="15" hidden="false" customHeight="false" outlineLevel="0" collapsed="false">
      <c r="A96" s="0" t="s">
        <v>10</v>
      </c>
      <c r="B96" s="0" t="s">
        <v>35</v>
      </c>
      <c r="C96" s="0" t="n">
        <v>50</v>
      </c>
      <c r="D96" s="0" t="s">
        <v>354</v>
      </c>
      <c r="E96" s="131" t="n">
        <v>70.581</v>
      </c>
      <c r="F96" s="132" t="n">
        <f aca="false">Spreads!O50</f>
        <v>70.091</v>
      </c>
      <c r="G96" s="131" t="n">
        <f aca="false">IF(AND(ISNUMBER(E96),ISNUMBER(F96)),F96-E96,"")</f>
        <v>-0.490000000000009</v>
      </c>
      <c r="H96" s="133" t="n">
        <f aca="false">IF(AND(ISNUMBER(E96),ISNUMBER(F96)),IF(E96=0,"",F96/E96-1),"")</f>
        <v>-0.00694237826043853</v>
      </c>
    </row>
    <row r="97" customFormat="false" ht="15" hidden="false" customHeight="false" outlineLevel="0" collapsed="false">
      <c r="A97" s="0" t="s">
        <v>10</v>
      </c>
      <c r="B97" s="0" t="s">
        <v>35</v>
      </c>
      <c r="C97" s="0" t="n">
        <v>65</v>
      </c>
      <c r="D97" s="0" t="s">
        <v>355</v>
      </c>
      <c r="E97" s="131" t="n">
        <v>176.696</v>
      </c>
      <c r="F97" s="132" t="n">
        <f aca="false">Spreads!O65</f>
        <v>176.696</v>
      </c>
      <c r="G97" s="131" t="n">
        <f aca="false">IF(AND(ISNUMBER(E97),ISNUMBER(F97)),F97-E97,"")</f>
        <v>0</v>
      </c>
      <c r="H97" s="133" t="n">
        <f aca="false">IF(AND(ISNUMBER(E97),ISNUMBER(F97)),IF(E97=0,"",F97/E97-1),"")</f>
        <v>0</v>
      </c>
    </row>
    <row r="98" customFormat="false" ht="15" hidden="false" customHeight="false" outlineLevel="0" collapsed="false">
      <c r="A98" s="0" t="s">
        <v>10</v>
      </c>
      <c r="B98" s="0" t="s">
        <v>35</v>
      </c>
      <c r="C98" s="0" t="n">
        <v>27</v>
      </c>
      <c r="D98" s="0" t="s">
        <v>356</v>
      </c>
      <c r="E98" s="131" t="n">
        <v>1325.3360735</v>
      </c>
      <c r="F98" s="132" t="n">
        <f aca="false">Spreads!O27</f>
        <v>2051.70142125</v>
      </c>
      <c r="G98" s="131" t="n">
        <f aca="false">IF(AND(ISNUMBER(E98),ISNUMBER(F98)),F98-E98,"")</f>
        <v>726.36534775</v>
      </c>
      <c r="H98" s="133" t="n">
        <f aca="false">IF(AND(ISNUMBER(E98),ISNUMBER(F98)),IF(E98=0,"",F98/E98-1),"")</f>
        <v>0.54806125199006</v>
      </c>
    </row>
    <row r="99" customFormat="false" ht="15" hidden="false" customHeight="false" outlineLevel="0" collapsed="false">
      <c r="A99" s="0" t="s">
        <v>10</v>
      </c>
      <c r="B99" s="0" t="s">
        <v>35</v>
      </c>
      <c r="C99" s="0" t="n">
        <v>205</v>
      </c>
      <c r="D99" s="0" t="s">
        <v>357</v>
      </c>
      <c r="E99" s="131" t="n">
        <v>185.743</v>
      </c>
      <c r="F99" s="132" t="n">
        <f aca="false">Spreads!O205</f>
        <v>185.743</v>
      </c>
      <c r="G99" s="131" t="n">
        <f aca="false">IF(AND(ISNUMBER(E99),ISNUMBER(F99)),F99-E99,"")</f>
        <v>0</v>
      </c>
      <c r="H99" s="133" t="n">
        <f aca="false">IF(AND(ISNUMBER(E99),ISNUMBER(F99)),IF(E99=0,"",F99/E99-1),"")</f>
        <v>0</v>
      </c>
    </row>
    <row r="100" customFormat="false" ht="15" hidden="false" customHeight="false" outlineLevel="0" collapsed="false">
      <c r="A100" s="0" t="s">
        <v>10</v>
      </c>
      <c r="B100" s="0" t="s">
        <v>35</v>
      </c>
      <c r="C100" s="0" t="n">
        <v>245</v>
      </c>
      <c r="D100" s="0" t="s">
        <v>358</v>
      </c>
      <c r="E100" s="131" t="n">
        <v>-82.6</v>
      </c>
      <c r="F100" s="132" t="n">
        <f aca="false">Spreads!O245</f>
        <v>-215.266</v>
      </c>
      <c r="G100" s="131" t="n">
        <f aca="false">IF(AND(ISNUMBER(E100),ISNUMBER(F100)),F100-E100,"")</f>
        <v>-132.666</v>
      </c>
      <c r="H100" s="133" t="n">
        <f aca="false">IF(AND(ISNUMBER(E100),ISNUMBER(F100)),IF(E100=0,"",F100/E100-1),"")</f>
        <v>1.60612590799032</v>
      </c>
    </row>
    <row r="101" customFormat="false" ht="15" hidden="false" customHeight="false" outlineLevel="0" collapsed="false">
      <c r="A101" s="0" t="s">
        <v>10</v>
      </c>
      <c r="B101" s="0" t="s">
        <v>35</v>
      </c>
      <c r="C101" s="0" t="n">
        <v>265</v>
      </c>
      <c r="D101" s="0" t="s">
        <v>359</v>
      </c>
      <c r="E101" s="131" t="n">
        <v>-31.19</v>
      </c>
      <c r="F101" s="132" t="n">
        <f aca="false">Spreads!O265</f>
        <v>-79.16</v>
      </c>
      <c r="G101" s="131" t="n">
        <f aca="false">IF(AND(ISNUMBER(E101),ISNUMBER(F101)),F101-E101,"")</f>
        <v>-47.97</v>
      </c>
      <c r="H101" s="133" t="n">
        <f aca="false">IF(AND(ISNUMBER(E101),ISNUMBER(F101)),IF(E101=0,"",F101/E101-1),"")</f>
        <v>1.5379929464572</v>
      </c>
    </row>
    <row r="102" customFormat="false" ht="15" hidden="false" customHeight="false" outlineLevel="0" collapsed="false">
      <c r="A102" s="0" t="s">
        <v>10</v>
      </c>
      <c r="B102" s="0" t="s">
        <v>35</v>
      </c>
      <c r="C102" s="0" t="n">
        <v>275</v>
      </c>
      <c r="D102" s="0" t="s">
        <v>360</v>
      </c>
      <c r="E102" s="131" t="n">
        <v>-31.19</v>
      </c>
      <c r="F102" s="132" t="n">
        <f aca="false">Spreads!O275</f>
        <v>-79.16</v>
      </c>
      <c r="G102" s="131" t="n">
        <f aca="false">IF(AND(ISNUMBER(E102),ISNUMBER(F102)),F102-E102,"")</f>
        <v>-47.97</v>
      </c>
      <c r="H102" s="133" t="n">
        <f aca="false">IF(AND(ISNUMBER(E102),ISNUMBER(F102)),IF(E102=0,"",F102/E102-1),"")</f>
        <v>1.5379929464572</v>
      </c>
    </row>
    <row r="103" customFormat="false" ht="15" hidden="false" customHeight="false" outlineLevel="0" collapsed="false">
      <c r="A103" s="0" t="s">
        <v>10</v>
      </c>
      <c r="B103" s="0" t="s">
        <v>35</v>
      </c>
      <c r="C103" s="0" t="n">
        <v>285</v>
      </c>
      <c r="D103" s="0" t="s">
        <v>361</v>
      </c>
      <c r="E103" s="131" t="n">
        <v>-74.194</v>
      </c>
      <c r="F103" s="132" t="n">
        <f aca="false">Spreads!O285</f>
        <v>-230.762</v>
      </c>
      <c r="G103" s="131" t="n">
        <f aca="false">IF(AND(ISNUMBER(E103),ISNUMBER(F103)),F103-E103,"")</f>
        <v>-156.568</v>
      </c>
      <c r="H103" s="133" t="n">
        <f aca="false">IF(AND(ISNUMBER(E103),ISNUMBER(F103)),IF(E103=0,"",F103/E103-1),"")</f>
        <v>2.11025150281694</v>
      </c>
    </row>
    <row r="104" customFormat="false" ht="15" hidden="false" customHeight="false" outlineLevel="0" collapsed="false">
      <c r="A104" s="0" t="s">
        <v>10</v>
      </c>
      <c r="B104" s="0" t="s">
        <v>35</v>
      </c>
      <c r="C104" s="0" t="n">
        <v>295</v>
      </c>
      <c r="D104" s="0" t="s">
        <v>362</v>
      </c>
      <c r="E104" s="131" t="n">
        <v>-0.29</v>
      </c>
      <c r="F104" s="132" t="n">
        <f aca="false">Spreads!O295</f>
        <v>-0.9</v>
      </c>
      <c r="G104" s="131" t="n">
        <f aca="false">IF(AND(ISNUMBER(E104),ISNUMBER(F104)),F104-E104,"")</f>
        <v>-0.61</v>
      </c>
      <c r="H104" s="133" t="n">
        <f aca="false">IF(AND(ISNUMBER(E104),ISNUMBER(F104)),IF(E104=0,"",F104/E104-1),"")</f>
        <v>2.10344827586207</v>
      </c>
    </row>
    <row r="105" customFormat="false" ht="15" hidden="false" customHeight="false" outlineLevel="0" collapsed="false">
      <c r="A105" s="0" t="s">
        <v>10</v>
      </c>
      <c r="B105" s="0" t="s">
        <v>35</v>
      </c>
      <c r="C105" s="0" t="n">
        <v>339</v>
      </c>
      <c r="D105" s="0" t="s">
        <v>363</v>
      </c>
      <c r="E105" s="131" t="n">
        <v>15.0175</v>
      </c>
      <c r="F105" s="132" t="n">
        <f aca="false">Spreads!O339</f>
        <v>13.149</v>
      </c>
      <c r="G105" s="131" t="n">
        <f aca="false">IF(AND(ISNUMBER(E105),ISNUMBER(F105)),F105-E105,"")</f>
        <v>-1.8685</v>
      </c>
      <c r="H105" s="133" t="n">
        <f aca="false">IF(AND(ISNUMBER(E105),ISNUMBER(F105)),IF(E105=0,"",F105/E105-1),"")</f>
        <v>-0.124421508240386</v>
      </c>
    </row>
    <row r="106" customFormat="false" ht="15" hidden="false" customHeight="false" outlineLevel="0" collapsed="false">
      <c r="A106" s="0" t="s">
        <v>10</v>
      </c>
      <c r="B106" s="0" t="s">
        <v>35</v>
      </c>
      <c r="C106" s="0" t="n">
        <v>327</v>
      </c>
      <c r="D106" s="0" t="s">
        <v>364</v>
      </c>
      <c r="E106" s="131" t="n">
        <v>0</v>
      </c>
      <c r="F106" s="132" t="n">
        <f aca="false">Spreads!O327</f>
        <v>0</v>
      </c>
      <c r="G106" s="131" t="n">
        <f aca="false">IF(AND(ISNUMBER(E106),ISNUMBER(F106)),F106-E106,"")</f>
        <v>0</v>
      </c>
      <c r="H106" s="133" t="str">
        <f aca="false">IF(AND(ISNUMBER(E106),ISNUMBER(F106)),IF(E106=0,"",F106/E106-1),"")</f>
        <v/>
      </c>
    </row>
    <row r="107" customFormat="false" ht="15" hidden="false" customHeight="false" outlineLevel="0" collapsed="false">
      <c r="A107" s="0" t="s">
        <v>10</v>
      </c>
      <c r="B107" s="0" t="s">
        <v>35</v>
      </c>
      <c r="C107" s="0" t="n">
        <v>328</v>
      </c>
      <c r="D107" s="0" t="s">
        <v>365</v>
      </c>
      <c r="E107" s="131" t="n">
        <v>0</v>
      </c>
      <c r="F107" s="132" t="n">
        <f aca="false">Spreads!O328</f>
        <v>0</v>
      </c>
      <c r="G107" s="131" t="n">
        <f aca="false">IF(AND(ISNUMBER(E107),ISNUMBER(F107)),F107-E107,"")</f>
        <v>0</v>
      </c>
      <c r="H107" s="133" t="str">
        <f aca="false">IF(AND(ISNUMBER(E107),ISNUMBER(F107)),IF(E107=0,"",F107/E107-1),"")</f>
        <v/>
      </c>
    </row>
    <row r="108" customFormat="false" ht="15" hidden="false" customHeight="false" outlineLevel="0" collapsed="false">
      <c r="A108" s="0" t="s">
        <v>11</v>
      </c>
      <c r="B108" s="0" t="s">
        <v>36</v>
      </c>
      <c r="C108" s="0" t="n">
        <v>43</v>
      </c>
      <c r="D108" s="0" t="s">
        <v>340</v>
      </c>
      <c r="E108" s="131" t="n">
        <v>51.574</v>
      </c>
      <c r="F108" s="132" t="n">
        <f aca="false">Spreads!P43</f>
        <v>51.574</v>
      </c>
      <c r="G108" s="131" t="n">
        <f aca="false">IF(AND(ISNUMBER(E108),ISNUMBER(F108)),F108-E108,"")</f>
        <v>0</v>
      </c>
      <c r="H108" s="133" t="n">
        <f aca="false">IF(AND(ISNUMBER(E108),ISNUMBER(F108)),IF(E108=0,"",F108/E108-1),"")</f>
        <v>0</v>
      </c>
    </row>
    <row r="109" customFormat="false" ht="15" hidden="false" customHeight="false" outlineLevel="0" collapsed="false">
      <c r="A109" s="0" t="s">
        <v>11</v>
      </c>
      <c r="B109" s="0" t="s">
        <v>36</v>
      </c>
      <c r="C109" s="0" t="n">
        <v>44</v>
      </c>
      <c r="D109" s="0" t="s">
        <v>341</v>
      </c>
      <c r="E109" s="131"/>
      <c r="F109" s="132" t="n">
        <f aca="false">Spreads!P44</f>
        <v>0</v>
      </c>
      <c r="G109" s="131" t="str">
        <f aca="false">IF(AND(ISNUMBER(E109),ISNUMBER(F109)),F109-E109,"")</f>
        <v/>
      </c>
      <c r="H109" s="133" t="str">
        <f aca="false">IF(AND(ISNUMBER(E109),ISNUMBER(F109)),IF(E109=0,"",F109/E109-1),"")</f>
        <v/>
      </c>
    </row>
    <row r="110" customFormat="false" ht="15" hidden="false" customHeight="false" outlineLevel="0" collapsed="false">
      <c r="A110" s="0" t="s">
        <v>11</v>
      </c>
      <c r="B110" s="0" t="s">
        <v>36</v>
      </c>
      <c r="C110" s="0" t="n">
        <v>45</v>
      </c>
      <c r="D110" s="0" t="s">
        <v>342</v>
      </c>
      <c r="E110" s="131"/>
      <c r="F110" s="132" t="n">
        <f aca="false">Spreads!P45</f>
        <v>0</v>
      </c>
      <c r="G110" s="131" t="str">
        <f aca="false">IF(AND(ISNUMBER(E110),ISNUMBER(F110)),F110-E110,"")</f>
        <v/>
      </c>
      <c r="H110" s="133" t="str">
        <f aca="false">IF(AND(ISNUMBER(E110),ISNUMBER(F110)),IF(E110=0,"",F110/E110-1),"")</f>
        <v/>
      </c>
    </row>
    <row r="111" customFormat="false" ht="15" hidden="false" customHeight="false" outlineLevel="0" collapsed="false">
      <c r="A111" s="0" t="s">
        <v>11</v>
      </c>
      <c r="B111" s="0" t="s">
        <v>36</v>
      </c>
      <c r="C111" s="0" t="n">
        <v>46</v>
      </c>
      <c r="D111" s="0" t="s">
        <v>343</v>
      </c>
      <c r="E111" s="131" t="n">
        <v>0</v>
      </c>
      <c r="F111" s="132" t="n">
        <f aca="false">Spreads!P46</f>
        <v>0</v>
      </c>
      <c r="G111" s="131" t="n">
        <f aca="false">IF(AND(ISNUMBER(E111),ISNUMBER(F111)),F111-E111,"")</f>
        <v>0</v>
      </c>
      <c r="H111" s="133" t="str">
        <f aca="false">IF(AND(ISNUMBER(E111),ISNUMBER(F111)),IF(E111=0,"",F111/E111-1),"")</f>
        <v/>
      </c>
    </row>
    <row r="112" customFormat="false" ht="15" hidden="false" customHeight="false" outlineLevel="0" collapsed="false">
      <c r="A112" s="0" t="s">
        <v>11</v>
      </c>
      <c r="B112" s="0" t="s">
        <v>36</v>
      </c>
      <c r="C112" s="0" t="n">
        <v>55</v>
      </c>
      <c r="D112" s="0" t="s">
        <v>344</v>
      </c>
      <c r="E112" s="131" t="n">
        <v>208.064</v>
      </c>
      <c r="F112" s="132" t="n">
        <f aca="false">Spreads!P55</f>
        <v>208.064</v>
      </c>
      <c r="G112" s="131" t="n">
        <f aca="false">IF(AND(ISNUMBER(E112),ISNUMBER(F112)),F112-E112,"")</f>
        <v>0</v>
      </c>
      <c r="H112" s="133" t="n">
        <f aca="false">IF(AND(ISNUMBER(E112),ISNUMBER(F112)),IF(E112=0,"",F112/E112-1),"")</f>
        <v>0</v>
      </c>
    </row>
    <row r="113" customFormat="false" ht="15" hidden="false" customHeight="false" outlineLevel="0" collapsed="false">
      <c r="A113" s="0" t="s">
        <v>11</v>
      </c>
      <c r="B113" s="0" t="s">
        <v>36</v>
      </c>
      <c r="C113" s="0" t="n">
        <v>56</v>
      </c>
      <c r="D113" s="0" t="s">
        <v>345</v>
      </c>
      <c r="E113" s="131" t="n">
        <v>0.039</v>
      </c>
      <c r="F113" s="132" t="n">
        <f aca="false">Spreads!P56</f>
        <v>0.039</v>
      </c>
      <c r="G113" s="131" t="n">
        <f aca="false">IF(AND(ISNUMBER(E113),ISNUMBER(F113)),F113-E113,"")</f>
        <v>0</v>
      </c>
      <c r="H113" s="133" t="n">
        <f aca="false">IF(AND(ISNUMBER(E113),ISNUMBER(F113)),IF(E113=0,"",F113/E113-1),"")</f>
        <v>0</v>
      </c>
    </row>
    <row r="114" customFormat="false" ht="15" hidden="false" customHeight="false" outlineLevel="0" collapsed="false">
      <c r="A114" s="0" t="s">
        <v>11</v>
      </c>
      <c r="B114" s="0" t="s">
        <v>36</v>
      </c>
      <c r="C114" s="0" t="n">
        <v>58</v>
      </c>
      <c r="D114" s="0" t="s">
        <v>346</v>
      </c>
      <c r="E114" s="131"/>
      <c r="F114" s="132" t="n">
        <f aca="false">Spreads!P58</f>
        <v>0</v>
      </c>
      <c r="G114" s="131" t="str">
        <f aca="false">IF(AND(ISNUMBER(E114),ISNUMBER(F114)),F114-E114,"")</f>
        <v/>
      </c>
      <c r="H114" s="133" t="str">
        <f aca="false">IF(AND(ISNUMBER(E114),ISNUMBER(F114)),IF(E114=0,"",F114/E114-1),"")</f>
        <v/>
      </c>
    </row>
    <row r="115" customFormat="false" ht="15" hidden="false" customHeight="false" outlineLevel="0" collapsed="false">
      <c r="A115" s="0" t="s">
        <v>11</v>
      </c>
      <c r="B115" s="0" t="s">
        <v>36</v>
      </c>
      <c r="C115" s="0" t="n">
        <v>62</v>
      </c>
      <c r="D115" s="0" t="s">
        <v>347</v>
      </c>
      <c r="E115" s="131" t="n">
        <v>0</v>
      </c>
      <c r="F115" s="132" t="n">
        <f aca="false">Spreads!P62</f>
        <v>0</v>
      </c>
      <c r="G115" s="131" t="n">
        <f aca="false">IF(AND(ISNUMBER(E115),ISNUMBER(F115)),F115-E115,"")</f>
        <v>0</v>
      </c>
      <c r="H115" s="133" t="str">
        <f aca="false">IF(AND(ISNUMBER(E115),ISNUMBER(F115)),IF(E115=0,"",F115/E115-1),"")</f>
        <v/>
      </c>
    </row>
    <row r="116" customFormat="false" ht="15" hidden="false" customHeight="false" outlineLevel="0" collapsed="false">
      <c r="A116" s="0" t="s">
        <v>11</v>
      </c>
      <c r="B116" s="0" t="s">
        <v>36</v>
      </c>
      <c r="C116" s="0" t="n">
        <v>70</v>
      </c>
      <c r="D116" s="0" t="s">
        <v>348</v>
      </c>
      <c r="E116" s="131" t="n">
        <v>0</v>
      </c>
      <c r="F116" s="132" t="n">
        <f aca="false">Spreads!P70</f>
        <v>0</v>
      </c>
      <c r="G116" s="131" t="n">
        <f aca="false">IF(AND(ISNUMBER(E116),ISNUMBER(F116)),F116-E116,"")</f>
        <v>0</v>
      </c>
      <c r="H116" s="133" t="str">
        <f aca="false">IF(AND(ISNUMBER(E116),ISNUMBER(F116)),IF(E116=0,"",F116/E116-1),"")</f>
        <v/>
      </c>
    </row>
    <row r="117" customFormat="false" ht="15" hidden="false" customHeight="false" outlineLevel="0" collapsed="false">
      <c r="A117" s="0" t="s">
        <v>11</v>
      </c>
      <c r="B117" s="0" t="s">
        <v>36</v>
      </c>
      <c r="C117" s="0" t="n">
        <v>74</v>
      </c>
      <c r="D117" s="0" t="s">
        <v>349</v>
      </c>
      <c r="E117" s="131" t="n">
        <v>0</v>
      </c>
      <c r="F117" s="132" t="n">
        <f aca="false">Spreads!P74</f>
        <v>0</v>
      </c>
      <c r="G117" s="131" t="n">
        <f aca="false">IF(AND(ISNUMBER(E117),ISNUMBER(F117)),F117-E117,"")</f>
        <v>0</v>
      </c>
      <c r="H117" s="133" t="str">
        <f aca="false">IF(AND(ISNUMBER(E117),ISNUMBER(F117)),IF(E117=0,"",F117/E117-1),"")</f>
        <v/>
      </c>
    </row>
    <row r="118" customFormat="false" ht="15" hidden="false" customHeight="false" outlineLevel="0" collapsed="false">
      <c r="A118" s="0" t="s">
        <v>11</v>
      </c>
      <c r="B118" s="0" t="s">
        <v>36</v>
      </c>
      <c r="C118" s="0" t="n">
        <v>77</v>
      </c>
      <c r="D118" s="0" t="s">
        <v>350</v>
      </c>
      <c r="E118" s="131" t="n">
        <v>0</v>
      </c>
      <c r="F118" s="132" t="n">
        <f aca="false">Spreads!P77</f>
        <v>0</v>
      </c>
      <c r="G118" s="131" t="n">
        <f aca="false">IF(AND(ISNUMBER(E118),ISNUMBER(F118)),F118-E118,"")</f>
        <v>0</v>
      </c>
      <c r="H118" s="133" t="str">
        <f aca="false">IF(AND(ISNUMBER(E118),ISNUMBER(F118)),IF(E118=0,"",F118/E118-1),"")</f>
        <v/>
      </c>
    </row>
    <row r="119" customFormat="false" ht="15" hidden="false" customHeight="false" outlineLevel="0" collapsed="false">
      <c r="A119" s="0" t="s">
        <v>11</v>
      </c>
      <c r="B119" s="0" t="s">
        <v>36</v>
      </c>
      <c r="C119" s="0" t="n">
        <v>81</v>
      </c>
      <c r="D119" s="0" t="s">
        <v>351</v>
      </c>
      <c r="E119" s="131" t="n">
        <v>1443.799</v>
      </c>
      <c r="F119" s="132" t="n">
        <f aca="false">Spreads!P81</f>
        <v>1443.799</v>
      </c>
      <c r="G119" s="131" t="n">
        <f aca="false">IF(AND(ISNUMBER(E119),ISNUMBER(F119)),F119-E119,"")</f>
        <v>0</v>
      </c>
      <c r="H119" s="133" t="n">
        <f aca="false">IF(AND(ISNUMBER(E119),ISNUMBER(F119)),IF(E119=0,"",F119/E119-1),"")</f>
        <v>0</v>
      </c>
    </row>
    <row r="120" customFormat="false" ht="15" hidden="false" customHeight="false" outlineLevel="0" collapsed="false">
      <c r="A120" s="0" t="s">
        <v>11</v>
      </c>
      <c r="B120" s="0" t="s">
        <v>36</v>
      </c>
      <c r="C120" s="0" t="n">
        <v>137</v>
      </c>
      <c r="D120" s="0" t="s">
        <v>352</v>
      </c>
      <c r="E120" s="131" t="n">
        <v>75</v>
      </c>
      <c r="F120" s="132" t="n">
        <f aca="false">Spreads!P137</f>
        <v>74.93554</v>
      </c>
      <c r="G120" s="131" t="n">
        <f aca="false">IF(AND(ISNUMBER(E120),ISNUMBER(F120)),F120-E120,"")</f>
        <v>-0.0644599999999969</v>
      </c>
      <c r="H120" s="133" t="n">
        <f aca="false">IF(AND(ISNUMBER(E120),ISNUMBER(F120)),IF(E120=0,"",F120/E120-1),"")</f>
        <v>-0.000859466666666586</v>
      </c>
    </row>
    <row r="121" customFormat="false" ht="15" hidden="false" customHeight="false" outlineLevel="0" collapsed="false">
      <c r="A121" s="0" t="s">
        <v>11</v>
      </c>
      <c r="B121" s="0" t="s">
        <v>36</v>
      </c>
      <c r="C121" s="0" t="n">
        <v>145</v>
      </c>
      <c r="D121" s="0" t="s">
        <v>353</v>
      </c>
      <c r="E121" s="131" t="n">
        <v>75</v>
      </c>
      <c r="F121" s="132" t="n">
        <f aca="false">Spreads!P145</f>
        <v>74.93554</v>
      </c>
      <c r="G121" s="131" t="n">
        <f aca="false">IF(AND(ISNUMBER(E121),ISNUMBER(F121)),F121-E121,"")</f>
        <v>-0.0644599999999969</v>
      </c>
      <c r="H121" s="133" t="n">
        <f aca="false">IF(AND(ISNUMBER(E121),ISNUMBER(F121)),IF(E121=0,"",F121/E121-1),"")</f>
        <v>-0.000859466666666586</v>
      </c>
    </row>
    <row r="122" customFormat="false" ht="15" hidden="false" customHeight="false" outlineLevel="0" collapsed="false">
      <c r="A122" s="0" t="s">
        <v>11</v>
      </c>
      <c r="B122" s="0" t="s">
        <v>36</v>
      </c>
      <c r="C122" s="0" t="n">
        <v>50</v>
      </c>
      <c r="D122" s="0" t="s">
        <v>354</v>
      </c>
      <c r="E122" s="131" t="n">
        <v>61.768967811</v>
      </c>
      <c r="F122" s="132" t="n">
        <f aca="false">Spreads!P50</f>
        <v>63.7070852079</v>
      </c>
      <c r="G122" s="131" t="n">
        <f aca="false">IF(AND(ISNUMBER(E122),ISNUMBER(F122)),F122-E122,"")</f>
        <v>1.93811739689999</v>
      </c>
      <c r="H122" s="133" t="n">
        <f aca="false">IF(AND(ISNUMBER(E122),ISNUMBER(F122)),IF(E122=0,"",F122/E122-1),"")</f>
        <v>0.0313768784809585</v>
      </c>
    </row>
    <row r="123" customFormat="false" ht="15" hidden="false" customHeight="false" outlineLevel="0" collapsed="false">
      <c r="A123" s="0" t="s">
        <v>11</v>
      </c>
      <c r="B123" s="0" t="s">
        <v>36</v>
      </c>
      <c r="C123" s="0" t="n">
        <v>65</v>
      </c>
      <c r="D123" s="0" t="s">
        <v>355</v>
      </c>
      <c r="E123" s="131" t="n">
        <v>249.2400726795</v>
      </c>
      <c r="F123" s="132" t="n">
        <f aca="false">Spreads!P65</f>
        <v>257.06044815255</v>
      </c>
      <c r="G123" s="131" t="n">
        <f aca="false">IF(AND(ISNUMBER(E123),ISNUMBER(F123)),F123-E123,"")</f>
        <v>7.82037547304995</v>
      </c>
      <c r="H123" s="133" t="n">
        <f aca="false">IF(AND(ISNUMBER(E123),ISNUMBER(F123)),IF(E123=0,"",F123/E123-1),"")</f>
        <v>0.0313768784809585</v>
      </c>
    </row>
    <row r="124" customFormat="false" ht="15" hidden="false" customHeight="false" outlineLevel="0" collapsed="false">
      <c r="A124" s="0" t="s">
        <v>11</v>
      </c>
      <c r="B124" s="0" t="s">
        <v>36</v>
      </c>
      <c r="C124" s="0" t="n">
        <v>27</v>
      </c>
      <c r="D124" s="0" t="s">
        <v>356</v>
      </c>
      <c r="E124" s="131" t="n">
        <v>7569.6131048685</v>
      </c>
      <c r="F124" s="132" t="n">
        <f aca="false">Spreads!P27</f>
        <v>7569.15065796705</v>
      </c>
      <c r="G124" s="131" t="n">
        <f aca="false">IF(AND(ISNUMBER(E124),ISNUMBER(F124)),F124-E124,"")</f>
        <v>-0.462446901450676</v>
      </c>
      <c r="H124" s="133" t="n">
        <f aca="false">IF(AND(ISNUMBER(E124),ISNUMBER(F124)),IF(E124=0,"",F124/E124-1),"")</f>
        <v>-6.10925413285779E-005</v>
      </c>
    </row>
    <row r="125" customFormat="false" ht="15" hidden="false" customHeight="false" outlineLevel="0" collapsed="false">
      <c r="A125" s="0" t="s">
        <v>11</v>
      </c>
      <c r="B125" s="0" t="s">
        <v>36</v>
      </c>
      <c r="C125" s="0" t="n">
        <v>205</v>
      </c>
      <c r="D125" s="0" t="s">
        <v>357</v>
      </c>
      <c r="E125" s="131" t="n">
        <v>886.0985</v>
      </c>
      <c r="F125" s="132" t="n">
        <f aca="false">Spreads!P205</f>
        <v>838.4182201962</v>
      </c>
      <c r="G125" s="131" t="n">
        <f aca="false">IF(AND(ISNUMBER(E125),ISNUMBER(F125)),F125-E125,"")</f>
        <v>-47.6802798038</v>
      </c>
      <c r="H125" s="133" t="n">
        <f aca="false">IF(AND(ISNUMBER(E125),ISNUMBER(F125)),IF(E125=0,"",F125/E125-1),"")</f>
        <v>-0.0538092320479043</v>
      </c>
    </row>
    <row r="126" customFormat="false" ht="15" hidden="false" customHeight="false" outlineLevel="0" collapsed="false">
      <c r="A126" s="0" t="s">
        <v>11</v>
      </c>
      <c r="B126" s="0" t="s">
        <v>36</v>
      </c>
      <c r="C126" s="0" t="n">
        <v>245</v>
      </c>
      <c r="D126" s="0" t="s">
        <v>358</v>
      </c>
      <c r="E126" s="131" t="n">
        <v>213.27045</v>
      </c>
      <c r="F126" s="132" t="n">
        <f aca="false">Spreads!P245</f>
        <v>201.80684462498</v>
      </c>
      <c r="G126" s="131" t="n">
        <f aca="false">IF(AND(ISNUMBER(E126),ISNUMBER(F126)),F126-E126,"")</f>
        <v>-11.46360537502</v>
      </c>
      <c r="H126" s="133" t="n">
        <f aca="false">IF(AND(ISNUMBER(E126),ISNUMBER(F126)),IF(E126=0,"",F126/E126-1),"")</f>
        <v>-0.0537514942882149</v>
      </c>
    </row>
    <row r="127" customFormat="false" ht="15" hidden="false" customHeight="false" outlineLevel="0" collapsed="false">
      <c r="A127" s="0" t="s">
        <v>11</v>
      </c>
      <c r="B127" s="0" t="s">
        <v>36</v>
      </c>
      <c r="C127" s="0" t="n">
        <v>265</v>
      </c>
      <c r="D127" s="0" t="s">
        <v>359</v>
      </c>
      <c r="E127" s="131" t="n">
        <v>273.69495</v>
      </c>
      <c r="F127" s="132" t="n">
        <f aca="false">Spreads!P265</f>
        <v>259.03066433538</v>
      </c>
      <c r="G127" s="131" t="n">
        <f aca="false">IF(AND(ISNUMBER(E127),ISNUMBER(F127)),F127-E127,"")</f>
        <v>-14.66428566462</v>
      </c>
      <c r="H127" s="133" t="n">
        <f aca="false">IF(AND(ISNUMBER(E127),ISNUMBER(F127)),IF(E127=0,"",F127/E127-1),"")</f>
        <v>-0.0535789413163086</v>
      </c>
    </row>
    <row r="128" customFormat="false" ht="15" hidden="false" customHeight="false" outlineLevel="0" collapsed="false">
      <c r="A128" s="0" t="s">
        <v>11</v>
      </c>
      <c r="B128" s="0" t="s">
        <v>36</v>
      </c>
      <c r="C128" s="0" t="n">
        <v>275</v>
      </c>
      <c r="D128" s="0" t="s">
        <v>360</v>
      </c>
      <c r="E128" s="131" t="n">
        <v>273.69495</v>
      </c>
      <c r="F128" s="132" t="n">
        <f aca="false">Spreads!P275</f>
        <v>259.03066433538</v>
      </c>
      <c r="G128" s="131" t="n">
        <f aca="false">IF(AND(ISNUMBER(E128),ISNUMBER(F128)),F128-E128,"")</f>
        <v>-14.66428566462</v>
      </c>
      <c r="H128" s="133" t="n">
        <f aca="false">IF(AND(ISNUMBER(E128),ISNUMBER(F128)),IF(E128=0,"",F128/E128-1),"")</f>
        <v>-0.0535789413163086</v>
      </c>
    </row>
    <row r="129" customFormat="false" ht="15" hidden="false" customHeight="false" outlineLevel="0" collapsed="false">
      <c r="A129" s="0" t="s">
        <v>11</v>
      </c>
      <c r="B129" s="0" t="s">
        <v>36</v>
      </c>
      <c r="C129" s="0" t="n">
        <v>285</v>
      </c>
      <c r="D129" s="0" t="s">
        <v>361</v>
      </c>
      <c r="E129" s="131" t="n">
        <v>189.67812</v>
      </c>
      <c r="F129" s="132" t="n">
        <f aca="false">Spreads!P285</f>
        <v>179.47942255838</v>
      </c>
      <c r="G129" s="131" t="n">
        <f aca="false">IF(AND(ISNUMBER(E129),ISNUMBER(F129)),F129-E129,"")</f>
        <v>-10.19869744162</v>
      </c>
      <c r="H129" s="133" t="n">
        <f aca="false">IF(AND(ISNUMBER(E129),ISNUMBER(F129)),IF(E129=0,"",F129/E129-1),"")</f>
        <v>-0.0537684443604777</v>
      </c>
    </row>
    <row r="130" customFormat="false" ht="15" hidden="false" customHeight="false" outlineLevel="0" collapsed="false">
      <c r="A130" s="0" t="s">
        <v>11</v>
      </c>
      <c r="B130" s="0" t="s">
        <v>36</v>
      </c>
      <c r="C130" s="0" t="n">
        <v>295</v>
      </c>
      <c r="D130" s="0" t="s">
        <v>362</v>
      </c>
      <c r="E130" s="131" t="n">
        <v>2.5240614</v>
      </c>
      <c r="F130" s="132" t="n">
        <f aca="false">Spreads!P295</f>
        <v>2.3883466068</v>
      </c>
      <c r="G130" s="131" t="n">
        <f aca="false">IF(AND(ISNUMBER(E130),ISNUMBER(F130)),F130-E130,"")</f>
        <v>-0.1357147932</v>
      </c>
      <c r="H130" s="133" t="n">
        <f aca="false">IF(AND(ISNUMBER(E130),ISNUMBER(F130)),IF(E130=0,"",F130/E130-1),"")</f>
        <v>-0.0537684198966</v>
      </c>
    </row>
    <row r="131" customFormat="false" ht="15" hidden="false" customHeight="false" outlineLevel="0" collapsed="false">
      <c r="A131" s="0" t="s">
        <v>11</v>
      </c>
      <c r="B131" s="0" t="s">
        <v>36</v>
      </c>
      <c r="C131" s="0" t="n">
        <v>339</v>
      </c>
      <c r="D131" s="0" t="s">
        <v>363</v>
      </c>
      <c r="E131" s="131" t="n">
        <v>419.40213</v>
      </c>
      <c r="F131" s="132" t="n">
        <f aca="false">Spreads!P339</f>
        <v>397.32920146136</v>
      </c>
      <c r="G131" s="131" t="n">
        <f aca="false">IF(AND(ISNUMBER(E131),ISNUMBER(F131)),F131-E131,"")</f>
        <v>-22.07292853864</v>
      </c>
      <c r="H131" s="133" t="n">
        <f aca="false">IF(AND(ISNUMBER(E131),ISNUMBER(F131)),IF(E131=0,"",F131/E131-1),"")</f>
        <v>-0.0526295098659608</v>
      </c>
    </row>
    <row r="132" customFormat="false" ht="15" hidden="false" customHeight="false" outlineLevel="0" collapsed="false">
      <c r="A132" s="0" t="s">
        <v>11</v>
      </c>
      <c r="B132" s="0" t="s">
        <v>36</v>
      </c>
      <c r="C132" s="0" t="n">
        <v>327</v>
      </c>
      <c r="D132" s="0" t="s">
        <v>364</v>
      </c>
      <c r="E132" s="131" t="n">
        <v>0</v>
      </c>
      <c r="F132" s="132" t="n">
        <f aca="false">Spreads!P327</f>
        <v>0</v>
      </c>
      <c r="G132" s="131" t="n">
        <f aca="false">IF(AND(ISNUMBER(E132),ISNUMBER(F132)),F132-E132,"")</f>
        <v>0</v>
      </c>
      <c r="H132" s="133" t="str">
        <f aca="false">IF(AND(ISNUMBER(E132),ISNUMBER(F132)),IF(E132=0,"",F132/E132-1),"")</f>
        <v/>
      </c>
    </row>
    <row r="133" customFormat="false" ht="15" hidden="false" customHeight="false" outlineLevel="0" collapsed="false">
      <c r="A133" s="0" t="s">
        <v>11</v>
      </c>
      <c r="B133" s="0" t="s">
        <v>36</v>
      </c>
      <c r="C133" s="0" t="n">
        <v>328</v>
      </c>
      <c r="D133" s="0" t="s">
        <v>365</v>
      </c>
      <c r="E133" s="131" t="n">
        <v>0</v>
      </c>
      <c r="F133" s="132" t="n">
        <f aca="false">Spreads!P328</f>
        <v>0</v>
      </c>
      <c r="G133" s="131" t="n">
        <f aca="false">IF(AND(ISNUMBER(E133),ISNUMBER(F133)),F133-E133,"")</f>
        <v>0</v>
      </c>
      <c r="H133" s="133" t="str">
        <f aca="false">IF(AND(ISNUMBER(E133),ISNUMBER(F133)),IF(E133=0,"",F133/E133-1),"")</f>
        <v/>
      </c>
    </row>
    <row r="134" customFormat="false" ht="15" hidden="false" customHeight="false" outlineLevel="0" collapsed="false">
      <c r="A134" s="0" t="s">
        <v>12</v>
      </c>
      <c r="B134" s="0" t="s">
        <v>37</v>
      </c>
      <c r="C134" s="0" t="n">
        <v>43</v>
      </c>
      <c r="D134" s="0" t="s">
        <v>340</v>
      </c>
      <c r="E134" s="131" t="n">
        <v>105.16</v>
      </c>
      <c r="F134" s="132" t="n">
        <f aca="false">Spreads!Q43</f>
        <v>104.672</v>
      </c>
      <c r="G134" s="131" t="n">
        <f aca="false">IF(AND(ISNUMBER(E134),ISNUMBER(F134)),F134-E134,"")</f>
        <v>-0.488</v>
      </c>
      <c r="H134" s="133" t="n">
        <f aca="false">IF(AND(ISNUMBER(E134),ISNUMBER(F134)),IF(E134=0,"",F134/E134-1),"")</f>
        <v>-0.00464054773678202</v>
      </c>
    </row>
    <row r="135" customFormat="false" ht="15" hidden="false" customHeight="false" outlineLevel="0" collapsed="false">
      <c r="A135" s="0" t="s">
        <v>12</v>
      </c>
      <c r="B135" s="0" t="s">
        <v>37</v>
      </c>
      <c r="C135" s="0" t="n">
        <v>44</v>
      </c>
      <c r="D135" s="0" t="s">
        <v>341</v>
      </c>
      <c r="E135" s="131"/>
      <c r="F135" s="132" t="n">
        <f aca="false">Spreads!Q44</f>
        <v>0.488</v>
      </c>
      <c r="G135" s="131" t="str">
        <f aca="false">IF(AND(ISNUMBER(E135),ISNUMBER(F135)),F135-E135,"")</f>
        <v/>
      </c>
      <c r="H135" s="133" t="str">
        <f aca="false">IF(AND(ISNUMBER(E135),ISNUMBER(F135)),IF(E135=0,"",F135/E135-1),"")</f>
        <v/>
      </c>
    </row>
    <row r="136" customFormat="false" ht="15" hidden="false" customHeight="false" outlineLevel="0" collapsed="false">
      <c r="A136" s="0" t="s">
        <v>12</v>
      </c>
      <c r="B136" s="0" t="s">
        <v>37</v>
      </c>
      <c r="C136" s="0" t="n">
        <v>45</v>
      </c>
      <c r="D136" s="0" t="s">
        <v>342</v>
      </c>
      <c r="E136" s="131"/>
      <c r="F136" s="132" t="n">
        <f aca="false">Spreads!Q45</f>
        <v>0</v>
      </c>
      <c r="G136" s="131" t="str">
        <f aca="false">IF(AND(ISNUMBER(E136),ISNUMBER(F136)),F136-E136,"")</f>
        <v/>
      </c>
      <c r="H136" s="133" t="str">
        <f aca="false">IF(AND(ISNUMBER(E136),ISNUMBER(F136)),IF(E136=0,"",F136/E136-1),"")</f>
        <v/>
      </c>
    </row>
    <row r="137" customFormat="false" ht="15" hidden="false" customHeight="false" outlineLevel="0" collapsed="false">
      <c r="A137" s="0" t="s">
        <v>12</v>
      </c>
      <c r="B137" s="0" t="s">
        <v>37</v>
      </c>
      <c r="C137" s="0" t="n">
        <v>46</v>
      </c>
      <c r="D137" s="0" t="s">
        <v>343</v>
      </c>
      <c r="E137" s="131" t="n">
        <v>0</v>
      </c>
      <c r="F137" s="132" t="n">
        <f aca="false">Spreads!Q46</f>
        <v>0</v>
      </c>
      <c r="G137" s="131" t="n">
        <f aca="false">IF(AND(ISNUMBER(E137),ISNUMBER(F137)),F137-E137,"")</f>
        <v>0</v>
      </c>
      <c r="H137" s="133" t="str">
        <f aca="false">IF(AND(ISNUMBER(E137),ISNUMBER(F137)),IF(E137=0,"",F137/E137-1),"")</f>
        <v/>
      </c>
    </row>
    <row r="138" customFormat="false" ht="15" hidden="false" customHeight="false" outlineLevel="0" collapsed="false">
      <c r="A138" s="0" t="s">
        <v>12</v>
      </c>
      <c r="B138" s="0" t="s">
        <v>37</v>
      </c>
      <c r="C138" s="0" t="n">
        <v>55</v>
      </c>
      <c r="D138" s="0" t="s">
        <v>344</v>
      </c>
      <c r="E138" s="131" t="n">
        <v>0</v>
      </c>
      <c r="F138" s="132" t="n">
        <f aca="false">Spreads!Q55</f>
        <v>0</v>
      </c>
      <c r="G138" s="131" t="n">
        <f aca="false">IF(AND(ISNUMBER(E138),ISNUMBER(F138)),F138-E138,"")</f>
        <v>0</v>
      </c>
      <c r="H138" s="133" t="str">
        <f aca="false">IF(AND(ISNUMBER(E138),ISNUMBER(F138)),IF(E138=0,"",F138/E138-1),"")</f>
        <v/>
      </c>
    </row>
    <row r="139" customFormat="false" ht="15" hidden="false" customHeight="false" outlineLevel="0" collapsed="false">
      <c r="A139" s="0" t="s">
        <v>12</v>
      </c>
      <c r="B139" s="0" t="s">
        <v>37</v>
      </c>
      <c r="C139" s="0" t="n">
        <v>56</v>
      </c>
      <c r="D139" s="0" t="s">
        <v>345</v>
      </c>
      <c r="E139" s="131" t="n">
        <v>925.2</v>
      </c>
      <c r="F139" s="132" t="n">
        <f aca="false">Spreads!Q56</f>
        <v>925.2</v>
      </c>
      <c r="G139" s="131" t="n">
        <f aca="false">IF(AND(ISNUMBER(E139),ISNUMBER(F139)),F139-E139,"")</f>
        <v>0</v>
      </c>
      <c r="H139" s="133" t="n">
        <f aca="false">IF(AND(ISNUMBER(E139),ISNUMBER(F139)),IF(E139=0,"",F139/E139-1),"")</f>
        <v>0</v>
      </c>
    </row>
    <row r="140" customFormat="false" ht="15" hidden="false" customHeight="false" outlineLevel="0" collapsed="false">
      <c r="A140" s="0" t="s">
        <v>12</v>
      </c>
      <c r="B140" s="0" t="s">
        <v>37</v>
      </c>
      <c r="C140" s="0" t="n">
        <v>58</v>
      </c>
      <c r="D140" s="0" t="s">
        <v>346</v>
      </c>
      <c r="E140" s="131"/>
      <c r="F140" s="132" t="n">
        <f aca="false">Spreads!Q58</f>
        <v>0</v>
      </c>
      <c r="G140" s="131" t="str">
        <f aca="false">IF(AND(ISNUMBER(E140),ISNUMBER(F140)),F140-E140,"")</f>
        <v/>
      </c>
      <c r="H140" s="133" t="str">
        <f aca="false">IF(AND(ISNUMBER(E140),ISNUMBER(F140)),IF(E140=0,"",F140/E140-1),"")</f>
        <v/>
      </c>
    </row>
    <row r="141" customFormat="false" ht="15" hidden="false" customHeight="false" outlineLevel="0" collapsed="false">
      <c r="A141" s="0" t="s">
        <v>12</v>
      </c>
      <c r="B141" s="0" t="s">
        <v>37</v>
      </c>
      <c r="C141" s="0" t="n">
        <v>62</v>
      </c>
      <c r="D141" s="0" t="s">
        <v>347</v>
      </c>
      <c r="E141" s="131" t="n">
        <v>0</v>
      </c>
      <c r="F141" s="132" t="n">
        <f aca="false">Spreads!Q62</f>
        <v>0</v>
      </c>
      <c r="G141" s="131" t="n">
        <f aca="false">IF(AND(ISNUMBER(E141),ISNUMBER(F141)),F141-E141,"")</f>
        <v>0</v>
      </c>
      <c r="H141" s="133" t="str">
        <f aca="false">IF(AND(ISNUMBER(E141),ISNUMBER(F141)),IF(E141=0,"",F141/E141-1),"")</f>
        <v/>
      </c>
    </row>
    <row r="142" customFormat="false" ht="15" hidden="false" customHeight="false" outlineLevel="0" collapsed="false">
      <c r="A142" s="0" t="s">
        <v>12</v>
      </c>
      <c r="B142" s="0" t="s">
        <v>37</v>
      </c>
      <c r="C142" s="0" t="n">
        <v>70</v>
      </c>
      <c r="D142" s="0" t="s">
        <v>348</v>
      </c>
      <c r="E142" s="131" t="n">
        <v>0</v>
      </c>
      <c r="F142" s="132" t="n">
        <f aca="false">Spreads!Q70</f>
        <v>72.195</v>
      </c>
      <c r="G142" s="131" t="n">
        <f aca="false">IF(AND(ISNUMBER(E142),ISNUMBER(F142)),F142-E142,"")</f>
        <v>72.195</v>
      </c>
      <c r="H142" s="133" t="str">
        <f aca="false">IF(AND(ISNUMBER(E142),ISNUMBER(F142)),IF(E142=0,"",F142/E142-1),"")</f>
        <v/>
      </c>
    </row>
    <row r="143" customFormat="false" ht="15" hidden="false" customHeight="false" outlineLevel="0" collapsed="false">
      <c r="A143" s="0" t="s">
        <v>12</v>
      </c>
      <c r="B143" s="0" t="s">
        <v>37</v>
      </c>
      <c r="C143" s="0" t="n">
        <v>74</v>
      </c>
      <c r="D143" s="0" t="s">
        <v>349</v>
      </c>
      <c r="E143" s="131" t="n">
        <v>-0.775</v>
      </c>
      <c r="F143" s="132" t="n">
        <f aca="false">Spreads!Q74</f>
        <v>-0.775</v>
      </c>
      <c r="G143" s="131" t="n">
        <f aca="false">IF(AND(ISNUMBER(E143),ISNUMBER(F143)),F143-E143,"")</f>
        <v>0</v>
      </c>
      <c r="H143" s="133" t="n">
        <f aca="false">IF(AND(ISNUMBER(E143),ISNUMBER(F143)),IF(E143=0,"",F143/E143-1),"")</f>
        <v>0</v>
      </c>
    </row>
    <row r="144" customFormat="false" ht="15" hidden="false" customHeight="false" outlineLevel="0" collapsed="false">
      <c r="A144" s="0" t="s">
        <v>12</v>
      </c>
      <c r="B144" s="0" t="s">
        <v>37</v>
      </c>
      <c r="C144" s="0" t="n">
        <v>77</v>
      </c>
      <c r="D144" s="0" t="s">
        <v>350</v>
      </c>
      <c r="E144" s="131" t="n">
        <v>0</v>
      </c>
      <c r="F144" s="132" t="n">
        <f aca="false">Spreads!Q77</f>
        <v>0</v>
      </c>
      <c r="G144" s="131" t="n">
        <f aca="false">IF(AND(ISNUMBER(E144),ISNUMBER(F144)),F144-E144,"")</f>
        <v>0</v>
      </c>
      <c r="H144" s="133" t="str">
        <f aca="false">IF(AND(ISNUMBER(E144),ISNUMBER(F144)),IF(E144=0,"",F144/E144-1),"")</f>
        <v/>
      </c>
    </row>
    <row r="145" customFormat="false" ht="15" hidden="false" customHeight="false" outlineLevel="0" collapsed="false">
      <c r="A145" s="0" t="s">
        <v>12</v>
      </c>
      <c r="B145" s="0" t="s">
        <v>37</v>
      </c>
      <c r="C145" s="0" t="n">
        <v>81</v>
      </c>
      <c r="D145" s="0" t="s">
        <v>351</v>
      </c>
      <c r="E145" s="131" t="n">
        <v>994.678</v>
      </c>
      <c r="F145" s="132" t="n">
        <f aca="false">Spreads!Q81</f>
        <v>994.678</v>
      </c>
      <c r="G145" s="131" t="n">
        <f aca="false">IF(AND(ISNUMBER(E145),ISNUMBER(F145)),F145-E145,"")</f>
        <v>0</v>
      </c>
      <c r="H145" s="133" t="n">
        <f aca="false">IF(AND(ISNUMBER(E145),ISNUMBER(F145)),IF(E145=0,"",F145/E145-1),"")</f>
        <v>0</v>
      </c>
    </row>
    <row r="146" customFormat="false" ht="15" hidden="false" customHeight="false" outlineLevel="0" collapsed="false">
      <c r="A146" s="0" t="s">
        <v>12</v>
      </c>
      <c r="B146" s="0" t="s">
        <v>37</v>
      </c>
      <c r="C146" s="0" t="n">
        <v>137</v>
      </c>
      <c r="D146" s="0" t="s">
        <v>352</v>
      </c>
      <c r="E146" s="131" t="n">
        <v>45.23</v>
      </c>
      <c r="F146" s="132" t="n">
        <f aca="false">Spreads!Q137</f>
        <v>43.80844</v>
      </c>
      <c r="G146" s="131" t="n">
        <f aca="false">IF(AND(ISNUMBER(E146),ISNUMBER(F146)),F146-E146,"")</f>
        <v>-1.42156</v>
      </c>
      <c r="H146" s="133" t="n">
        <f aca="false">IF(AND(ISNUMBER(E146),ISNUMBER(F146)),IF(E146=0,"",F146/E146-1),"")</f>
        <v>-0.0314295821357506</v>
      </c>
    </row>
    <row r="147" customFormat="false" ht="15" hidden="false" customHeight="false" outlineLevel="0" collapsed="false">
      <c r="A147" s="0" t="s">
        <v>12</v>
      </c>
      <c r="B147" s="0" t="s">
        <v>37</v>
      </c>
      <c r="C147" s="0" t="n">
        <v>145</v>
      </c>
      <c r="D147" s="0" t="s">
        <v>353</v>
      </c>
      <c r="E147" s="131" t="n">
        <v>45.23</v>
      </c>
      <c r="F147" s="132" t="n">
        <f aca="false">Spreads!Q145</f>
        <v>44.04206</v>
      </c>
      <c r="G147" s="131" t="n">
        <f aca="false">IF(AND(ISNUMBER(E147),ISNUMBER(F147)),F147-E147,"")</f>
        <v>-1.18794</v>
      </c>
      <c r="H147" s="133" t="n">
        <f aca="false">IF(AND(ISNUMBER(E147),ISNUMBER(F147)),IF(E147=0,"",F147/E147-1),"")</f>
        <v>-0.0262644262657528</v>
      </c>
    </row>
    <row r="148" customFormat="false" ht="15" hidden="false" customHeight="false" outlineLevel="0" collapsed="false">
      <c r="A148" s="0" t="s">
        <v>12</v>
      </c>
      <c r="B148" s="0" t="s">
        <v>37</v>
      </c>
      <c r="C148" s="0" t="n">
        <v>50</v>
      </c>
      <c r="D148" s="0" t="s">
        <v>354</v>
      </c>
      <c r="E148" s="131" t="n">
        <v>125.94766074</v>
      </c>
      <c r="F148" s="132" t="n">
        <f aca="false">Spreads!Q50</f>
        <v>129.899505186</v>
      </c>
      <c r="G148" s="131" t="n">
        <f aca="false">IF(AND(ISNUMBER(E148),ISNUMBER(F148)),F148-E148,"")</f>
        <v>3.951844446</v>
      </c>
      <c r="H148" s="133" t="n">
        <f aca="false">IF(AND(ISNUMBER(E148),ISNUMBER(F148)),IF(E148=0,"",F148/E148-1),"")</f>
        <v>0.0313768784809587</v>
      </c>
    </row>
    <row r="149" customFormat="false" ht="15" hidden="false" customHeight="false" outlineLevel="0" collapsed="false">
      <c r="A149" s="0" t="s">
        <v>12</v>
      </c>
      <c r="B149" s="0" t="s">
        <v>37</v>
      </c>
      <c r="C149" s="0" t="n">
        <v>65</v>
      </c>
      <c r="D149" s="0" t="s">
        <v>355</v>
      </c>
      <c r="E149" s="131" t="n">
        <v>1108.0902978</v>
      </c>
      <c r="F149" s="132" t="n">
        <f aca="false">Spreads!Q65</f>
        <v>1237.12198024475</v>
      </c>
      <c r="G149" s="131" t="n">
        <f aca="false">IF(AND(ISNUMBER(E149),ISNUMBER(F149)),F149-E149,"")</f>
        <v>129.031682444745</v>
      </c>
      <c r="H149" s="133" t="n">
        <f aca="false">IF(AND(ISNUMBER(E149),ISNUMBER(F149)),IF(E149=0,"",F149/E149-1),"")</f>
        <v>0.11644509720997</v>
      </c>
    </row>
    <row r="150" customFormat="false" ht="15" hidden="false" customHeight="false" outlineLevel="0" collapsed="false">
      <c r="A150" s="0" t="s">
        <v>12</v>
      </c>
      <c r="B150" s="0" t="s">
        <v>37</v>
      </c>
      <c r="C150" s="0" t="n">
        <v>27</v>
      </c>
      <c r="D150" s="0" t="s">
        <v>356</v>
      </c>
      <c r="E150" s="131" t="n">
        <v>4981.3336559925</v>
      </c>
      <c r="F150" s="132" t="n">
        <f aca="false">Spreads!Q27</f>
        <v>5001.32353373384</v>
      </c>
      <c r="G150" s="131" t="n">
        <f aca="false">IF(AND(ISNUMBER(E150),ISNUMBER(F150)),F150-E150,"")</f>
        <v>19.9898777413364</v>
      </c>
      <c r="H150" s="133" t="n">
        <f aca="false">IF(AND(ISNUMBER(E150),ISNUMBER(F150)),IF(E150=0,"",F150/E150-1),"")</f>
        <v>0.00401295699542015</v>
      </c>
    </row>
    <row r="151" customFormat="false" ht="15" hidden="false" customHeight="false" outlineLevel="0" collapsed="false">
      <c r="A151" s="0" t="s">
        <v>12</v>
      </c>
      <c r="B151" s="0" t="s">
        <v>37</v>
      </c>
      <c r="C151" s="0" t="n">
        <v>205</v>
      </c>
      <c r="D151" s="0" t="s">
        <v>357</v>
      </c>
      <c r="E151" s="131" t="n">
        <v>1714.1084</v>
      </c>
      <c r="F151" s="132" t="n">
        <f aca="false">Spreads!Q205</f>
        <v>1601.68072136044</v>
      </c>
      <c r="G151" s="131" t="n">
        <f aca="false">IF(AND(ISNUMBER(E151),ISNUMBER(F151)),F151-E151,"")</f>
        <v>-112.42767863956</v>
      </c>
      <c r="H151" s="133" t="n">
        <f aca="false">IF(AND(ISNUMBER(E151),ISNUMBER(F151)),IF(E151=0,"",F151/E151-1),"")</f>
        <v>-0.065589596690361</v>
      </c>
    </row>
    <row r="152" customFormat="false" ht="15" hidden="false" customHeight="false" outlineLevel="0" collapsed="false">
      <c r="A152" s="0" t="s">
        <v>12</v>
      </c>
      <c r="B152" s="0" t="s">
        <v>37</v>
      </c>
      <c r="C152" s="0" t="n">
        <v>245</v>
      </c>
      <c r="D152" s="0" t="s">
        <v>358</v>
      </c>
      <c r="E152" s="131" t="n">
        <v>281.41742</v>
      </c>
      <c r="F152" s="132" t="n">
        <f aca="false">Spreads!Q245</f>
        <v>269.91211622424</v>
      </c>
      <c r="G152" s="131" t="n">
        <f aca="false">IF(AND(ISNUMBER(E152),ISNUMBER(F152)),F152-E152,"")</f>
        <v>-11.50530377576</v>
      </c>
      <c r="H152" s="133" t="n">
        <f aca="false">IF(AND(ISNUMBER(E152),ISNUMBER(F152)),IF(E152=0,"",F152/E152-1),"")</f>
        <v>-0.0408834100453341</v>
      </c>
    </row>
    <row r="153" customFormat="false" ht="15" hidden="false" customHeight="false" outlineLevel="0" collapsed="false">
      <c r="A153" s="0" t="s">
        <v>12</v>
      </c>
      <c r="B153" s="0" t="s">
        <v>37</v>
      </c>
      <c r="C153" s="0" t="n">
        <v>265</v>
      </c>
      <c r="D153" s="0" t="s">
        <v>359</v>
      </c>
      <c r="E153" s="131" t="n">
        <v>403.1498</v>
      </c>
      <c r="F153" s="132" t="n">
        <f aca="false">Spreads!Q265</f>
        <v>384.21862607282</v>
      </c>
      <c r="G153" s="131" t="n">
        <f aca="false">IF(AND(ISNUMBER(E153),ISNUMBER(F153)),F153-E153,"")</f>
        <v>-18.9311739271801</v>
      </c>
      <c r="H153" s="133" t="n">
        <f aca="false">IF(AND(ISNUMBER(E153),ISNUMBER(F153)),IF(E153=0,"",F153/E153-1),"")</f>
        <v>-0.0469581627652551</v>
      </c>
    </row>
    <row r="154" customFormat="false" ht="15" hidden="false" customHeight="false" outlineLevel="0" collapsed="false">
      <c r="A154" s="0" t="s">
        <v>12</v>
      </c>
      <c r="B154" s="0" t="s">
        <v>37</v>
      </c>
      <c r="C154" s="0" t="n">
        <v>275</v>
      </c>
      <c r="D154" s="0" t="s">
        <v>360</v>
      </c>
      <c r="E154" s="131" t="n">
        <v>403.1498</v>
      </c>
      <c r="F154" s="132" t="n">
        <f aca="false">Spreads!Q275</f>
        <v>384.21862607282</v>
      </c>
      <c r="G154" s="131" t="n">
        <f aca="false">IF(AND(ISNUMBER(E154),ISNUMBER(F154)),F154-E154,"")</f>
        <v>-18.9311739271801</v>
      </c>
      <c r="H154" s="133" t="n">
        <f aca="false">IF(AND(ISNUMBER(E154),ISNUMBER(F154)),IF(E154=0,"",F154/E154-1),"")</f>
        <v>-0.0469581627652551</v>
      </c>
    </row>
    <row r="155" customFormat="false" ht="15" hidden="false" customHeight="false" outlineLevel="0" collapsed="false">
      <c r="A155" s="0" t="s">
        <v>12</v>
      </c>
      <c r="B155" s="0" t="s">
        <v>37</v>
      </c>
      <c r="C155" s="0" t="n">
        <v>285</v>
      </c>
      <c r="D155" s="0" t="s">
        <v>361</v>
      </c>
      <c r="E155" s="131" t="n">
        <v>217.72285</v>
      </c>
      <c r="F155" s="132" t="n">
        <f aca="false">Spreads!Q285</f>
        <v>203.44250017994</v>
      </c>
      <c r="G155" s="131" t="n">
        <f aca="false">IF(AND(ISNUMBER(E155),ISNUMBER(F155)),F155-E155,"")</f>
        <v>-14.28034982006</v>
      </c>
      <c r="H155" s="133" t="n">
        <f aca="false">IF(AND(ISNUMBER(E155),ISNUMBER(F155)),IF(E155=0,"",F155/E155-1),"")</f>
        <v>-0.0655895778511995</v>
      </c>
    </row>
    <row r="156" customFormat="false" ht="15" hidden="false" customHeight="false" outlineLevel="0" collapsed="false">
      <c r="A156" s="0" t="s">
        <v>12</v>
      </c>
      <c r="B156" s="0" t="s">
        <v>37</v>
      </c>
      <c r="C156" s="0" t="n">
        <v>295</v>
      </c>
      <c r="D156" s="0" t="s">
        <v>362</v>
      </c>
      <c r="E156" s="131" t="n">
        <v>4.9699864</v>
      </c>
      <c r="F156" s="132" t="n">
        <f aca="false">Spreads!Q295</f>
        <v>4.6319449344</v>
      </c>
      <c r="G156" s="131" t="n">
        <f aca="false">IF(AND(ISNUMBER(E156),ISNUMBER(F156)),F156-E156,"")</f>
        <v>-0.3380414656</v>
      </c>
      <c r="H156" s="133" t="n">
        <f aca="false">IF(AND(ISNUMBER(E156),ISNUMBER(F156)),IF(E156=0,"",F156/E156-1),"")</f>
        <v>-0.0680165775906348</v>
      </c>
    </row>
    <row r="157" customFormat="false" ht="15" hidden="false" customHeight="false" outlineLevel="0" collapsed="false">
      <c r="A157" s="0" t="s">
        <v>12</v>
      </c>
      <c r="B157" s="0" t="s">
        <v>37</v>
      </c>
      <c r="C157" s="0" t="n">
        <v>339</v>
      </c>
      <c r="D157" s="0" t="s">
        <v>363</v>
      </c>
      <c r="E157" s="131" t="n">
        <v>286.1292</v>
      </c>
      <c r="F157" s="132" t="n">
        <f aca="false">Spreads!Q339</f>
        <v>279.20616198454</v>
      </c>
      <c r="G157" s="131" t="n">
        <f aca="false">IF(AND(ISNUMBER(E157),ISNUMBER(F157)),F157-E157,"")</f>
        <v>-6.92303801546007</v>
      </c>
      <c r="H157" s="133" t="n">
        <f aca="false">IF(AND(ISNUMBER(E157),ISNUMBER(F157)),IF(E157=0,"",F157/E157-1),"")</f>
        <v>-0.0241954963543045</v>
      </c>
    </row>
    <row r="158" customFormat="false" ht="15" hidden="false" customHeight="false" outlineLevel="0" collapsed="false">
      <c r="A158" s="0" t="s">
        <v>12</v>
      </c>
      <c r="B158" s="0" t="s">
        <v>37</v>
      </c>
      <c r="C158" s="0" t="n">
        <v>327</v>
      </c>
      <c r="D158" s="0" t="s">
        <v>364</v>
      </c>
      <c r="E158" s="131" t="n">
        <v>0</v>
      </c>
      <c r="F158" s="132" t="n">
        <f aca="false">Spreads!Q327</f>
        <v>0</v>
      </c>
      <c r="G158" s="131" t="n">
        <f aca="false">IF(AND(ISNUMBER(E158),ISNUMBER(F158)),F158-E158,"")</f>
        <v>0</v>
      </c>
      <c r="H158" s="133" t="str">
        <f aca="false">IF(AND(ISNUMBER(E158),ISNUMBER(F158)),IF(E158=0,"",F158/E158-1),"")</f>
        <v/>
      </c>
    </row>
    <row r="159" customFormat="false" ht="15" hidden="false" customHeight="false" outlineLevel="0" collapsed="false">
      <c r="A159" s="0" t="s">
        <v>12</v>
      </c>
      <c r="B159" s="0" t="s">
        <v>37</v>
      </c>
      <c r="C159" s="0" t="n">
        <v>328</v>
      </c>
      <c r="D159" s="0" t="s">
        <v>365</v>
      </c>
      <c r="E159" s="131" t="n">
        <v>0</v>
      </c>
      <c r="F159" s="132" t="n">
        <f aca="false">Spreads!Q328</f>
        <v>0</v>
      </c>
      <c r="G159" s="131" t="n">
        <f aca="false">IF(AND(ISNUMBER(E159),ISNUMBER(F159)),F159-E159,"")</f>
        <v>0</v>
      </c>
      <c r="H159" s="133" t="str">
        <f aca="false">IF(AND(ISNUMBER(E159),ISNUMBER(F159)),IF(E159=0,"",F159/E159-1),"")</f>
        <v/>
      </c>
    </row>
    <row r="160" customFormat="false" ht="15" hidden="false" customHeight="false" outlineLevel="0" collapsed="false">
      <c r="A160" s="0" t="s">
        <v>13</v>
      </c>
      <c r="B160" s="0" t="s">
        <v>38</v>
      </c>
      <c r="C160" s="0" t="n">
        <v>43</v>
      </c>
      <c r="D160" s="0" t="s">
        <v>340</v>
      </c>
      <c r="E160" s="131" t="n">
        <v>487</v>
      </c>
      <c r="F160" s="132" t="n">
        <f aca="false">Spreads!R43</f>
        <v>487</v>
      </c>
      <c r="G160" s="131" t="n">
        <f aca="false">IF(AND(ISNUMBER(E160),ISNUMBER(F160)),F160-E160,"")</f>
        <v>0</v>
      </c>
      <c r="H160" s="133" t="n">
        <f aca="false">IF(AND(ISNUMBER(E160),ISNUMBER(F160)),IF(E160=0,"",F160/E160-1),"")</f>
        <v>0</v>
      </c>
    </row>
    <row r="161" customFormat="false" ht="15" hidden="false" customHeight="false" outlineLevel="0" collapsed="false">
      <c r="A161" s="0" t="s">
        <v>13</v>
      </c>
      <c r="B161" s="0" t="s">
        <v>38</v>
      </c>
      <c r="C161" s="0" t="n">
        <v>44</v>
      </c>
      <c r="D161" s="0" t="s">
        <v>341</v>
      </c>
      <c r="E161" s="131"/>
      <c r="F161" s="132" t="n">
        <f aca="false">Spreads!R44</f>
        <v>0</v>
      </c>
      <c r="G161" s="131" t="str">
        <f aca="false">IF(AND(ISNUMBER(E161),ISNUMBER(F161)),F161-E161,"")</f>
        <v/>
      </c>
      <c r="H161" s="133" t="str">
        <f aca="false">IF(AND(ISNUMBER(E161),ISNUMBER(F161)),IF(E161=0,"",F161/E161-1),"")</f>
        <v/>
      </c>
    </row>
    <row r="162" customFormat="false" ht="15" hidden="false" customHeight="false" outlineLevel="0" collapsed="false">
      <c r="A162" s="0" t="s">
        <v>13</v>
      </c>
      <c r="B162" s="0" t="s">
        <v>38</v>
      </c>
      <c r="C162" s="0" t="n">
        <v>45</v>
      </c>
      <c r="D162" s="0" t="s">
        <v>342</v>
      </c>
      <c r="E162" s="131"/>
      <c r="F162" s="132" t="n">
        <f aca="false">Spreads!R45</f>
        <v>0</v>
      </c>
      <c r="G162" s="131" t="str">
        <f aca="false">IF(AND(ISNUMBER(E162),ISNUMBER(F162)),F162-E162,"")</f>
        <v/>
      </c>
      <c r="H162" s="133" t="str">
        <f aca="false">IF(AND(ISNUMBER(E162),ISNUMBER(F162)),IF(E162=0,"",F162/E162-1),"")</f>
        <v/>
      </c>
    </row>
    <row r="163" customFormat="false" ht="15" hidden="false" customHeight="false" outlineLevel="0" collapsed="false">
      <c r="A163" s="0" t="s">
        <v>13</v>
      </c>
      <c r="B163" s="0" t="s">
        <v>38</v>
      </c>
      <c r="C163" s="0" t="n">
        <v>46</v>
      </c>
      <c r="D163" s="0" t="s">
        <v>343</v>
      </c>
      <c r="E163" s="131" t="n">
        <v>64.3736225366592</v>
      </c>
      <c r="F163" s="132" t="n">
        <f aca="false">Spreads!R46</f>
        <v>33</v>
      </c>
      <c r="G163" s="131" t="n">
        <f aca="false">IF(AND(ISNUMBER(E163),ISNUMBER(F163)),F163-E163,"")</f>
        <v>-31.3736225366592</v>
      </c>
      <c r="H163" s="133" t="n">
        <f aca="false">IF(AND(ISNUMBER(E163),ISNUMBER(F163)),IF(E163=0,"",F163/E163-1),"")</f>
        <v>-0.487367671732202</v>
      </c>
    </row>
    <row r="164" customFormat="false" ht="15" hidden="false" customHeight="false" outlineLevel="0" collapsed="false">
      <c r="A164" s="0" t="s">
        <v>13</v>
      </c>
      <c r="B164" s="0" t="s">
        <v>38</v>
      </c>
      <c r="C164" s="0" t="n">
        <v>55</v>
      </c>
      <c r="D164" s="0" t="s">
        <v>344</v>
      </c>
      <c r="E164" s="131" t="n">
        <v>774</v>
      </c>
      <c r="F164" s="132" t="n">
        <f aca="false">Spreads!R55</f>
        <v>774</v>
      </c>
      <c r="G164" s="131" t="n">
        <f aca="false">IF(AND(ISNUMBER(E164),ISNUMBER(F164)),F164-E164,"")</f>
        <v>0</v>
      </c>
      <c r="H164" s="133" t="n">
        <f aca="false">IF(AND(ISNUMBER(E164),ISNUMBER(F164)),IF(E164=0,"",F164/E164-1),"")</f>
        <v>0</v>
      </c>
    </row>
    <row r="165" customFormat="false" ht="15" hidden="false" customHeight="false" outlineLevel="0" collapsed="false">
      <c r="A165" s="0" t="s">
        <v>13</v>
      </c>
      <c r="B165" s="0" t="s">
        <v>38</v>
      </c>
      <c r="C165" s="0" t="n">
        <v>56</v>
      </c>
      <c r="D165" s="0" t="s">
        <v>345</v>
      </c>
      <c r="E165" s="131" t="n">
        <v>3393</v>
      </c>
      <c r="F165" s="132" t="n">
        <f aca="false">Spreads!R56</f>
        <v>3393</v>
      </c>
      <c r="G165" s="131" t="n">
        <f aca="false">IF(AND(ISNUMBER(E165),ISNUMBER(F165)),F165-E165,"")</f>
        <v>0</v>
      </c>
      <c r="H165" s="133" t="n">
        <f aca="false">IF(AND(ISNUMBER(E165),ISNUMBER(F165)),IF(E165=0,"",F165/E165-1),"")</f>
        <v>0</v>
      </c>
    </row>
    <row r="166" customFormat="false" ht="15" hidden="false" customHeight="false" outlineLevel="0" collapsed="false">
      <c r="A166" s="0" t="s">
        <v>13</v>
      </c>
      <c r="B166" s="0" t="s">
        <v>38</v>
      </c>
      <c r="C166" s="0" t="n">
        <v>58</v>
      </c>
      <c r="D166" s="0" t="s">
        <v>346</v>
      </c>
      <c r="E166" s="131"/>
      <c r="F166" s="132" t="n">
        <f aca="false">Spreads!R58</f>
        <v>355</v>
      </c>
      <c r="G166" s="131" t="str">
        <f aca="false">IF(AND(ISNUMBER(E166),ISNUMBER(F166)),F166-E166,"")</f>
        <v/>
      </c>
      <c r="H166" s="133" t="str">
        <f aca="false">IF(AND(ISNUMBER(E166),ISNUMBER(F166)),IF(E166=0,"",F166/E166-1),"")</f>
        <v/>
      </c>
    </row>
    <row r="167" customFormat="false" ht="15" hidden="false" customHeight="false" outlineLevel="0" collapsed="false">
      <c r="A167" s="0" t="s">
        <v>13</v>
      </c>
      <c r="B167" s="0" t="s">
        <v>38</v>
      </c>
      <c r="C167" s="0" t="n">
        <v>62</v>
      </c>
      <c r="D167" s="0" t="s">
        <v>347</v>
      </c>
      <c r="E167" s="131" t="n">
        <v>0</v>
      </c>
      <c r="F167" s="132" t="n">
        <f aca="false">Spreads!R62</f>
        <v>355</v>
      </c>
      <c r="G167" s="131" t="n">
        <f aca="false">IF(AND(ISNUMBER(E167),ISNUMBER(F167)),F167-E167,"")</f>
        <v>355</v>
      </c>
      <c r="H167" s="133" t="str">
        <f aca="false">IF(AND(ISNUMBER(E167),ISNUMBER(F167)),IF(E167=0,"",F167/E167-1),"")</f>
        <v/>
      </c>
    </row>
    <row r="168" customFormat="false" ht="15" hidden="false" customHeight="false" outlineLevel="0" collapsed="false">
      <c r="A168" s="0" t="s">
        <v>13</v>
      </c>
      <c r="B168" s="0" t="s">
        <v>38</v>
      </c>
      <c r="C168" s="0" t="n">
        <v>70</v>
      </c>
      <c r="D168" s="0" t="s">
        <v>348</v>
      </c>
      <c r="E168" s="131" t="n">
        <v>-185</v>
      </c>
      <c r="F168" s="132" t="n">
        <f aca="false">Spreads!R70</f>
        <v>-103</v>
      </c>
      <c r="G168" s="131" t="n">
        <f aca="false">IF(AND(ISNUMBER(E168),ISNUMBER(F168)),F168-E168,"")</f>
        <v>82</v>
      </c>
      <c r="H168" s="133" t="n">
        <f aca="false">IF(AND(ISNUMBER(E168),ISNUMBER(F168)),IF(E168=0,"",F168/E168-1),"")</f>
        <v>-0.443243243243243</v>
      </c>
    </row>
    <row r="169" customFormat="false" ht="15" hidden="false" customHeight="false" outlineLevel="0" collapsed="false">
      <c r="A169" s="0" t="s">
        <v>13</v>
      </c>
      <c r="B169" s="0" t="s">
        <v>38</v>
      </c>
      <c r="C169" s="0" t="n">
        <v>74</v>
      </c>
      <c r="D169" s="0" t="s">
        <v>349</v>
      </c>
      <c r="E169" s="131" t="n">
        <v>32</v>
      </c>
      <c r="F169" s="132" t="n">
        <f aca="false">Spreads!R74</f>
        <v>32</v>
      </c>
      <c r="G169" s="131" t="n">
        <f aca="false">IF(AND(ISNUMBER(E169),ISNUMBER(F169)),F169-E169,"")</f>
        <v>0</v>
      </c>
      <c r="H169" s="133" t="n">
        <f aca="false">IF(AND(ISNUMBER(E169),ISNUMBER(F169)),IF(E169=0,"",F169/E169-1),"")</f>
        <v>0</v>
      </c>
    </row>
    <row r="170" customFormat="false" ht="15" hidden="false" customHeight="false" outlineLevel="0" collapsed="false">
      <c r="A170" s="0" t="s">
        <v>13</v>
      </c>
      <c r="B170" s="0" t="s">
        <v>38</v>
      </c>
      <c r="C170" s="0" t="n">
        <v>77</v>
      </c>
      <c r="D170" s="0" t="s">
        <v>350</v>
      </c>
      <c r="E170" s="131" t="n">
        <v>0</v>
      </c>
      <c r="F170" s="132" t="n">
        <f aca="false">Spreads!R77</f>
        <v>0</v>
      </c>
      <c r="G170" s="131" t="n">
        <f aca="false">IF(AND(ISNUMBER(E170),ISNUMBER(F170)),F170-E170,"")</f>
        <v>0</v>
      </c>
      <c r="H170" s="133" t="str">
        <f aca="false">IF(AND(ISNUMBER(E170),ISNUMBER(F170)),IF(E170=0,"",F170/E170-1),"")</f>
        <v/>
      </c>
    </row>
    <row r="171" customFormat="false" ht="15" hidden="false" customHeight="false" outlineLevel="0" collapsed="false">
      <c r="A171" s="0" t="s">
        <v>13</v>
      </c>
      <c r="B171" s="0" t="s">
        <v>38</v>
      </c>
      <c r="C171" s="0" t="n">
        <v>81</v>
      </c>
      <c r="D171" s="0" t="s">
        <v>351</v>
      </c>
      <c r="E171" s="131" t="n">
        <v>8120</v>
      </c>
      <c r="F171" s="132" t="n">
        <f aca="false">Spreads!R81</f>
        <v>8120</v>
      </c>
      <c r="G171" s="131" t="n">
        <f aca="false">IF(AND(ISNUMBER(E171),ISNUMBER(F171)),F171-E171,"")</f>
        <v>0</v>
      </c>
      <c r="H171" s="133" t="n">
        <f aca="false">IF(AND(ISNUMBER(E171),ISNUMBER(F171)),IF(E171=0,"",F171/E171-1),"")</f>
        <v>0</v>
      </c>
    </row>
    <row r="172" customFormat="false" ht="15" hidden="false" customHeight="false" outlineLevel="0" collapsed="false">
      <c r="A172" s="0" t="s">
        <v>13</v>
      </c>
      <c r="B172" s="0" t="s">
        <v>38</v>
      </c>
      <c r="C172" s="0" t="n">
        <v>137</v>
      </c>
      <c r="D172" s="0" t="s">
        <v>352</v>
      </c>
      <c r="E172" s="131" t="n">
        <v>70.22902</v>
      </c>
      <c r="F172" s="132" t="n">
        <f aca="false">Spreads!R137</f>
        <v>69.844229</v>
      </c>
      <c r="G172" s="131" t="n">
        <f aca="false">IF(AND(ISNUMBER(E172),ISNUMBER(F172)),F172-E172,"")</f>
        <v>-0.384791000000007</v>
      </c>
      <c r="H172" s="133" t="n">
        <f aca="false">IF(AND(ISNUMBER(E172),ISNUMBER(F172)),IF(E172=0,"",F172/E172-1),"")</f>
        <v>-0.00547908827433452</v>
      </c>
    </row>
    <row r="173" customFormat="false" ht="15" hidden="false" customHeight="false" outlineLevel="0" collapsed="false">
      <c r="A173" s="0" t="s">
        <v>13</v>
      </c>
      <c r="B173" s="0" t="s">
        <v>38</v>
      </c>
      <c r="C173" s="0" t="n">
        <v>145</v>
      </c>
      <c r="D173" s="0" t="s">
        <v>353</v>
      </c>
      <c r="E173" s="131" t="n">
        <v>70.22902</v>
      </c>
      <c r="F173" s="132" t="n">
        <f aca="false">Spreads!R145</f>
        <v>70.091729</v>
      </c>
      <c r="G173" s="131" t="n">
        <f aca="false">IF(AND(ISNUMBER(E173),ISNUMBER(F173)),F173-E173,"")</f>
        <v>-0.137291000000005</v>
      </c>
      <c r="H173" s="133" t="n">
        <f aca="false">IF(AND(ISNUMBER(E173),ISNUMBER(F173)),IF(E173=0,"",F173/E173-1),"")</f>
        <v>-0.00195490411228871</v>
      </c>
    </row>
    <row r="174" customFormat="false" ht="15" hidden="false" customHeight="false" outlineLevel="0" collapsed="false">
      <c r="A174" s="0" t="s">
        <v>13</v>
      </c>
      <c r="B174" s="0" t="s">
        <v>38</v>
      </c>
      <c r="C174" s="0" t="n">
        <v>50</v>
      </c>
      <c r="D174" s="0" t="s">
        <v>354</v>
      </c>
      <c r="E174" s="131" t="n">
        <v>660.367230432027</v>
      </c>
      <c r="F174" s="132" t="n">
        <f aca="false">Spreads!R50</f>
        <v>3245.01711795</v>
      </c>
      <c r="G174" s="131" t="n">
        <f aca="false">IF(AND(ISNUMBER(E174),ISNUMBER(F174)),F174-E174,"")</f>
        <v>2584.64988751797</v>
      </c>
      <c r="H174" s="133" t="n">
        <f aca="false">IF(AND(ISNUMBER(E174),ISNUMBER(F174)),IF(E174=0,"",F174/E174-1),"")</f>
        <v>3.91395842859591</v>
      </c>
    </row>
    <row r="175" customFormat="false" ht="15" hidden="false" customHeight="false" outlineLevel="0" collapsed="false">
      <c r="A175" s="0" t="s">
        <v>13</v>
      </c>
      <c r="B175" s="0" t="s">
        <v>38</v>
      </c>
      <c r="C175" s="0" t="n">
        <v>65</v>
      </c>
      <c r="D175" s="0" t="s">
        <v>355</v>
      </c>
      <c r="E175" s="131" t="n">
        <v>4759.84662816692</v>
      </c>
      <c r="F175" s="132" t="n">
        <f aca="false">Spreads!R65</f>
        <v>5010.5790798395</v>
      </c>
      <c r="G175" s="131" t="n">
        <f aca="false">IF(AND(ISNUMBER(E175),ISNUMBER(F175)),F175-E175,"")</f>
        <v>250.732451672583</v>
      </c>
      <c r="H175" s="133" t="n">
        <f aca="false">IF(AND(ISNUMBER(E175),ISNUMBER(F175)),IF(E175=0,"",F175/E175-1),"")</f>
        <v>0.0526765820959116</v>
      </c>
    </row>
    <row r="176" customFormat="false" ht="15" hidden="false" customHeight="false" outlineLevel="0" collapsed="false">
      <c r="A176" s="0" t="s">
        <v>13</v>
      </c>
      <c r="B176" s="0" t="s">
        <v>38</v>
      </c>
      <c r="C176" s="0" t="n">
        <v>27</v>
      </c>
      <c r="D176" s="0" t="s">
        <v>356</v>
      </c>
      <c r="E176" s="131" t="n">
        <v>51088.3313283759</v>
      </c>
      <c r="F176" s="132" t="n">
        <f aca="false">Spreads!R27</f>
        <v>48663.8326548264</v>
      </c>
      <c r="G176" s="131" t="n">
        <f aca="false">IF(AND(ISNUMBER(E176),ISNUMBER(F176)),F176-E176,"")</f>
        <v>-2424.49867354945</v>
      </c>
      <c r="H176" s="133" t="n">
        <f aca="false">IF(AND(ISNUMBER(E176),ISNUMBER(F176)),IF(E176=0,"",F176/E176-1),"")</f>
        <v>-0.0474569947874344</v>
      </c>
    </row>
    <row r="177" customFormat="false" ht="15" hidden="false" customHeight="false" outlineLevel="0" collapsed="false">
      <c r="A177" s="0" t="s">
        <v>13</v>
      </c>
      <c r="B177" s="0" t="s">
        <v>38</v>
      </c>
      <c r="C177" s="0" t="n">
        <v>205</v>
      </c>
      <c r="D177" s="0" t="s">
        <v>357</v>
      </c>
      <c r="E177" s="131" t="n">
        <v>8490.088</v>
      </c>
      <c r="F177" s="132" t="n">
        <f aca="false">Spreads!R205</f>
        <v>7877.92509546</v>
      </c>
      <c r="G177" s="131" t="n">
        <f aca="false">IF(AND(ISNUMBER(E177),ISNUMBER(F177)),F177-E177,"")</f>
        <v>-612.162904540001</v>
      </c>
      <c r="H177" s="133" t="n">
        <f aca="false">IF(AND(ISNUMBER(E177),ISNUMBER(F177)),IF(E177=0,"",F177/E177-1),"")</f>
        <v>-0.0721032461076965</v>
      </c>
    </row>
    <row r="178" customFormat="false" ht="15" hidden="false" customHeight="false" outlineLevel="0" collapsed="false">
      <c r="A178" s="0" t="s">
        <v>13</v>
      </c>
      <c r="B178" s="0" t="s">
        <v>38</v>
      </c>
      <c r="C178" s="0" t="n">
        <v>245</v>
      </c>
      <c r="D178" s="0" t="s">
        <v>358</v>
      </c>
      <c r="E178" s="131" t="n">
        <v>1842.054</v>
      </c>
      <c r="F178" s="132" t="n">
        <f aca="false">Spreads!R245</f>
        <v>1494.52598274</v>
      </c>
      <c r="G178" s="131" t="n">
        <f aca="false">IF(AND(ISNUMBER(E178),ISNUMBER(F178)),F178-E178,"")</f>
        <v>-347.52801726</v>
      </c>
      <c r="H178" s="133" t="n">
        <f aca="false">IF(AND(ISNUMBER(E178),ISNUMBER(F178)),IF(E178=0,"",F178/E178-1),"")</f>
        <v>-0.188663316743157</v>
      </c>
    </row>
    <row r="179" customFormat="false" ht="15" hidden="false" customHeight="false" outlineLevel="0" collapsed="false">
      <c r="A179" s="0" t="s">
        <v>13</v>
      </c>
      <c r="B179" s="0" t="s">
        <v>38</v>
      </c>
      <c r="C179" s="0" t="n">
        <v>265</v>
      </c>
      <c r="D179" s="0" t="s">
        <v>359</v>
      </c>
      <c r="E179" s="131" t="n">
        <v>2683.1328</v>
      </c>
      <c r="F179" s="132" t="n">
        <f aca="false">Spreads!R265</f>
        <v>2376.2842502</v>
      </c>
      <c r="G179" s="131" t="n">
        <f aca="false">IF(AND(ISNUMBER(E179),ISNUMBER(F179)),F179-E179,"")</f>
        <v>-306.8485498</v>
      </c>
      <c r="H179" s="133" t="n">
        <f aca="false">IF(AND(ISNUMBER(E179),ISNUMBER(F179)),IF(E179=0,"",F179/E179-1),"")</f>
        <v>-0.114362043429233</v>
      </c>
    </row>
    <row r="180" customFormat="false" ht="15" hidden="false" customHeight="false" outlineLevel="0" collapsed="false">
      <c r="A180" s="0" t="s">
        <v>13</v>
      </c>
      <c r="B180" s="0" t="s">
        <v>38</v>
      </c>
      <c r="C180" s="0" t="n">
        <v>275</v>
      </c>
      <c r="D180" s="0" t="s">
        <v>360</v>
      </c>
      <c r="E180" s="131" t="n">
        <v>2617.3513392</v>
      </c>
      <c r="F180" s="132" t="n">
        <f aca="false">Spreads!R275</f>
        <v>2310.54362744</v>
      </c>
      <c r="G180" s="131" t="n">
        <f aca="false">IF(AND(ISNUMBER(E180),ISNUMBER(F180)),F180-E180,"")</f>
        <v>-306.80771176</v>
      </c>
      <c r="H180" s="133" t="n">
        <f aca="false">IF(AND(ISNUMBER(E180),ISNUMBER(F180)),IF(E180=0,"",F180/E180-1),"")</f>
        <v>-0.117220683048909</v>
      </c>
    </row>
    <row r="181" customFormat="false" ht="15" hidden="false" customHeight="false" outlineLevel="0" collapsed="false">
      <c r="A181" s="0" t="s">
        <v>13</v>
      </c>
      <c r="B181" s="0" t="s">
        <v>38</v>
      </c>
      <c r="C181" s="0" t="n">
        <v>285</v>
      </c>
      <c r="D181" s="0" t="s">
        <v>361</v>
      </c>
      <c r="E181" s="131" t="n">
        <v>1181.6704</v>
      </c>
      <c r="F181" s="132" t="n">
        <f aca="false">Spreads!R285</f>
        <v>1096.46821494</v>
      </c>
      <c r="G181" s="131" t="n">
        <f aca="false">IF(AND(ISNUMBER(E181),ISNUMBER(F181)),F181-E181,"")</f>
        <v>-85.2021850600002</v>
      </c>
      <c r="H181" s="133" t="n">
        <f aca="false">IF(AND(ISNUMBER(E181),ISNUMBER(F181)),IF(E181=0,"",F181/E181-1),"")</f>
        <v>-0.0721031728136714</v>
      </c>
    </row>
    <row r="182" customFormat="false" ht="15" hidden="false" customHeight="false" outlineLevel="0" collapsed="false">
      <c r="A182" s="0" t="s">
        <v>13</v>
      </c>
      <c r="B182" s="0" t="s">
        <v>38</v>
      </c>
      <c r="C182" s="0" t="n">
        <v>295</v>
      </c>
      <c r="D182" s="0" t="s">
        <v>362</v>
      </c>
      <c r="E182" s="131" t="n">
        <v>19.538511</v>
      </c>
      <c r="F182" s="132" t="n">
        <f aca="false">Spreads!R295</f>
        <v>15.68106358</v>
      </c>
      <c r="G182" s="131" t="n">
        <f aca="false">IF(AND(ISNUMBER(E182),ISNUMBER(F182)),F182-E182,"")</f>
        <v>-3.85744742</v>
      </c>
      <c r="H182" s="133" t="n">
        <f aca="false">IF(AND(ISNUMBER(E182),ISNUMBER(F182)),IF(E182=0,"",F182/E182-1),"")</f>
        <v>-0.197427911471862</v>
      </c>
    </row>
    <row r="183" customFormat="false" ht="15" hidden="false" customHeight="false" outlineLevel="0" collapsed="false">
      <c r="A183" s="0" t="s">
        <v>13</v>
      </c>
      <c r="B183" s="0" t="s">
        <v>38</v>
      </c>
      <c r="C183" s="0" t="n">
        <v>339</v>
      </c>
      <c r="D183" s="0" t="s">
        <v>363</v>
      </c>
      <c r="E183" s="131" t="n">
        <v>1783.5554</v>
      </c>
      <c r="F183" s="132" t="n">
        <f aca="false">Spreads!R339</f>
        <v>1656.16156118</v>
      </c>
      <c r="G183" s="131" t="n">
        <f aca="false">IF(AND(ISNUMBER(E183),ISNUMBER(F183)),F183-E183,"")</f>
        <v>-127.39383882</v>
      </c>
      <c r="H183" s="133" t="n">
        <f aca="false">IF(AND(ISNUMBER(E183),ISNUMBER(F183)),IF(E183=0,"",F183/E183-1),"")</f>
        <v>-0.0714269031508638</v>
      </c>
    </row>
    <row r="184" customFormat="false" ht="15" hidden="false" customHeight="false" outlineLevel="0" collapsed="false">
      <c r="A184" s="0" t="s">
        <v>13</v>
      </c>
      <c r="B184" s="0" t="s">
        <v>38</v>
      </c>
      <c r="C184" s="0" t="n">
        <v>327</v>
      </c>
      <c r="D184" s="0" t="s">
        <v>364</v>
      </c>
      <c r="E184" s="131" t="n">
        <v>40</v>
      </c>
      <c r="F184" s="132" t="n">
        <f aca="false">Spreads!R327</f>
        <v>40</v>
      </c>
      <c r="G184" s="131" t="n">
        <f aca="false">IF(AND(ISNUMBER(E184),ISNUMBER(F184)),F184-E184,"")</f>
        <v>0</v>
      </c>
      <c r="H184" s="133" t="n">
        <f aca="false">IF(AND(ISNUMBER(E184),ISNUMBER(F184)),IF(E184=0,"",F184/E184-1),"")</f>
        <v>0</v>
      </c>
    </row>
    <row r="185" customFormat="false" ht="15" hidden="false" customHeight="false" outlineLevel="0" collapsed="false">
      <c r="A185" s="0" t="s">
        <v>13</v>
      </c>
      <c r="B185" s="0" t="s">
        <v>38</v>
      </c>
      <c r="C185" s="0" t="n">
        <v>328</v>
      </c>
      <c r="D185" s="0" t="s">
        <v>365</v>
      </c>
      <c r="E185" s="131" t="n">
        <v>14</v>
      </c>
      <c r="F185" s="132" t="n">
        <f aca="false">Spreads!R328</f>
        <v>14</v>
      </c>
      <c r="G185" s="131" t="n">
        <f aca="false">IF(AND(ISNUMBER(E185),ISNUMBER(F185)),F185-E185,"")</f>
        <v>0</v>
      </c>
      <c r="H185" s="133" t="n">
        <f aca="false">IF(AND(ISNUMBER(E185),ISNUMBER(F185)),IF(E185=0,"",F185/E185-1),"")</f>
        <v>0</v>
      </c>
    </row>
    <row r="186" customFormat="false" ht="15" hidden="false" customHeight="false" outlineLevel="0" collapsed="false">
      <c r="A186" s="0" t="s">
        <v>14</v>
      </c>
      <c r="B186" s="0" t="s">
        <v>39</v>
      </c>
      <c r="C186" s="0" t="n">
        <v>43</v>
      </c>
      <c r="D186" s="0" t="s">
        <v>340</v>
      </c>
      <c r="E186" s="131" t="n">
        <v>2188575.631853</v>
      </c>
      <c r="F186" s="132" t="n">
        <f aca="false">Spreads!S43</f>
        <v>288575.631853</v>
      </c>
      <c r="G186" s="131" t="n">
        <f aca="false">IF(AND(ISNUMBER(E186),ISNUMBER(F186)),F186-E186,"")</f>
        <v>-1900000</v>
      </c>
      <c r="H186" s="133" t="n">
        <f aca="false">IF(AND(ISNUMBER(E186),ISNUMBER(F186)),IF(E186=0,"",F186/E186-1),"")</f>
        <v>-0.868144546775991</v>
      </c>
    </row>
    <row r="187" customFormat="false" ht="15" hidden="false" customHeight="false" outlineLevel="0" collapsed="false">
      <c r="A187" s="0" t="s">
        <v>14</v>
      </c>
      <c r="B187" s="0" t="s">
        <v>39</v>
      </c>
      <c r="C187" s="0" t="n">
        <v>44</v>
      </c>
      <c r="D187" s="0" t="s">
        <v>341</v>
      </c>
      <c r="E187" s="131"/>
      <c r="F187" s="132" t="n">
        <f aca="false">Spreads!S44</f>
        <v>1900000</v>
      </c>
      <c r="G187" s="131" t="str">
        <f aca="false">IF(AND(ISNUMBER(E187),ISNUMBER(F187)),F187-E187,"")</f>
        <v/>
      </c>
      <c r="H187" s="133" t="str">
        <f aca="false">IF(AND(ISNUMBER(E187),ISNUMBER(F187)),IF(E187=0,"",F187/E187-1),"")</f>
        <v/>
      </c>
    </row>
    <row r="188" customFormat="false" ht="15" hidden="false" customHeight="false" outlineLevel="0" collapsed="false">
      <c r="A188" s="0" t="s">
        <v>14</v>
      </c>
      <c r="B188" s="0" t="s">
        <v>39</v>
      </c>
      <c r="C188" s="0" t="n">
        <v>45</v>
      </c>
      <c r="D188" s="0" t="s">
        <v>342</v>
      </c>
      <c r="E188" s="131"/>
      <c r="F188" s="132" t="n">
        <f aca="false">Spreads!S45</f>
        <v>0.006</v>
      </c>
      <c r="G188" s="131" t="str">
        <f aca="false">IF(AND(ISNUMBER(E188),ISNUMBER(F188)),F188-E188,"")</f>
        <v/>
      </c>
      <c r="H188" s="133" t="str">
        <f aca="false">IF(AND(ISNUMBER(E188),ISNUMBER(F188)),IF(E188=0,"",F188/E188-1),"")</f>
        <v/>
      </c>
    </row>
    <row r="189" customFormat="false" ht="15" hidden="false" customHeight="false" outlineLevel="0" collapsed="false">
      <c r="A189" s="0" t="s">
        <v>14</v>
      </c>
      <c r="B189" s="0" t="s">
        <v>39</v>
      </c>
      <c r="C189" s="0" t="n">
        <v>46</v>
      </c>
      <c r="D189" s="0" t="s">
        <v>343</v>
      </c>
      <c r="E189" s="131" t="n">
        <v>54.2140940203794</v>
      </c>
      <c r="F189" s="132" t="n">
        <f aca="false">Spreads!S46</f>
        <v>51938.44687</v>
      </c>
      <c r="G189" s="131" t="n">
        <f aca="false">IF(AND(ISNUMBER(E189),ISNUMBER(F189)),F189-E189,"")</f>
        <v>51884.2327759796</v>
      </c>
      <c r="H189" s="133" t="n">
        <f aca="false">IF(AND(ISNUMBER(E189),ISNUMBER(F189)),IF(E189=0,"",F189/E189-1),"")</f>
        <v>957.0248053297</v>
      </c>
    </row>
    <row r="190" customFormat="false" ht="15" hidden="false" customHeight="false" outlineLevel="0" collapsed="false">
      <c r="A190" s="0" t="s">
        <v>14</v>
      </c>
      <c r="B190" s="0" t="s">
        <v>39</v>
      </c>
      <c r="C190" s="0" t="n">
        <v>55</v>
      </c>
      <c r="D190" s="0" t="s">
        <v>344</v>
      </c>
      <c r="E190" s="131" t="n">
        <v>406535.374198</v>
      </c>
      <c r="F190" s="132" t="n">
        <f aca="false">Spreads!S55</f>
        <v>366131.648789</v>
      </c>
      <c r="G190" s="131" t="n">
        <f aca="false">IF(AND(ISNUMBER(E190),ISNUMBER(F190)),F190-E190,"")</f>
        <v>-40403.725409</v>
      </c>
      <c r="H190" s="133" t="n">
        <f aca="false">IF(AND(ISNUMBER(E190),ISNUMBER(F190)),IF(E190=0,"",F190/E190-1),"")</f>
        <v>-0.0993855097817925</v>
      </c>
    </row>
    <row r="191" customFormat="false" ht="15" hidden="false" customHeight="false" outlineLevel="0" collapsed="false">
      <c r="A191" s="0" t="s">
        <v>14</v>
      </c>
      <c r="B191" s="0" t="s">
        <v>39</v>
      </c>
      <c r="C191" s="0" t="n">
        <v>56</v>
      </c>
      <c r="D191" s="0" t="s">
        <v>345</v>
      </c>
      <c r="E191" s="131" t="n">
        <v>834739.219388</v>
      </c>
      <c r="F191" s="132" t="n">
        <f aca="false">Spreads!S56</f>
        <v>599227.527623</v>
      </c>
      <c r="G191" s="131" t="n">
        <f aca="false">IF(AND(ISNUMBER(E191),ISNUMBER(F191)),F191-E191,"")</f>
        <v>-235511.691765</v>
      </c>
      <c r="H191" s="133" t="n">
        <f aca="false">IF(AND(ISNUMBER(E191),ISNUMBER(F191)),IF(E191=0,"",F191/E191-1),"")</f>
        <v>-0.282138045385801</v>
      </c>
    </row>
    <row r="192" customFormat="false" ht="15" hidden="false" customHeight="false" outlineLevel="0" collapsed="false">
      <c r="A192" s="0" t="s">
        <v>14</v>
      </c>
      <c r="B192" s="0" t="s">
        <v>39</v>
      </c>
      <c r="C192" s="0" t="n">
        <v>58</v>
      </c>
      <c r="D192" s="0" t="s">
        <v>346</v>
      </c>
      <c r="E192" s="131"/>
      <c r="F192" s="132" t="n">
        <f aca="false">Spreads!S58</f>
        <v>275915.417174</v>
      </c>
      <c r="G192" s="131" t="str">
        <f aca="false">IF(AND(ISNUMBER(E192),ISNUMBER(F192)),F192-E192,"")</f>
        <v/>
      </c>
      <c r="H192" s="133" t="str">
        <f aca="false">IF(AND(ISNUMBER(E192),ISNUMBER(F192)),IF(E192=0,"",F192/E192-1),"")</f>
        <v/>
      </c>
    </row>
    <row r="193" customFormat="false" ht="15" hidden="false" customHeight="false" outlineLevel="0" collapsed="false">
      <c r="A193" s="0" t="s">
        <v>14</v>
      </c>
      <c r="B193" s="0" t="s">
        <v>39</v>
      </c>
      <c r="C193" s="0" t="n">
        <v>62</v>
      </c>
      <c r="D193" s="0" t="s">
        <v>347</v>
      </c>
      <c r="E193" s="131" t="n">
        <v>0</v>
      </c>
      <c r="F193" s="132" t="n">
        <f aca="false">Spreads!S62</f>
        <v>275915.417174</v>
      </c>
      <c r="G193" s="131" t="n">
        <f aca="false">IF(AND(ISNUMBER(E193),ISNUMBER(F193)),F193-E193,"")</f>
        <v>275915.417174</v>
      </c>
      <c r="H193" s="133" t="str">
        <f aca="false">IF(AND(ISNUMBER(E193),ISNUMBER(F193)),IF(E193=0,"",F193/E193-1),"")</f>
        <v/>
      </c>
    </row>
    <row r="194" customFormat="false" ht="15" hidden="false" customHeight="false" outlineLevel="0" collapsed="false">
      <c r="A194" s="0" t="s">
        <v>14</v>
      </c>
      <c r="B194" s="0" t="s">
        <v>39</v>
      </c>
      <c r="C194" s="0" t="n">
        <v>70</v>
      </c>
      <c r="D194" s="0" t="s">
        <v>348</v>
      </c>
      <c r="E194" s="131" t="n">
        <v>-23295.787579</v>
      </c>
      <c r="F194" s="132" t="n">
        <f aca="false">Spreads!S70</f>
        <v>7273.161796</v>
      </c>
      <c r="G194" s="131" t="n">
        <f aca="false">IF(AND(ISNUMBER(E194),ISNUMBER(F194)),F194-E194,"")</f>
        <v>30568.949375</v>
      </c>
      <c r="H194" s="133" t="n">
        <f aca="false">IF(AND(ISNUMBER(E194),ISNUMBER(F194)),IF(E194=0,"",F194/E194-1),"")</f>
        <v>-1.3122093112901</v>
      </c>
    </row>
    <row r="195" customFormat="false" ht="15" hidden="false" customHeight="false" outlineLevel="0" collapsed="false">
      <c r="A195" s="0" t="s">
        <v>14</v>
      </c>
      <c r="B195" s="0" t="s">
        <v>39</v>
      </c>
      <c r="C195" s="0" t="n">
        <v>74</v>
      </c>
      <c r="D195" s="0" t="s">
        <v>349</v>
      </c>
      <c r="E195" s="131" t="n">
        <v>0</v>
      </c>
      <c r="F195" s="132" t="n">
        <f aca="false">Spreads!S74</f>
        <v>0</v>
      </c>
      <c r="G195" s="131" t="n">
        <f aca="false">IF(AND(ISNUMBER(E195),ISNUMBER(F195)),F195-E195,"")</f>
        <v>0</v>
      </c>
      <c r="H195" s="133" t="str">
        <f aca="false">IF(AND(ISNUMBER(E195),ISNUMBER(F195)),IF(E195=0,"",F195/E195-1),"")</f>
        <v/>
      </c>
    </row>
    <row r="196" customFormat="false" ht="15" hidden="false" customHeight="false" outlineLevel="0" collapsed="false">
      <c r="A196" s="0" t="s">
        <v>14</v>
      </c>
      <c r="B196" s="0" t="s">
        <v>39</v>
      </c>
      <c r="C196" s="0" t="n">
        <v>77</v>
      </c>
      <c r="D196" s="0" t="s">
        <v>350</v>
      </c>
      <c r="E196" s="131" t="n">
        <v>0</v>
      </c>
      <c r="F196" s="132" t="n">
        <f aca="false">Spreads!S77</f>
        <v>0</v>
      </c>
      <c r="G196" s="131" t="n">
        <f aca="false">IF(AND(ISNUMBER(E196),ISNUMBER(F196)),F196-E196,"")</f>
        <v>0</v>
      </c>
      <c r="H196" s="133" t="str">
        <f aca="false">IF(AND(ISNUMBER(E196),ISNUMBER(F196)),IF(E196=0,"",F196/E196-1),"")</f>
        <v/>
      </c>
    </row>
    <row r="197" customFormat="false" ht="15" hidden="false" customHeight="false" outlineLevel="0" collapsed="false">
      <c r="A197" s="0" t="s">
        <v>14</v>
      </c>
      <c r="B197" s="0" t="s">
        <v>39</v>
      </c>
      <c r="C197" s="0" t="n">
        <v>81</v>
      </c>
      <c r="D197" s="0" t="s">
        <v>351</v>
      </c>
      <c r="E197" s="131" t="n">
        <v>8361923.185339</v>
      </c>
      <c r="F197" s="132" t="n">
        <f aca="false">Spreads!S81</f>
        <v>8361923.185339</v>
      </c>
      <c r="G197" s="131" t="n">
        <f aca="false">IF(AND(ISNUMBER(E197),ISNUMBER(F197)),F197-E197,"")</f>
        <v>0</v>
      </c>
      <c r="H197" s="133" t="n">
        <f aca="false">IF(AND(ISNUMBER(E197),ISNUMBER(F197)),IF(E197=0,"",F197/E197-1),"")</f>
        <v>0</v>
      </c>
    </row>
    <row r="198" customFormat="false" ht="15" hidden="false" customHeight="false" outlineLevel="0" collapsed="false">
      <c r="A198" s="0" t="s">
        <v>14</v>
      </c>
      <c r="B198" s="0" t="s">
        <v>39</v>
      </c>
      <c r="C198" s="0" t="n">
        <v>137</v>
      </c>
      <c r="D198" s="0" t="s">
        <v>352</v>
      </c>
      <c r="E198" s="131" t="n">
        <v>46.29095</v>
      </c>
      <c r="F198" s="132" t="n">
        <f aca="false">Spreads!S137</f>
        <v>46.239518</v>
      </c>
      <c r="G198" s="131" t="n">
        <f aca="false">IF(AND(ISNUMBER(E198),ISNUMBER(F198)),F198-E198,"")</f>
        <v>-0.0514320000000055</v>
      </c>
      <c r="H198" s="133" t="n">
        <f aca="false">IF(AND(ISNUMBER(E198),ISNUMBER(F198)),IF(E198=0,"",F198/E198-1),"")</f>
        <v>-0.00111105950515178</v>
      </c>
    </row>
    <row r="199" customFormat="false" ht="15" hidden="false" customHeight="false" outlineLevel="0" collapsed="false">
      <c r="A199" s="0" t="s">
        <v>14</v>
      </c>
      <c r="B199" s="0" t="s">
        <v>39</v>
      </c>
      <c r="C199" s="0" t="n">
        <v>145</v>
      </c>
      <c r="D199" s="0" t="s">
        <v>353</v>
      </c>
      <c r="E199" s="131" t="n">
        <v>46.29095</v>
      </c>
      <c r="F199" s="132" t="n">
        <f aca="false">Spreads!S145</f>
        <v>48.509518</v>
      </c>
      <c r="G199" s="131" t="n">
        <f aca="false">IF(AND(ISNUMBER(E199),ISNUMBER(F199)),F199-E199,"")</f>
        <v>2.218568</v>
      </c>
      <c r="H199" s="133" t="n">
        <f aca="false">IF(AND(ISNUMBER(E199),ISNUMBER(F199)),IF(E199=0,"",F199/E199-1),"")</f>
        <v>0.0479266033641566</v>
      </c>
    </row>
    <row r="200" customFormat="false" ht="15" hidden="false" customHeight="false" outlineLevel="0" collapsed="false">
      <c r="A200" s="0" t="s">
        <v>14</v>
      </c>
      <c r="B200" s="0" t="s">
        <v>39</v>
      </c>
      <c r="C200" s="0" t="n">
        <v>50</v>
      </c>
      <c r="D200" s="0" t="s">
        <v>354</v>
      </c>
      <c r="E200" s="131" t="n">
        <v>1412.65717468488</v>
      </c>
      <c r="F200" s="132" t="n">
        <f aca="false">Spreads!S50</f>
        <v>3379.63717928854</v>
      </c>
      <c r="G200" s="131" t="n">
        <f aca="false">IF(AND(ISNUMBER(E200),ISNUMBER(F200)),F200-E200,"")</f>
        <v>1966.98000460366</v>
      </c>
      <c r="H200" s="133" t="n">
        <f aca="false">IF(AND(ISNUMBER(E200),ISNUMBER(F200)),IF(E200=0,"",F200/E200-1),"")</f>
        <v>1.39239727787631</v>
      </c>
    </row>
    <row r="201" customFormat="false" ht="15" hidden="false" customHeight="false" outlineLevel="0" collapsed="false">
      <c r="A201" s="0" t="s">
        <v>14</v>
      </c>
      <c r="B201" s="0" t="s">
        <v>39</v>
      </c>
      <c r="C201" s="0" t="n">
        <v>65</v>
      </c>
      <c r="D201" s="0" t="s">
        <v>355</v>
      </c>
      <c r="E201" s="131" t="n">
        <v>801.177076048273</v>
      </c>
      <c r="F201" s="132" t="n">
        <f aca="false">Spreads!S65</f>
        <v>622.456135647883</v>
      </c>
      <c r="G201" s="131" t="n">
        <f aca="false">IF(AND(ISNUMBER(E201),ISNUMBER(F201)),F201-E201,"")</f>
        <v>-178.720940400391</v>
      </c>
      <c r="H201" s="133" t="n">
        <f aca="false">IF(AND(ISNUMBER(E201),ISNUMBER(F201)),IF(E201=0,"",F201/E201-1),"")</f>
        <v>-0.223072958205337</v>
      </c>
    </row>
    <row r="202" customFormat="false" ht="15" hidden="false" customHeight="false" outlineLevel="0" collapsed="false">
      <c r="A202" s="0" t="s">
        <v>14</v>
      </c>
      <c r="B202" s="0" t="s">
        <v>39</v>
      </c>
      <c r="C202" s="0" t="n">
        <v>27</v>
      </c>
      <c r="D202" s="0" t="s">
        <v>356</v>
      </c>
      <c r="E202" s="131" t="n">
        <v>46371.4807194654</v>
      </c>
      <c r="F202" s="132" t="n">
        <f aca="false">Spreads!S27</f>
        <v>46477.5135024642</v>
      </c>
      <c r="G202" s="131" t="n">
        <f aca="false">IF(AND(ISNUMBER(E202),ISNUMBER(F202)),F202-E202,"")</f>
        <v>106.032782998824</v>
      </c>
      <c r="H202" s="133" t="n">
        <f aca="false">IF(AND(ISNUMBER(E202),ISNUMBER(F202)),IF(E202=0,"",F202/E202-1),"")</f>
        <v>0.00228659472058457</v>
      </c>
    </row>
    <row r="203" customFormat="false" ht="15" hidden="false" customHeight="false" outlineLevel="0" collapsed="false">
      <c r="A203" s="0" t="s">
        <v>14</v>
      </c>
      <c r="B203" s="0" t="s">
        <v>39</v>
      </c>
      <c r="C203" s="0" t="n">
        <v>205</v>
      </c>
      <c r="D203" s="0" t="s">
        <v>357</v>
      </c>
      <c r="E203" s="131" t="n">
        <v>3096.6296</v>
      </c>
      <c r="F203" s="132" t="n">
        <f aca="false">Spreads!S205</f>
        <v>3207.83465510501</v>
      </c>
      <c r="G203" s="131" t="n">
        <f aca="false">IF(AND(ISNUMBER(E203),ISNUMBER(F203)),F203-E203,"")</f>
        <v>111.205055105009</v>
      </c>
      <c r="H203" s="133" t="n">
        <f aca="false">IF(AND(ISNUMBER(E203),ISNUMBER(F203)),IF(E203=0,"",F203/E203-1),"")</f>
        <v>0.0359116424854329</v>
      </c>
    </row>
    <row r="204" customFormat="false" ht="15" hidden="false" customHeight="false" outlineLevel="0" collapsed="false">
      <c r="A204" s="0" t="s">
        <v>14</v>
      </c>
      <c r="B204" s="0" t="s">
        <v>39</v>
      </c>
      <c r="C204" s="0" t="n">
        <v>245</v>
      </c>
      <c r="D204" s="0" t="s">
        <v>358</v>
      </c>
      <c r="E204" s="131" t="n">
        <v>1405.545</v>
      </c>
      <c r="F204" s="132" t="n">
        <f aca="false">Spreads!S245</f>
        <v>1456.60761843152</v>
      </c>
      <c r="G204" s="131" t="n">
        <f aca="false">IF(AND(ISNUMBER(E204),ISNUMBER(F204)),F204-E204,"")</f>
        <v>51.0626184315222</v>
      </c>
      <c r="H204" s="133" t="n">
        <f aca="false">IF(AND(ISNUMBER(E204),ISNUMBER(F204)),IF(E204=0,"",F204/E204-1),"")</f>
        <v>0.0363294084725301</v>
      </c>
    </row>
    <row r="205" customFormat="false" ht="15" hidden="false" customHeight="false" outlineLevel="0" collapsed="false">
      <c r="A205" s="0" t="s">
        <v>14</v>
      </c>
      <c r="B205" s="0" t="s">
        <v>39</v>
      </c>
      <c r="C205" s="0" t="n">
        <v>265</v>
      </c>
      <c r="D205" s="0" t="s">
        <v>359</v>
      </c>
      <c r="E205" s="131" t="n">
        <v>1656.295</v>
      </c>
      <c r="F205" s="132" t="n">
        <f aca="false">Spreads!S265</f>
        <v>1716.98489381135</v>
      </c>
      <c r="G205" s="131" t="n">
        <f aca="false">IF(AND(ISNUMBER(E205),ISNUMBER(F205)),F205-E205,"")</f>
        <v>60.6898938113529</v>
      </c>
      <c r="H205" s="133" t="n">
        <f aca="false">IF(AND(ISNUMBER(E205),ISNUMBER(F205)),IF(E205=0,"",F205/E205-1),"")</f>
        <v>0.0366419591989065</v>
      </c>
    </row>
    <row r="206" customFormat="false" ht="15" hidden="false" customHeight="false" outlineLevel="0" collapsed="false">
      <c r="A206" s="0" t="s">
        <v>14</v>
      </c>
      <c r="B206" s="0" t="s">
        <v>39</v>
      </c>
      <c r="C206" s="0" t="n">
        <v>275</v>
      </c>
      <c r="D206" s="0" t="s">
        <v>360</v>
      </c>
      <c r="E206" s="131" t="n">
        <v>1617.07224631468</v>
      </c>
      <c r="F206" s="132" t="n">
        <f aca="false">Spreads!S275</f>
        <v>1700.98802041419</v>
      </c>
      <c r="G206" s="131" t="n">
        <f aca="false">IF(AND(ISNUMBER(E206),ISNUMBER(F206)),F206-E206,"")</f>
        <v>83.9157740995167</v>
      </c>
      <c r="H206" s="133" t="n">
        <f aca="false">IF(AND(ISNUMBER(E206),ISNUMBER(F206)),IF(E206=0,"",F206/E206-1),"")</f>
        <v>0.0518936456245303</v>
      </c>
    </row>
    <row r="207" customFormat="false" ht="15" hidden="false" customHeight="false" outlineLevel="0" collapsed="false">
      <c r="A207" s="0" t="s">
        <v>14</v>
      </c>
      <c r="B207" s="0" t="s">
        <v>39</v>
      </c>
      <c r="C207" s="0" t="n">
        <v>285</v>
      </c>
      <c r="D207" s="0" t="s">
        <v>361</v>
      </c>
      <c r="E207" s="131" t="n">
        <v>1077.8745</v>
      </c>
      <c r="F207" s="132" t="n">
        <f aca="false">Spreads!S285</f>
        <v>1136.39167803846</v>
      </c>
      <c r="G207" s="131" t="n">
        <f aca="false">IF(AND(ISNUMBER(E207),ISNUMBER(F207)),F207-E207,"")</f>
        <v>58.5171780384569</v>
      </c>
      <c r="H207" s="133" t="n">
        <f aca="false">IF(AND(ISNUMBER(E207),ISNUMBER(F207)),IF(E207=0,"",F207/E207-1),"")</f>
        <v>0.0542894168462627</v>
      </c>
    </row>
    <row r="208" customFormat="false" ht="15" hidden="false" customHeight="false" outlineLevel="0" collapsed="false">
      <c r="A208" s="0" t="s">
        <v>14</v>
      </c>
      <c r="B208" s="0" t="s">
        <v>39</v>
      </c>
      <c r="C208" s="0" t="n">
        <v>295</v>
      </c>
      <c r="D208" s="0" t="s">
        <v>362</v>
      </c>
      <c r="E208" s="131" t="n">
        <v>16.33596</v>
      </c>
      <c r="F208" s="132" t="n">
        <f aca="false">Spreads!S295</f>
        <v>16.95861854</v>
      </c>
      <c r="G208" s="131" t="n">
        <f aca="false">IF(AND(ISNUMBER(E208),ISNUMBER(F208)),F208-E208,"")</f>
        <v>0.62265854</v>
      </c>
      <c r="H208" s="133" t="n">
        <f aca="false">IF(AND(ISNUMBER(E208),ISNUMBER(F208)),IF(E208=0,"",F208/E208-1),"")</f>
        <v>0.0381158217821298</v>
      </c>
    </row>
    <row r="209" customFormat="false" ht="15" hidden="false" customHeight="false" outlineLevel="0" collapsed="false">
      <c r="A209" s="0" t="s">
        <v>14</v>
      </c>
      <c r="B209" s="0" t="s">
        <v>39</v>
      </c>
      <c r="C209" s="0" t="n">
        <v>339</v>
      </c>
      <c r="D209" s="0" t="s">
        <v>363</v>
      </c>
      <c r="E209" s="131" t="n">
        <v>935.03674</v>
      </c>
      <c r="F209" s="132" t="n">
        <f aca="false">Spreads!S339</f>
        <v>1038.36325035535</v>
      </c>
      <c r="G209" s="131" t="n">
        <f aca="false">IF(AND(ISNUMBER(E209),ISNUMBER(F209)),F209-E209,"")</f>
        <v>103.326510355354</v>
      </c>
      <c r="H209" s="133" t="n">
        <f aca="false">IF(AND(ISNUMBER(E209),ISNUMBER(F209)),IF(E209=0,"",F209/E209-1),"")</f>
        <v>0.11050529453565</v>
      </c>
    </row>
    <row r="210" customFormat="false" ht="15" hidden="false" customHeight="false" outlineLevel="0" collapsed="false">
      <c r="A210" s="0" t="s">
        <v>14</v>
      </c>
      <c r="B210" s="0" t="s">
        <v>39</v>
      </c>
      <c r="C210" s="0" t="n">
        <v>327</v>
      </c>
      <c r="D210" s="0" t="s">
        <v>364</v>
      </c>
      <c r="E210" s="131" t="n">
        <v>42555.85</v>
      </c>
      <c r="F210" s="132" t="n">
        <f aca="false">Spreads!S327</f>
        <v>18000.614352</v>
      </c>
      <c r="G210" s="131" t="n">
        <f aca="false">IF(AND(ISNUMBER(E210),ISNUMBER(F210)),F210-E210,"")</f>
        <v>-24555.235648</v>
      </c>
      <c r="H210" s="133" t="n">
        <f aca="false">IF(AND(ISNUMBER(E210),ISNUMBER(F210)),IF(E210=0,"",F210/E210-1),"")</f>
        <v>-0.577011988903993</v>
      </c>
    </row>
    <row r="211" customFormat="false" ht="15" hidden="false" customHeight="false" outlineLevel="0" collapsed="false">
      <c r="A211" s="0" t="s">
        <v>14</v>
      </c>
      <c r="B211" s="0" t="s">
        <v>39</v>
      </c>
      <c r="C211" s="0" t="n">
        <v>328</v>
      </c>
      <c r="D211" s="0" t="s">
        <v>365</v>
      </c>
      <c r="E211" s="131" t="n">
        <v>11624.5</v>
      </c>
      <c r="F211" s="132" t="n">
        <f aca="false">Spreads!S328</f>
        <v>3949.895956</v>
      </c>
      <c r="G211" s="131" t="n">
        <f aca="false">IF(AND(ISNUMBER(E211),ISNUMBER(F211)),F211-E211,"")</f>
        <v>-7674.604044</v>
      </c>
      <c r="H211" s="133" t="n">
        <f aca="false">IF(AND(ISNUMBER(E211),ISNUMBER(F211)),IF(E211=0,"",F211/E211-1),"")</f>
        <v>-0.660209389135017</v>
      </c>
    </row>
    <row r="212" customFormat="false" ht="15" hidden="false" customHeight="false" outlineLevel="0" collapsed="false">
      <c r="A212" s="0" t="s">
        <v>15</v>
      </c>
      <c r="B212" s="0" t="s">
        <v>40</v>
      </c>
      <c r="C212" s="0" t="n">
        <v>43</v>
      </c>
      <c r="D212" s="0" t="s">
        <v>340</v>
      </c>
      <c r="E212" s="131" t="n">
        <v>183410.473352</v>
      </c>
      <c r="F212" s="132" t="n">
        <f aca="false">Spreads!T43</f>
        <v>53834.180234</v>
      </c>
      <c r="G212" s="131" t="n">
        <f aca="false">IF(AND(ISNUMBER(E212),ISNUMBER(F212)),F212-E212,"")</f>
        <v>-129576.293118</v>
      </c>
      <c r="H212" s="133" t="n">
        <f aca="false">IF(AND(ISNUMBER(E212),ISNUMBER(F212)),IF(E212=0,"",F212/E212-1),"")</f>
        <v>-0.706482518418227</v>
      </c>
    </row>
    <row r="213" customFormat="false" ht="15" hidden="false" customHeight="false" outlineLevel="0" collapsed="false">
      <c r="A213" s="0" t="s">
        <v>15</v>
      </c>
      <c r="B213" s="0" t="s">
        <v>40</v>
      </c>
      <c r="C213" s="0" t="n">
        <v>44</v>
      </c>
      <c r="D213" s="0" t="s">
        <v>341</v>
      </c>
      <c r="E213" s="131"/>
      <c r="F213" s="132" t="n">
        <f aca="false">Spreads!T44</f>
        <v>110830</v>
      </c>
      <c r="G213" s="131" t="str">
        <f aca="false">IF(AND(ISNUMBER(E213),ISNUMBER(F213)),F213-E213,"")</f>
        <v/>
      </c>
      <c r="H213" s="133" t="str">
        <f aca="false">IF(AND(ISNUMBER(E213),ISNUMBER(F213)),IF(E213=0,"",F213/E213-1),"")</f>
        <v/>
      </c>
    </row>
    <row r="214" customFormat="false" ht="15" hidden="false" customHeight="false" outlineLevel="0" collapsed="false">
      <c r="A214" s="0" t="s">
        <v>15</v>
      </c>
      <c r="B214" s="0" t="s">
        <v>40</v>
      </c>
      <c r="C214" s="0" t="n">
        <v>45</v>
      </c>
      <c r="D214" s="0" t="s">
        <v>342</v>
      </c>
      <c r="E214" s="131"/>
      <c r="F214" s="132" t="n">
        <f aca="false">Spreads!T45</f>
        <v>0</v>
      </c>
      <c r="G214" s="131" t="str">
        <f aca="false">IF(AND(ISNUMBER(E214),ISNUMBER(F214)),F214-E214,"")</f>
        <v/>
      </c>
      <c r="H214" s="133" t="str">
        <f aca="false">IF(AND(ISNUMBER(E214),ISNUMBER(F214)),IF(E214=0,"",F214/E214-1),"")</f>
        <v/>
      </c>
    </row>
    <row r="215" customFormat="false" ht="15" hidden="false" customHeight="false" outlineLevel="0" collapsed="false">
      <c r="A215" s="0" t="s">
        <v>15</v>
      </c>
      <c r="B215" s="0" t="s">
        <v>40</v>
      </c>
      <c r="C215" s="0" t="n">
        <v>46</v>
      </c>
      <c r="D215" s="0" t="s">
        <v>343</v>
      </c>
      <c r="E215" s="131" t="n">
        <v>0</v>
      </c>
      <c r="F215" s="132" t="n">
        <f aca="false">Spreads!T46</f>
        <v>0</v>
      </c>
      <c r="G215" s="131" t="n">
        <f aca="false">IF(AND(ISNUMBER(E215),ISNUMBER(F215)),F215-E215,"")</f>
        <v>0</v>
      </c>
      <c r="H215" s="133" t="str">
        <f aca="false">IF(AND(ISNUMBER(E215),ISNUMBER(F215)),IF(E215=0,"",F215/E215-1),"")</f>
        <v/>
      </c>
    </row>
    <row r="216" customFormat="false" ht="15" hidden="false" customHeight="false" outlineLevel="0" collapsed="false">
      <c r="A216" s="0" t="s">
        <v>15</v>
      </c>
      <c r="B216" s="0" t="s">
        <v>40</v>
      </c>
      <c r="C216" s="0" t="n">
        <v>55</v>
      </c>
      <c r="D216" s="0" t="s">
        <v>344</v>
      </c>
      <c r="E216" s="131" t="n">
        <v>74111.924783</v>
      </c>
      <c r="F216" s="132" t="n">
        <f aca="false">Spreads!T55</f>
        <v>72766.898219</v>
      </c>
      <c r="G216" s="131" t="n">
        <f aca="false">IF(AND(ISNUMBER(E216),ISNUMBER(F216)),F216-E216,"")</f>
        <v>-1345.026564</v>
      </c>
      <c r="H216" s="133" t="n">
        <f aca="false">IF(AND(ISNUMBER(E216),ISNUMBER(F216)),IF(E216=0,"",F216/E216-1),"")</f>
        <v>-0.0181485849671054</v>
      </c>
    </row>
    <row r="217" customFormat="false" ht="15" hidden="false" customHeight="false" outlineLevel="0" collapsed="false">
      <c r="A217" s="0" t="s">
        <v>15</v>
      </c>
      <c r="B217" s="0" t="s">
        <v>40</v>
      </c>
      <c r="C217" s="0" t="n">
        <v>56</v>
      </c>
      <c r="D217" s="0" t="s">
        <v>345</v>
      </c>
      <c r="E217" s="131" t="n">
        <v>703.022339</v>
      </c>
      <c r="F217" s="132" t="n">
        <f aca="false">Spreads!T56</f>
        <v>0</v>
      </c>
      <c r="G217" s="131" t="n">
        <f aca="false">IF(AND(ISNUMBER(E217),ISNUMBER(F217)),F217-E217,"")</f>
        <v>-703.022339</v>
      </c>
      <c r="H217" s="133" t="n">
        <f aca="false">IF(AND(ISNUMBER(E217),ISNUMBER(F217)),IF(E217=0,"",F217/E217-1),"")</f>
        <v>-1</v>
      </c>
    </row>
    <row r="218" customFormat="false" ht="15" hidden="false" customHeight="false" outlineLevel="0" collapsed="false">
      <c r="A218" s="0" t="s">
        <v>15</v>
      </c>
      <c r="B218" s="0" t="s">
        <v>40</v>
      </c>
      <c r="C218" s="0" t="n">
        <v>58</v>
      </c>
      <c r="D218" s="0" t="s">
        <v>346</v>
      </c>
      <c r="E218" s="131"/>
      <c r="F218" s="132" t="n">
        <f aca="false">Spreads!T58</f>
        <v>2048.048903</v>
      </c>
      <c r="G218" s="131" t="str">
        <f aca="false">IF(AND(ISNUMBER(E218),ISNUMBER(F218)),F218-E218,"")</f>
        <v/>
      </c>
      <c r="H218" s="133" t="str">
        <f aca="false">IF(AND(ISNUMBER(E218),ISNUMBER(F218)),IF(E218=0,"",F218/E218-1),"")</f>
        <v/>
      </c>
    </row>
    <row r="219" customFormat="false" ht="15" hidden="false" customHeight="false" outlineLevel="0" collapsed="false">
      <c r="A219" s="0" t="s">
        <v>15</v>
      </c>
      <c r="B219" s="0" t="s">
        <v>40</v>
      </c>
      <c r="C219" s="0" t="n">
        <v>62</v>
      </c>
      <c r="D219" s="0" t="s">
        <v>347</v>
      </c>
      <c r="E219" s="131" t="n">
        <v>0</v>
      </c>
      <c r="F219" s="132" t="n">
        <f aca="false">Spreads!T62</f>
        <v>2048.048903</v>
      </c>
      <c r="G219" s="131" t="n">
        <f aca="false">IF(AND(ISNUMBER(E219),ISNUMBER(F219)),F219-E219,"")</f>
        <v>2048.048903</v>
      </c>
      <c r="H219" s="133" t="str">
        <f aca="false">IF(AND(ISNUMBER(E219),ISNUMBER(F219)),IF(E219=0,"",F219/E219-1),"")</f>
        <v/>
      </c>
    </row>
    <row r="220" customFormat="false" ht="15" hidden="false" customHeight="false" outlineLevel="0" collapsed="false">
      <c r="A220" s="0" t="s">
        <v>15</v>
      </c>
      <c r="B220" s="0" t="s">
        <v>40</v>
      </c>
      <c r="C220" s="0" t="n">
        <v>70</v>
      </c>
      <c r="D220" s="0" t="s">
        <v>348</v>
      </c>
      <c r="E220" s="131" t="n">
        <v>-4307.77</v>
      </c>
      <c r="F220" s="132" t="n">
        <f aca="false">Spreads!T70</f>
        <v>-2066.295848</v>
      </c>
      <c r="G220" s="131" t="n">
        <f aca="false">IF(AND(ISNUMBER(E220),ISNUMBER(F220)),F220-E220,"")</f>
        <v>2241.474152</v>
      </c>
      <c r="H220" s="133" t="n">
        <f aca="false">IF(AND(ISNUMBER(E220),ISNUMBER(F220)),IF(E220=0,"",F220/E220-1),"")</f>
        <v>-0.5203328292829</v>
      </c>
    </row>
    <row r="221" customFormat="false" ht="15" hidden="false" customHeight="false" outlineLevel="0" collapsed="false">
      <c r="A221" s="0" t="s">
        <v>15</v>
      </c>
      <c r="B221" s="0" t="s">
        <v>40</v>
      </c>
      <c r="C221" s="0" t="n">
        <v>74</v>
      </c>
      <c r="D221" s="0" t="s">
        <v>349</v>
      </c>
      <c r="E221" s="131" t="n">
        <v>-405.87295</v>
      </c>
      <c r="F221" s="132" t="n">
        <f aca="false">Spreads!T74</f>
        <v>-405.87295</v>
      </c>
      <c r="G221" s="131" t="n">
        <f aca="false">IF(AND(ISNUMBER(E221),ISNUMBER(F221)),F221-E221,"")</f>
        <v>0</v>
      </c>
      <c r="H221" s="133" t="n">
        <f aca="false">IF(AND(ISNUMBER(E221),ISNUMBER(F221)),IF(E221=0,"",F221/E221-1),"")</f>
        <v>0</v>
      </c>
    </row>
    <row r="222" customFormat="false" ht="15" hidden="false" customHeight="false" outlineLevel="0" collapsed="false">
      <c r="A222" s="0" t="s">
        <v>15</v>
      </c>
      <c r="B222" s="0" t="s">
        <v>40</v>
      </c>
      <c r="C222" s="0" t="n">
        <v>77</v>
      </c>
      <c r="D222" s="0" t="s">
        <v>350</v>
      </c>
      <c r="E222" s="131" t="n">
        <v>0</v>
      </c>
      <c r="F222" s="132" t="n">
        <f aca="false">Spreads!T77</f>
        <v>0</v>
      </c>
      <c r="G222" s="131" t="n">
        <f aca="false">IF(AND(ISNUMBER(E222),ISNUMBER(F222)),F222-E222,"")</f>
        <v>0</v>
      </c>
      <c r="H222" s="133" t="str">
        <f aca="false">IF(AND(ISNUMBER(E222),ISNUMBER(F222)),IF(E222=0,"",F222/E222-1),"")</f>
        <v/>
      </c>
    </row>
    <row r="223" customFormat="false" ht="15" hidden="false" customHeight="false" outlineLevel="0" collapsed="false">
      <c r="A223" s="0" t="s">
        <v>15</v>
      </c>
      <c r="B223" s="0" t="s">
        <v>40</v>
      </c>
      <c r="C223" s="0" t="n">
        <v>81</v>
      </c>
      <c r="D223" s="0" t="s">
        <v>351</v>
      </c>
      <c r="E223" s="131" t="n">
        <v>629476.69308</v>
      </c>
      <c r="F223" s="132" t="n">
        <f aca="false">Spreads!T81</f>
        <v>629476.69308</v>
      </c>
      <c r="G223" s="131" t="n">
        <f aca="false">IF(AND(ISNUMBER(E223),ISNUMBER(F223)),F223-E223,"")</f>
        <v>0</v>
      </c>
      <c r="H223" s="133" t="n">
        <f aca="false">IF(AND(ISNUMBER(E223),ISNUMBER(F223)),IF(E223=0,"",F223/E223-1),"")</f>
        <v>0</v>
      </c>
    </row>
    <row r="224" customFormat="false" ht="15" hidden="false" customHeight="false" outlineLevel="0" collapsed="false">
      <c r="A224" s="0" t="s">
        <v>15</v>
      </c>
      <c r="B224" s="0" t="s">
        <v>40</v>
      </c>
      <c r="C224" s="0" t="n">
        <v>137</v>
      </c>
      <c r="D224" s="0" t="s">
        <v>352</v>
      </c>
      <c r="E224" s="131" t="n">
        <v>20.876638</v>
      </c>
      <c r="F224" s="132" t="n">
        <f aca="false">Spreads!T137</f>
        <v>20.876638</v>
      </c>
      <c r="G224" s="131" t="n">
        <f aca="false">IF(AND(ISNUMBER(E224),ISNUMBER(F224)),F224-E224,"")</f>
        <v>0</v>
      </c>
      <c r="H224" s="133" t="n">
        <f aca="false">IF(AND(ISNUMBER(E224),ISNUMBER(F224)),IF(E224=0,"",F224/E224-1),"")</f>
        <v>0</v>
      </c>
    </row>
    <row r="225" customFormat="false" ht="15" hidden="false" customHeight="false" outlineLevel="0" collapsed="false">
      <c r="A225" s="0" t="s">
        <v>15</v>
      </c>
      <c r="B225" s="0" t="s">
        <v>40</v>
      </c>
      <c r="C225" s="0" t="n">
        <v>145</v>
      </c>
      <c r="D225" s="0" t="s">
        <v>353</v>
      </c>
      <c r="E225" s="131" t="n">
        <v>20.876638</v>
      </c>
      <c r="F225" s="132" t="n">
        <f aca="false">Spreads!T145</f>
        <v>21.1472160433909</v>
      </c>
      <c r="G225" s="131" t="n">
        <f aca="false">IF(AND(ISNUMBER(E225),ISNUMBER(F225)),F225-E225,"")</f>
        <v>0.27057804339092</v>
      </c>
      <c r="H225" s="133" t="n">
        <f aca="false">IF(AND(ISNUMBER(E225),ISNUMBER(F225)),IF(E225=0,"",F225/E225-1),"")</f>
        <v>0.012960805441514</v>
      </c>
    </row>
    <row r="226" customFormat="false" ht="15" hidden="false" customHeight="false" outlineLevel="0" collapsed="false">
      <c r="A226" s="0" t="s">
        <v>15</v>
      </c>
      <c r="B226" s="0" t="s">
        <v>40</v>
      </c>
      <c r="C226" s="0" t="n">
        <v>50</v>
      </c>
      <c r="D226" s="0" t="s">
        <v>354</v>
      </c>
      <c r="E226" s="131" t="n">
        <v>118.382796237955</v>
      </c>
      <c r="F226" s="132" t="n">
        <f aca="false">Spreads!T50</f>
        <v>86.8301167730809</v>
      </c>
      <c r="G226" s="131" t="n">
        <f aca="false">IF(AND(ISNUMBER(E226),ISNUMBER(F226)),F226-E226,"")</f>
        <v>-31.552679464874</v>
      </c>
      <c r="H226" s="133" t="n">
        <f aca="false">IF(AND(ISNUMBER(E226),ISNUMBER(F226)),IF(E226=0,"",F226/E226-1),"")</f>
        <v>-0.266530952702382</v>
      </c>
    </row>
    <row r="227" customFormat="false" ht="15" hidden="false" customHeight="false" outlineLevel="0" collapsed="false">
      <c r="A227" s="0" t="s">
        <v>15</v>
      </c>
      <c r="B227" s="0" t="s">
        <v>40</v>
      </c>
      <c r="C227" s="0" t="n">
        <v>65</v>
      </c>
      <c r="D227" s="0" t="s">
        <v>355</v>
      </c>
      <c r="E227" s="131" t="n">
        <v>48.2882129829</v>
      </c>
      <c r="F227" s="132" t="n">
        <f aca="false">Spreads!T65</f>
        <v>20.1069999775881</v>
      </c>
      <c r="G227" s="131" t="n">
        <f aca="false">IF(AND(ISNUMBER(E227),ISNUMBER(F227)),F227-E227,"")</f>
        <v>-28.1812130053119</v>
      </c>
      <c r="H227" s="133" t="n">
        <f aca="false">IF(AND(ISNUMBER(E227),ISNUMBER(F227)),IF(E227=0,"",F227/E227-1),"")</f>
        <v>-0.583604388410305</v>
      </c>
    </row>
    <row r="228" customFormat="false" ht="15" hidden="false" customHeight="false" outlineLevel="0" collapsed="false">
      <c r="A228" s="0" t="s">
        <v>15</v>
      </c>
      <c r="B228" s="0" t="s">
        <v>40</v>
      </c>
      <c r="C228" s="0" t="n">
        <v>27</v>
      </c>
      <c r="D228" s="0" t="s">
        <v>356</v>
      </c>
      <c r="E228" s="131" t="n">
        <v>1304.94604367158</v>
      </c>
      <c r="F228" s="132" t="n">
        <f aca="false">Spreads!T27</f>
        <v>1326.14280853301</v>
      </c>
      <c r="G228" s="131" t="n">
        <f aca="false">IF(AND(ISNUMBER(E228),ISNUMBER(F228)),F228-E228,"")</f>
        <v>21.1967648614279</v>
      </c>
      <c r="H228" s="133" t="n">
        <f aca="false">IF(AND(ISNUMBER(E228),ISNUMBER(F228)),IF(E228=0,"",F228/E228-1),"")</f>
        <v>0.0162434032918242</v>
      </c>
    </row>
    <row r="229" customFormat="false" ht="15" hidden="false" customHeight="false" outlineLevel="0" collapsed="false">
      <c r="A229" s="0" t="s">
        <v>15</v>
      </c>
      <c r="B229" s="0" t="s">
        <v>40</v>
      </c>
      <c r="C229" s="0" t="n">
        <v>205</v>
      </c>
      <c r="D229" s="0" t="s">
        <v>357</v>
      </c>
      <c r="E229" s="131" t="n">
        <v>227.0596</v>
      </c>
      <c r="F229" s="132" t="n">
        <f aca="false">Spreads!T205</f>
        <v>233.483721965741</v>
      </c>
      <c r="G229" s="131" t="n">
        <f aca="false">IF(AND(ISNUMBER(E229),ISNUMBER(F229)),F229-E229,"")</f>
        <v>6.42412196574117</v>
      </c>
      <c r="H229" s="133" t="n">
        <f aca="false">IF(AND(ISNUMBER(E229),ISNUMBER(F229)),IF(E229=0,"",F229/E229-1),"")</f>
        <v>0.0282926683819631</v>
      </c>
    </row>
    <row r="230" customFormat="false" ht="15" hidden="false" customHeight="false" outlineLevel="0" collapsed="false">
      <c r="A230" s="0" t="s">
        <v>15</v>
      </c>
      <c r="B230" s="0" t="s">
        <v>40</v>
      </c>
      <c r="C230" s="0" t="n">
        <v>245</v>
      </c>
      <c r="D230" s="0" t="s">
        <v>358</v>
      </c>
      <c r="E230" s="131" t="n">
        <v>37.59113</v>
      </c>
      <c r="F230" s="132" t="n">
        <f aca="false">Spreads!T245</f>
        <v>38.669214847375</v>
      </c>
      <c r="G230" s="131" t="n">
        <f aca="false">IF(AND(ISNUMBER(E230),ISNUMBER(F230)),F230-E230,"")</f>
        <v>1.078084847375</v>
      </c>
      <c r="H230" s="133" t="n">
        <f aca="false">IF(AND(ISNUMBER(E230),ISNUMBER(F230)),IF(E230=0,"",F230/E230-1),"")</f>
        <v>0.0286792348986316</v>
      </c>
    </row>
    <row r="231" customFormat="false" ht="15" hidden="false" customHeight="false" outlineLevel="0" collapsed="false">
      <c r="A231" s="0" t="s">
        <v>15</v>
      </c>
      <c r="B231" s="0" t="s">
        <v>40</v>
      </c>
      <c r="C231" s="0" t="n">
        <v>265</v>
      </c>
      <c r="D231" s="0" t="s">
        <v>359</v>
      </c>
      <c r="E231" s="131" t="n">
        <v>58.123695</v>
      </c>
      <c r="F231" s="132" t="n">
        <f aca="false">Spreads!T265</f>
        <v>59.703703006515</v>
      </c>
      <c r="G231" s="131" t="n">
        <f aca="false">IF(AND(ISNUMBER(E231),ISNUMBER(F231)),F231-E231,"")</f>
        <v>1.58000800651499</v>
      </c>
      <c r="H231" s="133" t="n">
        <f aca="false">IF(AND(ISNUMBER(E231),ISNUMBER(F231)),IF(E231=0,"",F231/E231-1),"")</f>
        <v>0.0271835437598211</v>
      </c>
    </row>
    <row r="232" customFormat="false" ht="15" hidden="false" customHeight="false" outlineLevel="0" collapsed="false">
      <c r="A232" s="0" t="s">
        <v>15</v>
      </c>
      <c r="B232" s="0" t="s">
        <v>40</v>
      </c>
      <c r="C232" s="0" t="n">
        <v>275</v>
      </c>
      <c r="D232" s="0" t="s">
        <v>360</v>
      </c>
      <c r="E232" s="131" t="n">
        <v>58.123695</v>
      </c>
      <c r="F232" s="132" t="n">
        <f aca="false">Spreads!T275</f>
        <v>58.362026504965</v>
      </c>
      <c r="G232" s="131" t="n">
        <f aca="false">IF(AND(ISNUMBER(E232),ISNUMBER(F232)),F232-E232,"")</f>
        <v>0.238331504964997</v>
      </c>
      <c r="H232" s="133" t="n">
        <f aca="false">IF(AND(ISNUMBER(E232),ISNUMBER(F232)),IF(E232=0,"",F232/E232-1),"")</f>
        <v>0.00410041902816039</v>
      </c>
    </row>
    <row r="233" customFormat="false" ht="15" hidden="false" customHeight="false" outlineLevel="0" collapsed="false">
      <c r="A233" s="0" t="s">
        <v>15</v>
      </c>
      <c r="B233" s="0" t="s">
        <v>40</v>
      </c>
      <c r="C233" s="0" t="n">
        <v>285</v>
      </c>
      <c r="D233" s="0" t="s">
        <v>361</v>
      </c>
      <c r="E233" s="131" t="n">
        <v>37.649315</v>
      </c>
      <c r="F233" s="132" t="n">
        <f aca="false">Spreads!T285</f>
        <v>38.7108911884874</v>
      </c>
      <c r="G233" s="131" t="n">
        <f aca="false">IF(AND(ISNUMBER(E233),ISNUMBER(F233)),F233-E233,"")</f>
        <v>1.06157618848736</v>
      </c>
      <c r="H233" s="133" t="n">
        <f aca="false">IF(AND(ISNUMBER(E233),ISNUMBER(F233)),IF(E233=0,"",F233/E233-1),"")</f>
        <v>0.0281964277035947</v>
      </c>
    </row>
    <row r="234" customFormat="false" ht="15" hidden="false" customHeight="false" outlineLevel="0" collapsed="false">
      <c r="A234" s="0" t="s">
        <v>15</v>
      </c>
      <c r="B234" s="0" t="s">
        <v>40</v>
      </c>
      <c r="C234" s="0" t="n">
        <v>295</v>
      </c>
      <c r="D234" s="0" t="s">
        <v>362</v>
      </c>
      <c r="E234" s="131" t="n">
        <v>1.8523463</v>
      </c>
      <c r="F234" s="132" t="n">
        <f aca="false">Spreads!T295</f>
        <v>1.89219072</v>
      </c>
      <c r="G234" s="131" t="n">
        <f aca="false">IF(AND(ISNUMBER(E234),ISNUMBER(F234)),F234-E234,"")</f>
        <v>0.0398444200000001</v>
      </c>
      <c r="H234" s="133" t="n">
        <f aca="false">IF(AND(ISNUMBER(E234),ISNUMBER(F234)),IF(E234=0,"",F234/E234-1),"")</f>
        <v>0.0215102435219592</v>
      </c>
    </row>
    <row r="235" customFormat="false" ht="15" hidden="false" customHeight="false" outlineLevel="0" collapsed="false">
      <c r="A235" s="0" t="s">
        <v>15</v>
      </c>
      <c r="B235" s="0" t="s">
        <v>40</v>
      </c>
      <c r="C235" s="0" t="n">
        <v>339</v>
      </c>
      <c r="D235" s="0" t="s">
        <v>363</v>
      </c>
      <c r="E235" s="131" t="n">
        <v>32.17305</v>
      </c>
      <c r="F235" s="132" t="n">
        <f aca="false">Spreads!T339</f>
        <v>33.2859155867152</v>
      </c>
      <c r="G235" s="131" t="n">
        <f aca="false">IF(AND(ISNUMBER(E235),ISNUMBER(F235)),F235-E235,"")</f>
        <v>1.11286558671519</v>
      </c>
      <c r="H235" s="133" t="n">
        <f aca="false">IF(AND(ISNUMBER(E235),ISNUMBER(F235)),IF(E235=0,"",F235/E235-1),"")</f>
        <v>0.0345899933862408</v>
      </c>
    </row>
    <row r="236" customFormat="false" ht="15" hidden="false" customHeight="false" outlineLevel="0" collapsed="false">
      <c r="A236" s="0" t="s">
        <v>15</v>
      </c>
      <c r="B236" s="0" t="s">
        <v>40</v>
      </c>
      <c r="C236" s="0" t="n">
        <v>327</v>
      </c>
      <c r="D236" s="0" t="s">
        <v>364</v>
      </c>
      <c r="E236" s="131" t="n">
        <v>0</v>
      </c>
      <c r="F236" s="132" t="n">
        <f aca="false">Spreads!T327</f>
        <v>1717.163</v>
      </c>
      <c r="G236" s="131" t="n">
        <f aca="false">IF(AND(ISNUMBER(E236),ISNUMBER(F236)),F236-E236,"")</f>
        <v>1717.163</v>
      </c>
      <c r="H236" s="133" t="str">
        <f aca="false">IF(AND(ISNUMBER(E236),ISNUMBER(F236)),IF(E236=0,"",F236/E236-1),"")</f>
        <v/>
      </c>
    </row>
    <row r="237" customFormat="false" ht="15" hidden="false" customHeight="false" outlineLevel="0" collapsed="false">
      <c r="A237" s="0" t="s">
        <v>15</v>
      </c>
      <c r="B237" s="0" t="s">
        <v>40</v>
      </c>
      <c r="C237" s="0" t="n">
        <v>328</v>
      </c>
      <c r="D237" s="0" t="s">
        <v>365</v>
      </c>
      <c r="E237" s="131" t="n">
        <v>0</v>
      </c>
      <c r="F237" s="132" t="n">
        <f aca="false">Spreads!T328</f>
        <v>123.852</v>
      </c>
      <c r="G237" s="131" t="n">
        <f aca="false">IF(AND(ISNUMBER(E237),ISNUMBER(F237)),F237-E237,"")</f>
        <v>123.852</v>
      </c>
      <c r="H237" s="133" t="str">
        <f aca="false">IF(AND(ISNUMBER(E237),ISNUMBER(F237)),IF(E237=0,"",F237/E237-1),"")</f>
        <v/>
      </c>
    </row>
    <row r="238" customFormat="false" ht="15" hidden="false" customHeight="false" outlineLevel="0" collapsed="false">
      <c r="A238" s="0" t="s">
        <v>16</v>
      </c>
      <c r="B238" s="0" t="s">
        <v>41</v>
      </c>
      <c r="C238" s="0" t="n">
        <v>43</v>
      </c>
      <c r="D238" s="0" t="s">
        <v>340</v>
      </c>
      <c r="E238" s="131" t="n">
        <v>128.072</v>
      </c>
      <c r="F238" s="132" t="n">
        <f aca="false">Spreads!U43</f>
        <v>126.969</v>
      </c>
      <c r="G238" s="131" t="n">
        <f aca="false">IF(AND(ISNUMBER(E238),ISNUMBER(F238)),F238-E238,"")</f>
        <v>-1.10300000000001</v>
      </c>
      <c r="H238" s="133" t="n">
        <f aca="false">IF(AND(ISNUMBER(E238),ISNUMBER(F238)),IF(E238=0,"",F238/E238-1),"")</f>
        <v>-0.00861234305703051</v>
      </c>
    </row>
    <row r="239" customFormat="false" ht="15" hidden="false" customHeight="false" outlineLevel="0" collapsed="false">
      <c r="A239" s="0" t="s">
        <v>16</v>
      </c>
      <c r="B239" s="0" t="s">
        <v>41</v>
      </c>
      <c r="C239" s="0" t="n">
        <v>44</v>
      </c>
      <c r="D239" s="0" t="s">
        <v>341</v>
      </c>
      <c r="E239" s="131"/>
      <c r="F239" s="132" t="n">
        <f aca="false">Spreads!U44</f>
        <v>1.103</v>
      </c>
      <c r="G239" s="131" t="str">
        <f aca="false">IF(AND(ISNUMBER(E239),ISNUMBER(F239)),F239-E239,"")</f>
        <v/>
      </c>
      <c r="H239" s="133" t="str">
        <f aca="false">IF(AND(ISNUMBER(E239),ISNUMBER(F239)),IF(E239=0,"",F239/E239-1),"")</f>
        <v/>
      </c>
    </row>
    <row r="240" customFormat="false" ht="15" hidden="false" customHeight="false" outlineLevel="0" collapsed="false">
      <c r="A240" s="0" t="s">
        <v>16</v>
      </c>
      <c r="B240" s="0" t="s">
        <v>41</v>
      </c>
      <c r="C240" s="0" t="n">
        <v>45</v>
      </c>
      <c r="D240" s="0" t="s">
        <v>342</v>
      </c>
      <c r="E240" s="131"/>
      <c r="F240" s="132" t="n">
        <f aca="false">Spreads!U45</f>
        <v>0</v>
      </c>
      <c r="G240" s="131" t="str">
        <f aca="false">IF(AND(ISNUMBER(E240),ISNUMBER(F240)),F240-E240,"")</f>
        <v/>
      </c>
      <c r="H240" s="133" t="str">
        <f aca="false">IF(AND(ISNUMBER(E240),ISNUMBER(F240)),IF(E240=0,"",F240/E240-1),"")</f>
        <v/>
      </c>
    </row>
    <row r="241" customFormat="false" ht="15" hidden="false" customHeight="false" outlineLevel="0" collapsed="false">
      <c r="A241" s="0" t="s">
        <v>16</v>
      </c>
      <c r="B241" s="0" t="s">
        <v>41</v>
      </c>
      <c r="C241" s="0" t="n">
        <v>46</v>
      </c>
      <c r="D241" s="0" t="s">
        <v>343</v>
      </c>
      <c r="E241" s="131" t="n">
        <v>22.5071605639458</v>
      </c>
      <c r="F241" s="132" t="n">
        <f aca="false">Spreads!U46</f>
        <v>19.252</v>
      </c>
      <c r="G241" s="131" t="n">
        <f aca="false">IF(AND(ISNUMBER(E241),ISNUMBER(F241)),F241-E241,"")</f>
        <v>-3.2551605639458</v>
      </c>
      <c r="H241" s="133" t="n">
        <f aca="false">IF(AND(ISNUMBER(E241),ISNUMBER(F241)),IF(E241=0,"",F241/E241-1),"")</f>
        <v>-0.144627775444951</v>
      </c>
    </row>
    <row r="242" customFormat="false" ht="15" hidden="false" customHeight="false" outlineLevel="0" collapsed="false">
      <c r="A242" s="0" t="s">
        <v>16</v>
      </c>
      <c r="B242" s="0" t="s">
        <v>41</v>
      </c>
      <c r="C242" s="0" t="n">
        <v>55</v>
      </c>
      <c r="D242" s="0" t="s">
        <v>344</v>
      </c>
      <c r="E242" s="131" t="n">
        <v>27.146</v>
      </c>
      <c r="F242" s="132" t="n">
        <f aca="false">Spreads!U55</f>
        <v>27.146</v>
      </c>
      <c r="G242" s="131" t="n">
        <f aca="false">IF(AND(ISNUMBER(E242),ISNUMBER(F242)),F242-E242,"")</f>
        <v>0</v>
      </c>
      <c r="H242" s="133" t="n">
        <f aca="false">IF(AND(ISNUMBER(E242),ISNUMBER(F242)),IF(E242=0,"",F242/E242-1),"")</f>
        <v>0</v>
      </c>
    </row>
    <row r="243" customFormat="false" ht="15" hidden="false" customHeight="false" outlineLevel="0" collapsed="false">
      <c r="A243" s="0" t="s">
        <v>16</v>
      </c>
      <c r="B243" s="0" t="s">
        <v>41</v>
      </c>
      <c r="C243" s="0" t="n">
        <v>56</v>
      </c>
      <c r="D243" s="0" t="s">
        <v>345</v>
      </c>
      <c r="E243" s="131" t="n">
        <v>80.544</v>
      </c>
      <c r="F243" s="132" t="n">
        <f aca="false">Spreads!U56</f>
        <v>80.544</v>
      </c>
      <c r="G243" s="131" t="n">
        <f aca="false">IF(AND(ISNUMBER(E243),ISNUMBER(F243)),F243-E243,"")</f>
        <v>0</v>
      </c>
      <c r="H243" s="133" t="n">
        <f aca="false">IF(AND(ISNUMBER(E243),ISNUMBER(F243)),IF(E243=0,"",F243/E243-1),"")</f>
        <v>0</v>
      </c>
    </row>
    <row r="244" customFormat="false" ht="15" hidden="false" customHeight="false" outlineLevel="0" collapsed="false">
      <c r="A244" s="0" t="s">
        <v>16</v>
      </c>
      <c r="B244" s="0" t="s">
        <v>41</v>
      </c>
      <c r="C244" s="0" t="n">
        <v>58</v>
      </c>
      <c r="D244" s="0" t="s">
        <v>346</v>
      </c>
      <c r="E244" s="131"/>
      <c r="F244" s="132" t="n">
        <f aca="false">Spreads!U58</f>
        <v>0</v>
      </c>
      <c r="G244" s="131" t="str">
        <f aca="false">IF(AND(ISNUMBER(E244),ISNUMBER(F244)),F244-E244,"")</f>
        <v/>
      </c>
      <c r="H244" s="133" t="str">
        <f aca="false">IF(AND(ISNUMBER(E244),ISNUMBER(F244)),IF(E244=0,"",F244/E244-1),"")</f>
        <v/>
      </c>
    </row>
    <row r="245" customFormat="false" ht="15" hidden="false" customHeight="false" outlineLevel="0" collapsed="false">
      <c r="A245" s="0" t="s">
        <v>16</v>
      </c>
      <c r="B245" s="0" t="s">
        <v>41</v>
      </c>
      <c r="C245" s="0" t="n">
        <v>62</v>
      </c>
      <c r="D245" s="0" t="s">
        <v>347</v>
      </c>
      <c r="E245" s="131" t="n">
        <v>0</v>
      </c>
      <c r="F245" s="132" t="n">
        <f aca="false">Spreads!U62</f>
        <v>12.738</v>
      </c>
      <c r="G245" s="131" t="n">
        <f aca="false">IF(AND(ISNUMBER(E245),ISNUMBER(F245)),F245-E245,"")</f>
        <v>12.738</v>
      </c>
      <c r="H245" s="133" t="str">
        <f aca="false">IF(AND(ISNUMBER(E245),ISNUMBER(F245)),IF(E245=0,"",F245/E245-1),"")</f>
        <v/>
      </c>
    </row>
    <row r="246" customFormat="false" ht="15" hidden="false" customHeight="false" outlineLevel="0" collapsed="false">
      <c r="A246" s="0" t="s">
        <v>16</v>
      </c>
      <c r="B246" s="0" t="s">
        <v>41</v>
      </c>
      <c r="C246" s="0" t="n">
        <v>70</v>
      </c>
      <c r="D246" s="0" t="s">
        <v>348</v>
      </c>
      <c r="E246" s="131" t="n">
        <v>0</v>
      </c>
      <c r="F246" s="132" t="n">
        <f aca="false">Spreads!U70</f>
        <v>0</v>
      </c>
      <c r="G246" s="131" t="n">
        <f aca="false">IF(AND(ISNUMBER(E246),ISNUMBER(F246)),F246-E246,"")</f>
        <v>0</v>
      </c>
      <c r="H246" s="133" t="str">
        <f aca="false">IF(AND(ISNUMBER(E246),ISNUMBER(F246)),IF(E246=0,"",F246/E246-1),"")</f>
        <v/>
      </c>
    </row>
    <row r="247" customFormat="false" ht="15" hidden="false" customHeight="false" outlineLevel="0" collapsed="false">
      <c r="A247" s="0" t="s">
        <v>16</v>
      </c>
      <c r="B247" s="0" t="s">
        <v>41</v>
      </c>
      <c r="C247" s="0" t="n">
        <v>74</v>
      </c>
      <c r="D247" s="0" t="s">
        <v>349</v>
      </c>
      <c r="E247" s="131" t="n">
        <v>16.434</v>
      </c>
      <c r="F247" s="132" t="n">
        <f aca="false">Spreads!U74</f>
        <v>16.434</v>
      </c>
      <c r="G247" s="131" t="n">
        <f aca="false">IF(AND(ISNUMBER(E247),ISNUMBER(F247)),F247-E247,"")</f>
        <v>0</v>
      </c>
      <c r="H247" s="133" t="n">
        <f aca="false">IF(AND(ISNUMBER(E247),ISNUMBER(F247)),IF(E247=0,"",F247/E247-1),"")</f>
        <v>0</v>
      </c>
    </row>
    <row r="248" customFormat="false" ht="15" hidden="false" customHeight="false" outlineLevel="0" collapsed="false">
      <c r="A248" s="0" t="s">
        <v>16</v>
      </c>
      <c r="B248" s="0" t="s">
        <v>41</v>
      </c>
      <c r="C248" s="0" t="n">
        <v>77</v>
      </c>
      <c r="D248" s="0" t="s">
        <v>350</v>
      </c>
      <c r="E248" s="131" t="n">
        <v>0</v>
      </c>
      <c r="F248" s="132" t="n">
        <f aca="false">Spreads!U77</f>
        <v>0</v>
      </c>
      <c r="G248" s="131" t="n">
        <f aca="false">IF(AND(ISNUMBER(E248),ISNUMBER(F248)),F248-E248,"")</f>
        <v>0</v>
      </c>
      <c r="H248" s="133" t="str">
        <f aca="false">IF(AND(ISNUMBER(E248),ISNUMBER(F248)),IF(E248=0,"",F248/E248-1),"")</f>
        <v/>
      </c>
    </row>
    <row r="249" customFormat="false" ht="15" hidden="false" customHeight="false" outlineLevel="0" collapsed="false">
      <c r="A249" s="0" t="s">
        <v>16</v>
      </c>
      <c r="B249" s="0" t="s">
        <v>41</v>
      </c>
      <c r="C249" s="0" t="n">
        <v>81</v>
      </c>
      <c r="D249" s="0" t="s">
        <v>351</v>
      </c>
      <c r="E249" s="131" t="n">
        <v>700.619</v>
      </c>
      <c r="F249" s="132" t="n">
        <f aca="false">Spreads!U81</f>
        <v>700.619</v>
      </c>
      <c r="G249" s="131" t="n">
        <f aca="false">IF(AND(ISNUMBER(E249),ISNUMBER(F249)),F249-E249,"")</f>
        <v>0</v>
      </c>
      <c r="H249" s="133" t="n">
        <f aca="false">IF(AND(ISNUMBER(E249),ISNUMBER(F249)),IF(E249=0,"",F249/E249-1),"")</f>
        <v>0</v>
      </c>
    </row>
    <row r="250" customFormat="false" ht="15" hidden="false" customHeight="false" outlineLevel="0" collapsed="false">
      <c r="A250" s="0" t="s">
        <v>16</v>
      </c>
      <c r="B250" s="0" t="s">
        <v>41</v>
      </c>
      <c r="C250" s="0" t="n">
        <v>137</v>
      </c>
      <c r="D250" s="0" t="s">
        <v>352</v>
      </c>
      <c r="E250" s="131" t="n">
        <v>51.235764</v>
      </c>
      <c r="F250" s="132" t="n">
        <f aca="false">Spreads!U137</f>
        <v>51.142998</v>
      </c>
      <c r="G250" s="131" t="n">
        <f aca="false">IF(AND(ISNUMBER(E250),ISNUMBER(F250)),F250-E250,"")</f>
        <v>-0.0927660000000046</v>
      </c>
      <c r="H250" s="133" t="n">
        <f aca="false">IF(AND(ISNUMBER(E250),ISNUMBER(F250)),IF(E250=0,"",F250/E250-1),"")</f>
        <v>-0.00181057122520911</v>
      </c>
    </row>
    <row r="251" customFormat="false" ht="15" hidden="false" customHeight="false" outlineLevel="0" collapsed="false">
      <c r="A251" s="0" t="s">
        <v>16</v>
      </c>
      <c r="B251" s="0" t="s">
        <v>41</v>
      </c>
      <c r="C251" s="0" t="n">
        <v>145</v>
      </c>
      <c r="D251" s="0" t="s">
        <v>353</v>
      </c>
      <c r="E251" s="131" t="n">
        <v>51.235764</v>
      </c>
      <c r="F251" s="132" t="n">
        <f aca="false">Spreads!U145</f>
        <v>51.142998</v>
      </c>
      <c r="G251" s="131" t="n">
        <f aca="false">IF(AND(ISNUMBER(E251),ISNUMBER(F251)),F251-E251,"")</f>
        <v>-0.0927660000000046</v>
      </c>
      <c r="H251" s="133" t="n">
        <f aca="false">IF(AND(ISNUMBER(E251),ISNUMBER(F251)),IF(E251=0,"",F251/E251-1),"")</f>
        <v>-0.00181057122520911</v>
      </c>
    </row>
    <row r="252" customFormat="false" ht="15" hidden="false" customHeight="false" outlineLevel="0" collapsed="false">
      <c r="A252" s="0" t="s">
        <v>16</v>
      </c>
      <c r="B252" s="0" t="s">
        <v>41</v>
      </c>
      <c r="C252" s="0" t="n">
        <v>50</v>
      </c>
      <c r="D252" s="0" t="s">
        <v>354</v>
      </c>
      <c r="E252" s="131" t="n">
        <v>172.157139214843</v>
      </c>
      <c r="F252" s="132" t="n">
        <f aca="false">Spreads!U50</f>
        <v>167.8609656</v>
      </c>
      <c r="G252" s="131" t="n">
        <f aca="false">IF(AND(ISNUMBER(E252),ISNUMBER(F252)),F252-E252,"")</f>
        <v>-4.29617361484318</v>
      </c>
      <c r="H252" s="133" t="n">
        <f aca="false">IF(AND(ISNUMBER(E252),ISNUMBER(F252)),IF(E252=0,"",F252/E252-1),"")</f>
        <v>-0.0249549547258786</v>
      </c>
    </row>
    <row r="253" customFormat="false" ht="15" hidden="false" customHeight="false" outlineLevel="0" collapsed="false">
      <c r="A253" s="0" t="s">
        <v>16</v>
      </c>
      <c r="B253" s="0" t="s">
        <v>41</v>
      </c>
      <c r="C253" s="0" t="n">
        <v>65</v>
      </c>
      <c r="D253" s="0" t="s">
        <v>355</v>
      </c>
      <c r="E253" s="131" t="n">
        <v>123.121966231</v>
      </c>
      <c r="F253" s="132" t="n">
        <f aca="false">Spreads!U65</f>
        <v>108.1883088</v>
      </c>
      <c r="G253" s="131" t="n">
        <f aca="false">IF(AND(ISNUMBER(E253),ISNUMBER(F253)),F253-E253,"")</f>
        <v>-14.933657431</v>
      </c>
      <c r="H253" s="133" t="n">
        <f aca="false">IF(AND(ISNUMBER(E253),ISNUMBER(F253)),IF(E253=0,"",F253/E253-1),"")</f>
        <v>-0.121291576865997</v>
      </c>
    </row>
    <row r="254" customFormat="false" ht="15" hidden="false" customHeight="false" outlineLevel="0" collapsed="false">
      <c r="A254" s="0" t="s">
        <v>16</v>
      </c>
      <c r="B254" s="0" t="s">
        <v>41</v>
      </c>
      <c r="C254" s="0" t="n">
        <v>27</v>
      </c>
      <c r="D254" s="0" t="s">
        <v>356</v>
      </c>
      <c r="E254" s="131" t="n">
        <v>3429.12087278316</v>
      </c>
      <c r="F254" s="132" t="n">
        <f aca="false">Spreads!U27</f>
        <v>3412.1558675628</v>
      </c>
      <c r="G254" s="131" t="n">
        <f aca="false">IF(AND(ISNUMBER(E254),ISNUMBER(F254)),F254-E254,"")</f>
        <v>-16.9650052203569</v>
      </c>
      <c r="H254" s="133" t="n">
        <f aca="false">IF(AND(ISNUMBER(E254),ISNUMBER(F254)),IF(E254=0,"",F254/E254-1),"")</f>
        <v>-0.00494733368981182</v>
      </c>
    </row>
    <row r="255" customFormat="false" ht="15" hidden="false" customHeight="false" outlineLevel="0" collapsed="false">
      <c r="A255" s="0" t="s">
        <v>16</v>
      </c>
      <c r="B255" s="0" t="s">
        <v>41</v>
      </c>
      <c r="C255" s="0" t="n">
        <v>205</v>
      </c>
      <c r="D255" s="0" t="s">
        <v>357</v>
      </c>
      <c r="E255" s="131" t="n">
        <v>877.3234</v>
      </c>
      <c r="F255" s="132" t="n">
        <f aca="false">Spreads!U205</f>
        <v>840.12325487662</v>
      </c>
      <c r="G255" s="131" t="n">
        <f aca="false">IF(AND(ISNUMBER(E255),ISNUMBER(F255)),F255-E255,"")</f>
        <v>-37.20014512338</v>
      </c>
      <c r="H255" s="133" t="n">
        <f aca="false">IF(AND(ISNUMBER(E255),ISNUMBER(F255)),IF(E255=0,"",F255/E255-1),"")</f>
        <v>-0.0424018613015224</v>
      </c>
    </row>
    <row r="256" customFormat="false" ht="15" hidden="false" customHeight="false" outlineLevel="0" collapsed="false">
      <c r="A256" s="0" t="s">
        <v>16</v>
      </c>
      <c r="B256" s="0" t="s">
        <v>41</v>
      </c>
      <c r="C256" s="0" t="n">
        <v>245</v>
      </c>
      <c r="D256" s="0" t="s">
        <v>358</v>
      </c>
      <c r="E256" s="131" t="n">
        <v>219.27185</v>
      </c>
      <c r="F256" s="132" t="n">
        <f aca="false">Spreads!U245</f>
        <v>209.93278768176</v>
      </c>
      <c r="G256" s="131" t="n">
        <f aca="false">IF(AND(ISNUMBER(E256),ISNUMBER(F256)),F256-E256,"")</f>
        <v>-9.33906231824</v>
      </c>
      <c r="H256" s="133" t="n">
        <f aca="false">IF(AND(ISNUMBER(E256),ISNUMBER(F256)),IF(E256=0,"",F256/E256-1),"")</f>
        <v>-0.0425912506244646</v>
      </c>
    </row>
    <row r="257" customFormat="false" ht="15" hidden="false" customHeight="false" outlineLevel="0" collapsed="false">
      <c r="A257" s="0" t="s">
        <v>16</v>
      </c>
      <c r="B257" s="0" t="s">
        <v>41</v>
      </c>
      <c r="C257" s="0" t="n">
        <v>265</v>
      </c>
      <c r="D257" s="0" t="s">
        <v>359</v>
      </c>
      <c r="E257" s="131" t="n">
        <v>254.91238</v>
      </c>
      <c r="F257" s="132" t="n">
        <f aca="false">Spreads!U265</f>
        <v>244.32269456452</v>
      </c>
      <c r="G257" s="131" t="n">
        <f aca="false">IF(AND(ISNUMBER(E257),ISNUMBER(F257)),F257-E257,"")</f>
        <v>-10.58968543548</v>
      </c>
      <c r="H257" s="133" t="n">
        <f aca="false">IF(AND(ISNUMBER(E257),ISNUMBER(F257)),IF(E257=0,"",F257/E257-1),"")</f>
        <v>-0.0415424524908521</v>
      </c>
    </row>
    <row r="258" customFormat="false" ht="15" hidden="false" customHeight="false" outlineLevel="0" collapsed="false">
      <c r="A258" s="0" t="s">
        <v>16</v>
      </c>
      <c r="B258" s="0" t="s">
        <v>41</v>
      </c>
      <c r="C258" s="0" t="n">
        <v>275</v>
      </c>
      <c r="D258" s="0" t="s">
        <v>360</v>
      </c>
      <c r="E258" s="131" t="n">
        <v>247.5994898</v>
      </c>
      <c r="F258" s="132" t="n">
        <f aca="false">Spreads!U275</f>
        <v>236.80248956452</v>
      </c>
      <c r="G258" s="131" t="n">
        <f aca="false">IF(AND(ISNUMBER(E258),ISNUMBER(F258)),F258-E258,"")</f>
        <v>-10.79700023548</v>
      </c>
      <c r="H258" s="133" t="n">
        <f aca="false">IF(AND(ISNUMBER(E258),ISNUMBER(F258)),IF(E258=0,"",F258/E258-1),"")</f>
        <v>-0.0436067143926724</v>
      </c>
    </row>
    <row r="259" customFormat="false" ht="15" hidden="false" customHeight="false" outlineLevel="0" collapsed="false">
      <c r="A259" s="0" t="s">
        <v>16</v>
      </c>
      <c r="B259" s="0" t="s">
        <v>41</v>
      </c>
      <c r="C259" s="0" t="n">
        <v>285</v>
      </c>
      <c r="D259" s="0" t="s">
        <v>361</v>
      </c>
      <c r="E259" s="131" t="n">
        <v>165.60335</v>
      </c>
      <c r="F259" s="132" t="n">
        <f aca="false">Spreads!U285</f>
        <v>158.69709214788</v>
      </c>
      <c r="G259" s="131" t="n">
        <f aca="false">IF(AND(ISNUMBER(E259),ISNUMBER(F259)),F259-E259,"")</f>
        <v>-6.90625785212001</v>
      </c>
      <c r="H259" s="133" t="n">
        <f aca="false">IF(AND(ISNUMBER(E259),ISNUMBER(F259)),IF(E259=0,"",F259/E259-1),"")</f>
        <v>-0.0417036119868348</v>
      </c>
    </row>
    <row r="260" customFormat="false" ht="15" hidden="false" customHeight="false" outlineLevel="0" collapsed="false">
      <c r="A260" s="0" t="s">
        <v>16</v>
      </c>
      <c r="B260" s="0" t="s">
        <v>41</v>
      </c>
      <c r="C260" s="0" t="n">
        <v>295</v>
      </c>
      <c r="D260" s="0" t="s">
        <v>362</v>
      </c>
      <c r="E260" s="131" t="n">
        <v>3.2336106</v>
      </c>
      <c r="F260" s="132" t="n">
        <f aca="false">Spreads!U295</f>
        <v>3.107453635</v>
      </c>
      <c r="G260" s="131" t="n">
        <f aca="false">IF(AND(ISNUMBER(E260),ISNUMBER(F260)),F260-E260,"")</f>
        <v>-0.126156965</v>
      </c>
      <c r="H260" s="133" t="n">
        <f aca="false">IF(AND(ISNUMBER(E260),ISNUMBER(F260)),IF(E260=0,"",F260/E260-1),"")</f>
        <v>-0.0390142724668208</v>
      </c>
    </row>
    <row r="261" customFormat="false" ht="15" hidden="false" customHeight="false" outlineLevel="0" collapsed="false">
      <c r="A261" s="0" t="s">
        <v>16</v>
      </c>
      <c r="B261" s="0" t="s">
        <v>41</v>
      </c>
      <c r="C261" s="0" t="n">
        <v>339</v>
      </c>
      <c r="D261" s="0" t="s">
        <v>363</v>
      </c>
      <c r="E261" s="131" t="n">
        <v>80.01416</v>
      </c>
      <c r="F261" s="132" t="n">
        <f aca="false">Spreads!U339</f>
        <v>76.62754667282</v>
      </c>
      <c r="G261" s="131" t="n">
        <f aca="false">IF(AND(ISNUMBER(E261),ISNUMBER(F261)),F261-E261,"")</f>
        <v>-3.38661332718002</v>
      </c>
      <c r="H261" s="133" t="n">
        <f aca="false">IF(AND(ISNUMBER(E261),ISNUMBER(F261)),IF(E261=0,"",F261/E261-1),"")</f>
        <v>-0.0423251750337692</v>
      </c>
    </row>
    <row r="262" customFormat="false" ht="15" hidden="false" customHeight="false" outlineLevel="0" collapsed="false">
      <c r="A262" s="0" t="s">
        <v>16</v>
      </c>
      <c r="B262" s="0" t="s">
        <v>41</v>
      </c>
      <c r="C262" s="0" t="n">
        <v>327</v>
      </c>
      <c r="D262" s="0" t="s">
        <v>364</v>
      </c>
      <c r="E262" s="131" t="n">
        <v>6.012</v>
      </c>
      <c r="F262" s="132" t="n">
        <f aca="false">Spreads!U327</f>
        <v>6.545</v>
      </c>
      <c r="G262" s="131" t="n">
        <f aca="false">IF(AND(ISNUMBER(E262),ISNUMBER(F262)),F262-E262,"")</f>
        <v>0.533000000000001</v>
      </c>
      <c r="H262" s="133" t="n">
        <f aca="false">IF(AND(ISNUMBER(E262),ISNUMBER(F262)),IF(E262=0,"",F262/E262-1),"")</f>
        <v>0.0886560212907521</v>
      </c>
    </row>
    <row r="263" customFormat="false" ht="15" hidden="false" customHeight="false" outlineLevel="0" collapsed="false">
      <c r="A263" s="0" t="s">
        <v>16</v>
      </c>
      <c r="B263" s="0" t="s">
        <v>41</v>
      </c>
      <c r="C263" s="0" t="n">
        <v>328</v>
      </c>
      <c r="D263" s="0" t="s">
        <v>365</v>
      </c>
      <c r="E263" s="131" t="n">
        <v>0.362</v>
      </c>
      <c r="F263" s="132" t="n">
        <f aca="false">Spreads!U328</f>
        <v>0</v>
      </c>
      <c r="G263" s="131" t="n">
        <f aca="false">IF(AND(ISNUMBER(E263),ISNUMBER(F263)),F263-E263,"")</f>
        <v>-0.362</v>
      </c>
      <c r="H263" s="133" t="n">
        <f aca="false">IF(AND(ISNUMBER(E263),ISNUMBER(F263)),IF(E263=0,"",F263/E263-1),"")</f>
        <v>-1</v>
      </c>
    </row>
    <row r="264" customFormat="false" ht="15" hidden="false" customHeight="false" outlineLevel="0" collapsed="false">
      <c r="A264" s="0" t="s">
        <v>17</v>
      </c>
      <c r="B264" s="0" t="s">
        <v>42</v>
      </c>
      <c r="C264" s="0" t="n">
        <v>43</v>
      </c>
      <c r="D264" s="0" t="s">
        <v>340</v>
      </c>
      <c r="E264" s="131" t="n">
        <v>617.8</v>
      </c>
      <c r="F264" s="132" t="n">
        <f aca="false">Spreads!V43</f>
        <v>617.8</v>
      </c>
      <c r="G264" s="131" t="n">
        <f aca="false">IF(AND(ISNUMBER(E264),ISNUMBER(F264)),F264-E264,"")</f>
        <v>0</v>
      </c>
      <c r="H264" s="133" t="n">
        <f aca="false">IF(AND(ISNUMBER(E264),ISNUMBER(F264)),IF(E264=0,"",F264/E264-1),"")</f>
        <v>0</v>
      </c>
    </row>
    <row r="265" customFormat="false" ht="15" hidden="false" customHeight="false" outlineLevel="0" collapsed="false">
      <c r="A265" s="0" t="s">
        <v>17</v>
      </c>
      <c r="B265" s="0" t="s">
        <v>42</v>
      </c>
      <c r="C265" s="0" t="n">
        <v>44</v>
      </c>
      <c r="D265" s="0" t="s">
        <v>341</v>
      </c>
      <c r="E265" s="131"/>
      <c r="F265" s="132" t="n">
        <f aca="false">Spreads!V44</f>
        <v>0</v>
      </c>
      <c r="G265" s="131" t="str">
        <f aca="false">IF(AND(ISNUMBER(E265),ISNUMBER(F265)),F265-E265,"")</f>
        <v/>
      </c>
      <c r="H265" s="133" t="str">
        <f aca="false">IF(AND(ISNUMBER(E265),ISNUMBER(F265)),IF(E265=0,"",F265/E265-1),"")</f>
        <v/>
      </c>
    </row>
    <row r="266" customFormat="false" ht="15" hidden="false" customHeight="false" outlineLevel="0" collapsed="false">
      <c r="A266" s="0" t="s">
        <v>17</v>
      </c>
      <c r="B266" s="0" t="s">
        <v>42</v>
      </c>
      <c r="C266" s="0" t="n">
        <v>45</v>
      </c>
      <c r="D266" s="0" t="s">
        <v>342</v>
      </c>
      <c r="E266" s="131"/>
      <c r="F266" s="132" t="n">
        <f aca="false">Spreads!V45</f>
        <v>0</v>
      </c>
      <c r="G266" s="131" t="str">
        <f aca="false">IF(AND(ISNUMBER(E266),ISNUMBER(F266)),F266-E266,"")</f>
        <v/>
      </c>
      <c r="H266" s="133" t="str">
        <f aca="false">IF(AND(ISNUMBER(E266),ISNUMBER(F266)),IF(E266=0,"",F266/E266-1),"")</f>
        <v/>
      </c>
    </row>
    <row r="267" customFormat="false" ht="15" hidden="false" customHeight="false" outlineLevel="0" collapsed="false">
      <c r="A267" s="0" t="s">
        <v>17</v>
      </c>
      <c r="B267" s="0" t="s">
        <v>42</v>
      </c>
      <c r="C267" s="0" t="n">
        <v>46</v>
      </c>
      <c r="D267" s="0" t="s">
        <v>343</v>
      </c>
      <c r="E267" s="131" t="n">
        <v>6.40247964859009</v>
      </c>
      <c r="F267" s="132" t="n">
        <f aca="false">Spreads!V46</f>
        <v>5.6</v>
      </c>
      <c r="G267" s="131" t="n">
        <f aca="false">IF(AND(ISNUMBER(E267),ISNUMBER(F267)),F267-E267,"")</f>
        <v>-0.80247964859009</v>
      </c>
      <c r="H267" s="133" t="n">
        <f aca="false">IF(AND(ISNUMBER(E267),ISNUMBER(F267)),IF(E267=0,"",F267/E267-1),"")</f>
        <v>-0.12533888315706</v>
      </c>
    </row>
    <row r="268" customFormat="false" ht="15" hidden="false" customHeight="false" outlineLevel="0" collapsed="false">
      <c r="A268" s="0" t="s">
        <v>17</v>
      </c>
      <c r="B268" s="0" t="s">
        <v>42</v>
      </c>
      <c r="C268" s="0" t="n">
        <v>55</v>
      </c>
      <c r="D268" s="0" t="s">
        <v>344</v>
      </c>
      <c r="E268" s="131" t="n">
        <v>771.6</v>
      </c>
      <c r="F268" s="132" t="n">
        <f aca="false">Spreads!V55</f>
        <v>771.6</v>
      </c>
      <c r="G268" s="131" t="n">
        <f aca="false">IF(AND(ISNUMBER(E268),ISNUMBER(F268)),F268-E268,"")</f>
        <v>0</v>
      </c>
      <c r="H268" s="133" t="n">
        <f aca="false">IF(AND(ISNUMBER(E268),ISNUMBER(F268)),IF(E268=0,"",F268/E268-1),"")</f>
        <v>0</v>
      </c>
    </row>
    <row r="269" customFormat="false" ht="15" hidden="false" customHeight="false" outlineLevel="0" collapsed="false">
      <c r="A269" s="0" t="s">
        <v>17</v>
      </c>
      <c r="B269" s="0" t="s">
        <v>42</v>
      </c>
      <c r="C269" s="0" t="n">
        <v>56</v>
      </c>
      <c r="D269" s="0" t="s">
        <v>345</v>
      </c>
      <c r="E269" s="131" t="n">
        <v>4700</v>
      </c>
      <c r="F269" s="132" t="n">
        <f aca="false">Spreads!V56</f>
        <v>3700</v>
      </c>
      <c r="G269" s="131" t="n">
        <f aca="false">IF(AND(ISNUMBER(E269),ISNUMBER(F269)),F269-E269,"")</f>
        <v>-1000</v>
      </c>
      <c r="H269" s="133" t="n">
        <f aca="false">IF(AND(ISNUMBER(E269),ISNUMBER(F269)),IF(E269=0,"",F269/E269-1),"")</f>
        <v>-0.212765957446808</v>
      </c>
    </row>
    <row r="270" customFormat="false" ht="15" hidden="false" customHeight="false" outlineLevel="0" collapsed="false">
      <c r="A270" s="0" t="s">
        <v>17</v>
      </c>
      <c r="B270" s="0" t="s">
        <v>42</v>
      </c>
      <c r="C270" s="0" t="n">
        <v>58</v>
      </c>
      <c r="D270" s="0" t="s">
        <v>346</v>
      </c>
      <c r="E270" s="131"/>
      <c r="F270" s="132" t="n">
        <f aca="false">Spreads!V58</f>
        <v>0</v>
      </c>
      <c r="G270" s="131" t="str">
        <f aca="false">IF(AND(ISNUMBER(E270),ISNUMBER(F270)),F270-E270,"")</f>
        <v/>
      </c>
      <c r="H270" s="133" t="str">
        <f aca="false">IF(AND(ISNUMBER(E270),ISNUMBER(F270)),IF(E270=0,"",F270/E270-1),"")</f>
        <v/>
      </c>
    </row>
    <row r="271" customFormat="false" ht="15" hidden="false" customHeight="false" outlineLevel="0" collapsed="false">
      <c r="A271" s="0" t="s">
        <v>17</v>
      </c>
      <c r="B271" s="0" t="s">
        <v>42</v>
      </c>
      <c r="C271" s="0" t="n">
        <v>62</v>
      </c>
      <c r="D271" s="0" t="s">
        <v>347</v>
      </c>
      <c r="E271" s="131" t="n">
        <v>0</v>
      </c>
      <c r="F271" s="132" t="n">
        <f aca="false">Spreads!V62</f>
        <v>408.8</v>
      </c>
      <c r="G271" s="131" t="n">
        <f aca="false">IF(AND(ISNUMBER(E271),ISNUMBER(F271)),F271-E271,"")</f>
        <v>408.8</v>
      </c>
      <c r="H271" s="133" t="str">
        <f aca="false">IF(AND(ISNUMBER(E271),ISNUMBER(F271)),IF(E271=0,"",F271/E271-1),"")</f>
        <v/>
      </c>
    </row>
    <row r="272" customFormat="false" ht="15" hidden="false" customHeight="false" outlineLevel="0" collapsed="false">
      <c r="A272" s="0" t="s">
        <v>17</v>
      </c>
      <c r="B272" s="0" t="s">
        <v>42</v>
      </c>
      <c r="C272" s="0" t="n">
        <v>70</v>
      </c>
      <c r="D272" s="0" t="s">
        <v>348</v>
      </c>
      <c r="E272" s="131" t="n">
        <v>64.2</v>
      </c>
      <c r="F272" s="132" t="n">
        <f aca="false">Spreads!V70</f>
        <v>64.4</v>
      </c>
      <c r="G272" s="131" t="n">
        <f aca="false">IF(AND(ISNUMBER(E272),ISNUMBER(F272)),F272-E272,"")</f>
        <v>0.200000000000003</v>
      </c>
      <c r="H272" s="133" t="n">
        <f aca="false">IF(AND(ISNUMBER(E272),ISNUMBER(F272)),IF(E272=0,"",F272/E272-1),"")</f>
        <v>0.0031152647975079</v>
      </c>
    </row>
    <row r="273" customFormat="false" ht="15" hidden="false" customHeight="false" outlineLevel="0" collapsed="false">
      <c r="A273" s="0" t="s">
        <v>17</v>
      </c>
      <c r="B273" s="0" t="s">
        <v>42</v>
      </c>
      <c r="C273" s="0" t="n">
        <v>74</v>
      </c>
      <c r="D273" s="0" t="s">
        <v>349</v>
      </c>
      <c r="E273" s="131" t="n">
        <v>31.8</v>
      </c>
      <c r="F273" s="132" t="n">
        <f aca="false">Spreads!V74</f>
        <v>31.8</v>
      </c>
      <c r="G273" s="131" t="n">
        <f aca="false">IF(AND(ISNUMBER(E273),ISNUMBER(F273)),F273-E273,"")</f>
        <v>0</v>
      </c>
      <c r="H273" s="133" t="n">
        <f aca="false">IF(AND(ISNUMBER(E273),ISNUMBER(F273)),IF(E273=0,"",F273/E273-1),"")</f>
        <v>0</v>
      </c>
    </row>
    <row r="274" customFormat="false" ht="15" hidden="false" customHeight="false" outlineLevel="0" collapsed="false">
      <c r="A274" s="0" t="s">
        <v>17</v>
      </c>
      <c r="B274" s="0" t="s">
        <v>42</v>
      </c>
      <c r="C274" s="0" t="n">
        <v>77</v>
      </c>
      <c r="D274" s="0" t="s">
        <v>350</v>
      </c>
      <c r="E274" s="131" t="n">
        <v>0</v>
      </c>
      <c r="F274" s="132" t="n">
        <f aca="false">Spreads!V77</f>
        <v>1000</v>
      </c>
      <c r="G274" s="131" t="n">
        <f aca="false">IF(AND(ISNUMBER(E274),ISNUMBER(F274)),F274-E274,"")</f>
        <v>1000</v>
      </c>
      <c r="H274" s="133" t="str">
        <f aca="false">IF(AND(ISNUMBER(E274),ISNUMBER(F274)),IF(E274=0,"",F274/E274-1),"")</f>
        <v/>
      </c>
    </row>
    <row r="275" customFormat="false" ht="15" hidden="false" customHeight="false" outlineLevel="0" collapsed="false">
      <c r="A275" s="0" t="s">
        <v>17</v>
      </c>
      <c r="B275" s="0" t="s">
        <v>42</v>
      </c>
      <c r="C275" s="0" t="n">
        <v>81</v>
      </c>
      <c r="D275" s="0" t="s">
        <v>351</v>
      </c>
      <c r="E275" s="131" t="n">
        <v>3620.2</v>
      </c>
      <c r="F275" s="132" t="n">
        <f aca="false">Spreads!V81</f>
        <v>3620.2</v>
      </c>
      <c r="G275" s="131" t="n">
        <f aca="false">IF(AND(ISNUMBER(E275),ISNUMBER(F275)),F275-E275,"")</f>
        <v>0</v>
      </c>
      <c r="H275" s="133" t="n">
        <f aca="false">IF(AND(ISNUMBER(E275),ISNUMBER(F275)),IF(E275=0,"",F275/E275-1),"")</f>
        <v>0</v>
      </c>
    </row>
    <row r="276" customFormat="false" ht="15" hidden="false" customHeight="false" outlineLevel="0" collapsed="false">
      <c r="A276" s="0" t="s">
        <v>17</v>
      </c>
      <c r="B276" s="0" t="s">
        <v>42</v>
      </c>
      <c r="C276" s="0" t="n">
        <v>137</v>
      </c>
      <c r="D276" s="0" t="s">
        <v>352</v>
      </c>
      <c r="E276" s="131" t="n">
        <v>176</v>
      </c>
      <c r="F276" s="132" t="n">
        <f aca="false">Spreads!V137</f>
        <v>173.599468</v>
      </c>
      <c r="G276" s="131" t="n">
        <f aca="false">IF(AND(ISNUMBER(E276),ISNUMBER(F276)),F276-E276,"")</f>
        <v>-2.400532</v>
      </c>
      <c r="H276" s="133" t="n">
        <f aca="false">IF(AND(ISNUMBER(E276),ISNUMBER(F276)),IF(E276=0,"",F276/E276-1),"")</f>
        <v>-0.0136393863636364</v>
      </c>
    </row>
    <row r="277" customFormat="false" ht="15" hidden="false" customHeight="false" outlineLevel="0" collapsed="false">
      <c r="A277" s="0" t="s">
        <v>17</v>
      </c>
      <c r="B277" s="0" t="s">
        <v>42</v>
      </c>
      <c r="C277" s="0" t="n">
        <v>145</v>
      </c>
      <c r="D277" s="0" t="s">
        <v>353</v>
      </c>
      <c r="E277" s="131" t="n">
        <v>176</v>
      </c>
      <c r="F277" s="132" t="n">
        <f aca="false">Spreads!V145</f>
        <v>176.223330604535</v>
      </c>
      <c r="G277" s="131" t="n">
        <f aca="false">IF(AND(ISNUMBER(E277),ISNUMBER(F277)),F277-E277,"")</f>
        <v>0.223330604534965</v>
      </c>
      <c r="H277" s="133" t="n">
        <f aca="false">IF(AND(ISNUMBER(E277),ISNUMBER(F277)),IF(E277=0,"",F277/E277-1),"")</f>
        <v>0.00126892388940325</v>
      </c>
    </row>
    <row r="278" customFormat="false" ht="15" hidden="false" customHeight="false" outlineLevel="0" collapsed="false">
      <c r="A278" s="0" t="s">
        <v>17</v>
      </c>
      <c r="B278" s="0" t="s">
        <v>42</v>
      </c>
      <c r="C278" s="0" t="n">
        <v>50</v>
      </c>
      <c r="D278" s="0" t="s">
        <v>354</v>
      </c>
      <c r="E278" s="131" t="n">
        <v>709.000448929099</v>
      </c>
      <c r="F278" s="132" t="n">
        <f aca="false">Spreads!V50</f>
        <v>710.30196</v>
      </c>
      <c r="G278" s="131" t="n">
        <f aca="false">IF(AND(ISNUMBER(E278),ISNUMBER(F278)),F278-E278,"")</f>
        <v>1.30151107090103</v>
      </c>
      <c r="H278" s="133" t="n">
        <f aca="false">IF(AND(ISNUMBER(E278),ISNUMBER(F278)),IF(E278=0,"",F278/E278-1),"")</f>
        <v>0.00183569851453114</v>
      </c>
    </row>
    <row r="279" customFormat="false" ht="15" hidden="false" customHeight="false" outlineLevel="0" collapsed="false">
      <c r="A279" s="0" t="s">
        <v>17</v>
      </c>
      <c r="B279" s="0" t="s">
        <v>42</v>
      </c>
      <c r="C279" s="0" t="n">
        <v>65</v>
      </c>
      <c r="D279" s="0" t="s">
        <v>355</v>
      </c>
      <c r="E279" s="131" t="n">
        <v>6277.97434823413</v>
      </c>
      <c r="F279" s="132" t="n">
        <f aca="false">Spreads!V65</f>
        <v>4692.80369264102</v>
      </c>
      <c r="G279" s="131" t="n">
        <f aca="false">IF(AND(ISNUMBER(E279),ISNUMBER(F279)),F279-E279,"")</f>
        <v>-1585.17065559311</v>
      </c>
      <c r="H279" s="133" t="n">
        <f aca="false">IF(AND(ISNUMBER(E279),ISNUMBER(F279)),IF(E279=0,"",F279/E279-1),"")</f>
        <v>-0.252497153964796</v>
      </c>
    </row>
    <row r="280" customFormat="false" ht="15" hidden="false" customHeight="false" outlineLevel="0" collapsed="false">
      <c r="A280" s="0" t="s">
        <v>17</v>
      </c>
      <c r="B280" s="0" t="s">
        <v>42</v>
      </c>
      <c r="C280" s="0" t="n">
        <v>27</v>
      </c>
      <c r="D280" s="0" t="s">
        <v>356</v>
      </c>
      <c r="E280" s="131" t="n">
        <v>21367.343292485</v>
      </c>
      <c r="F280" s="132" t="n">
        <f aca="false">Spreads!V27</f>
        <v>20940.3851074047</v>
      </c>
      <c r="G280" s="131" t="n">
        <f aca="false">IF(AND(ISNUMBER(E280),ISNUMBER(F280)),F280-E280,"")</f>
        <v>-426.958185080377</v>
      </c>
      <c r="H280" s="133" t="n">
        <f aca="false">IF(AND(ISNUMBER(E280),ISNUMBER(F280)),IF(E280=0,"",F280/E280-1),"")</f>
        <v>-0.0199818095883983</v>
      </c>
    </row>
    <row r="281" customFormat="false" ht="15" hidden="false" customHeight="false" outlineLevel="0" collapsed="false">
      <c r="A281" s="0" t="s">
        <v>17</v>
      </c>
      <c r="B281" s="0" t="s">
        <v>42</v>
      </c>
      <c r="C281" s="0" t="n">
        <v>205</v>
      </c>
      <c r="D281" s="0" t="s">
        <v>357</v>
      </c>
      <c r="E281" s="131" t="n">
        <v>8703.764</v>
      </c>
      <c r="F281" s="132" t="n">
        <f aca="false">Spreads!V205</f>
        <v>8244.469987754</v>
      </c>
      <c r="G281" s="131" t="n">
        <f aca="false">IF(AND(ISNUMBER(E281),ISNUMBER(F281)),F281-E281,"")</f>
        <v>-459.294012245999</v>
      </c>
      <c r="H281" s="133" t="n">
        <f aca="false">IF(AND(ISNUMBER(E281),ISNUMBER(F281)),IF(E281=0,"",F281/E281-1),"")</f>
        <v>-0.0527695847734381</v>
      </c>
    </row>
    <row r="282" customFormat="false" ht="15" hidden="false" customHeight="false" outlineLevel="0" collapsed="false">
      <c r="A282" s="0" t="s">
        <v>17</v>
      </c>
      <c r="B282" s="0" t="s">
        <v>42</v>
      </c>
      <c r="C282" s="0" t="n">
        <v>245</v>
      </c>
      <c r="D282" s="0" t="s">
        <v>358</v>
      </c>
      <c r="E282" s="131" t="n">
        <v>1287.1819</v>
      </c>
      <c r="F282" s="132" t="n">
        <f aca="false">Spreads!V245</f>
        <v>886.47177333</v>
      </c>
      <c r="G282" s="131" t="n">
        <f aca="false">IF(AND(ISNUMBER(E282),ISNUMBER(F282)),F282-E282,"")</f>
        <v>-400.71012667</v>
      </c>
      <c r="H282" s="133" t="n">
        <f aca="false">IF(AND(ISNUMBER(E282),ISNUMBER(F282)),IF(E282=0,"",F282/E282-1),"")</f>
        <v>-0.311308080598399</v>
      </c>
    </row>
    <row r="283" customFormat="false" ht="15" hidden="false" customHeight="false" outlineLevel="0" collapsed="false">
      <c r="A283" s="0" t="s">
        <v>17</v>
      </c>
      <c r="B283" s="0" t="s">
        <v>42</v>
      </c>
      <c r="C283" s="0" t="n">
        <v>265</v>
      </c>
      <c r="D283" s="0" t="s">
        <v>359</v>
      </c>
      <c r="E283" s="131" t="n">
        <v>1957.631</v>
      </c>
      <c r="F283" s="132" t="n">
        <f aca="false">Spreads!V265</f>
        <v>1763.90368154</v>
      </c>
      <c r="G283" s="131" t="n">
        <f aca="false">IF(AND(ISNUMBER(E283),ISNUMBER(F283)),F283-E283,"")</f>
        <v>-193.72731846</v>
      </c>
      <c r="H283" s="133" t="n">
        <f aca="false">IF(AND(ISNUMBER(E283),ISNUMBER(F283)),IF(E283=0,"",F283/E283-1),"")</f>
        <v>-0.0989600790240858</v>
      </c>
    </row>
    <row r="284" customFormat="false" ht="15" hidden="false" customHeight="false" outlineLevel="0" collapsed="false">
      <c r="A284" s="0" t="s">
        <v>17</v>
      </c>
      <c r="B284" s="0" t="s">
        <v>42</v>
      </c>
      <c r="C284" s="0" t="n">
        <v>275</v>
      </c>
      <c r="D284" s="0" t="s">
        <v>360</v>
      </c>
      <c r="E284" s="131" t="n">
        <v>1762.27163433763</v>
      </c>
      <c r="F284" s="132" t="n">
        <f aca="false">Spreads!V275</f>
        <v>1552.71748154</v>
      </c>
      <c r="G284" s="131" t="n">
        <f aca="false">IF(AND(ISNUMBER(E284),ISNUMBER(F284)),F284-E284,"")</f>
        <v>-209.554152797632</v>
      </c>
      <c r="H284" s="133" t="n">
        <f aca="false">IF(AND(ISNUMBER(E284),ISNUMBER(F284)),IF(E284=0,"",F284/E284-1),"")</f>
        <v>-0.118911380467402</v>
      </c>
    </row>
    <row r="285" customFormat="false" ht="15" hidden="false" customHeight="false" outlineLevel="0" collapsed="false">
      <c r="A285" s="0" t="s">
        <v>17</v>
      </c>
      <c r="B285" s="0" t="s">
        <v>42</v>
      </c>
      <c r="C285" s="0" t="n">
        <v>285</v>
      </c>
      <c r="D285" s="0" t="s">
        <v>361</v>
      </c>
      <c r="E285" s="131" t="n">
        <v>564.2653</v>
      </c>
      <c r="F285" s="132" t="n">
        <f aca="false">Spreads!V285</f>
        <v>470.185984554</v>
      </c>
      <c r="G285" s="131" t="n">
        <f aca="false">IF(AND(ISNUMBER(E285),ISNUMBER(F285)),F285-E285,"")</f>
        <v>-94.079315446</v>
      </c>
      <c r="H285" s="133" t="n">
        <f aca="false">IF(AND(ISNUMBER(E285),ISNUMBER(F285)),IF(E285=0,"",F285/E285-1),"")</f>
        <v>-0.166728869285423</v>
      </c>
    </row>
    <row r="286" customFormat="false" ht="15" hidden="false" customHeight="false" outlineLevel="0" collapsed="false">
      <c r="A286" s="0" t="s">
        <v>17</v>
      </c>
      <c r="B286" s="0" t="s">
        <v>42</v>
      </c>
      <c r="C286" s="0" t="n">
        <v>295</v>
      </c>
      <c r="D286" s="0" t="s">
        <v>362</v>
      </c>
      <c r="E286" s="131" t="n">
        <v>4.437774</v>
      </c>
      <c r="F286" s="132" t="n">
        <f aca="false">Spreads!V295</f>
        <v>2.5198624022</v>
      </c>
      <c r="G286" s="131" t="n">
        <f aca="false">IF(AND(ISNUMBER(E286),ISNUMBER(F286)),F286-E286,"")</f>
        <v>-1.9179115978</v>
      </c>
      <c r="H286" s="133" t="n">
        <f aca="false">IF(AND(ISNUMBER(E286),ISNUMBER(F286)),IF(E286=0,"",F286/E286-1),"")</f>
        <v>-0.432178744974395</v>
      </c>
    </row>
    <row r="287" customFormat="false" ht="15" hidden="false" customHeight="false" outlineLevel="0" collapsed="false">
      <c r="A287" s="0" t="s">
        <v>17</v>
      </c>
      <c r="B287" s="0" t="s">
        <v>42</v>
      </c>
      <c r="C287" s="0" t="n">
        <v>339</v>
      </c>
      <c r="D287" s="0" t="s">
        <v>363</v>
      </c>
      <c r="E287" s="131" t="n">
        <v>622.7199</v>
      </c>
      <c r="F287" s="132" t="n">
        <f aca="false">Spreads!V339</f>
        <v>606.348952924</v>
      </c>
      <c r="G287" s="131" t="n">
        <f aca="false">IF(AND(ISNUMBER(E287),ISNUMBER(F287)),F287-E287,"")</f>
        <v>-16.370947076</v>
      </c>
      <c r="H287" s="133" t="n">
        <f aca="false">IF(AND(ISNUMBER(E287),ISNUMBER(F287)),IF(E287=0,"",F287/E287-1),"")</f>
        <v>-0.0262894233442677</v>
      </c>
    </row>
    <row r="288" customFormat="false" ht="15" hidden="false" customHeight="false" outlineLevel="0" collapsed="false">
      <c r="A288" s="0" t="s">
        <v>17</v>
      </c>
      <c r="B288" s="0" t="s">
        <v>42</v>
      </c>
      <c r="C288" s="0" t="n">
        <v>327</v>
      </c>
      <c r="D288" s="0" t="s">
        <v>364</v>
      </c>
      <c r="E288" s="131" t="n">
        <v>147.984642438453</v>
      </c>
      <c r="F288" s="132" t="n">
        <f aca="false">Spreads!V327</f>
        <v>163.3</v>
      </c>
      <c r="G288" s="131" t="n">
        <f aca="false">IF(AND(ISNUMBER(E288),ISNUMBER(F288)),F288-E288,"")</f>
        <v>15.3153575615475</v>
      </c>
      <c r="H288" s="133" t="n">
        <f aca="false">IF(AND(ISNUMBER(E288),ISNUMBER(F288)),IF(E288=0,"",F288/E288-1),"")</f>
        <v>0.103492884864166</v>
      </c>
    </row>
    <row r="289" customFormat="false" ht="15" hidden="false" customHeight="false" outlineLevel="0" collapsed="false">
      <c r="A289" s="0" t="s">
        <v>17</v>
      </c>
      <c r="B289" s="0" t="s">
        <v>42</v>
      </c>
      <c r="C289" s="0" t="n">
        <v>328</v>
      </c>
      <c r="D289" s="0" t="s">
        <v>365</v>
      </c>
      <c r="E289" s="131" t="n">
        <v>22.2928487690504</v>
      </c>
      <c r="F289" s="132" t="n">
        <f aca="false">Spreads!V328</f>
        <v>20.5</v>
      </c>
      <c r="G289" s="131" t="n">
        <f aca="false">IF(AND(ISNUMBER(E289),ISNUMBER(F289)),F289-E289,"")</f>
        <v>-1.79284876905041</v>
      </c>
      <c r="H289" s="133" t="n">
        <f aca="false">IF(AND(ISNUMBER(E289),ISNUMBER(F289)),IF(E289=0,"",F289/E289-1),"")</f>
        <v>-0.0804225959465286</v>
      </c>
    </row>
    <row r="290" customFormat="false" ht="15" hidden="false" customHeight="false" outlineLevel="0" collapsed="false">
      <c r="A290" s="0" t="s">
        <v>18</v>
      </c>
      <c r="B290" s="0" t="s">
        <v>43</v>
      </c>
      <c r="C290" s="0" t="n">
        <v>43</v>
      </c>
      <c r="D290" s="0" t="s">
        <v>340</v>
      </c>
      <c r="E290" s="131" t="n">
        <v>1300</v>
      </c>
      <c r="F290" s="132" t="n">
        <f aca="false">Spreads!W43</f>
        <v>1300</v>
      </c>
      <c r="G290" s="131" t="n">
        <f aca="false">IF(AND(ISNUMBER(E290),ISNUMBER(F290)),F290-E290,"")</f>
        <v>0</v>
      </c>
      <c r="H290" s="133" t="n">
        <f aca="false">IF(AND(ISNUMBER(E290),ISNUMBER(F290)),IF(E290=0,"",F290/E290-1),"")</f>
        <v>0</v>
      </c>
    </row>
    <row r="291" customFormat="false" ht="15" hidden="false" customHeight="false" outlineLevel="0" collapsed="false">
      <c r="A291" s="0" t="s">
        <v>18</v>
      </c>
      <c r="B291" s="0" t="s">
        <v>43</v>
      </c>
      <c r="C291" s="0" t="n">
        <v>44</v>
      </c>
      <c r="D291" s="0" t="s">
        <v>341</v>
      </c>
      <c r="E291" s="131"/>
      <c r="F291" s="132" t="n">
        <f aca="false">Spreads!W44</f>
        <v>0</v>
      </c>
      <c r="G291" s="131" t="str">
        <f aca="false">IF(AND(ISNUMBER(E291),ISNUMBER(F291)),F291-E291,"")</f>
        <v/>
      </c>
      <c r="H291" s="133" t="str">
        <f aca="false">IF(AND(ISNUMBER(E291),ISNUMBER(F291)),IF(E291=0,"",F291/E291-1),"")</f>
        <v/>
      </c>
    </row>
    <row r="292" customFormat="false" ht="15" hidden="false" customHeight="false" outlineLevel="0" collapsed="false">
      <c r="A292" s="0" t="s">
        <v>18</v>
      </c>
      <c r="B292" s="0" t="s">
        <v>43</v>
      </c>
      <c r="C292" s="0" t="n">
        <v>45</v>
      </c>
      <c r="D292" s="0" t="s">
        <v>342</v>
      </c>
      <c r="E292" s="131"/>
      <c r="F292" s="132" t="n">
        <f aca="false">Spreads!W45</f>
        <v>0</v>
      </c>
      <c r="G292" s="131" t="str">
        <f aca="false">IF(AND(ISNUMBER(E292),ISNUMBER(F292)),F292-E292,"")</f>
        <v/>
      </c>
      <c r="H292" s="133" t="str">
        <f aca="false">IF(AND(ISNUMBER(E292),ISNUMBER(F292)),IF(E292=0,"",F292/E292-1),"")</f>
        <v/>
      </c>
    </row>
    <row r="293" customFormat="false" ht="15" hidden="false" customHeight="false" outlineLevel="0" collapsed="false">
      <c r="A293" s="0" t="s">
        <v>18</v>
      </c>
      <c r="B293" s="0" t="s">
        <v>43</v>
      </c>
      <c r="C293" s="0" t="n">
        <v>46</v>
      </c>
      <c r="D293" s="0" t="s">
        <v>343</v>
      </c>
      <c r="E293" s="131" t="n">
        <v>7.43817043304443</v>
      </c>
      <c r="F293" s="132" t="n">
        <f aca="false">Spreads!W46</f>
        <v>6</v>
      </c>
      <c r="G293" s="131" t="n">
        <f aca="false">IF(AND(ISNUMBER(E293),ISNUMBER(F293)),F293-E293,"")</f>
        <v>-1.43817043304443</v>
      </c>
      <c r="H293" s="133" t="n">
        <f aca="false">IF(AND(ISNUMBER(E293),ISNUMBER(F293)),IF(E293=0,"",F293/E293-1),"")</f>
        <v>-0.193350024174667</v>
      </c>
    </row>
    <row r="294" customFormat="false" ht="15" hidden="false" customHeight="false" outlineLevel="0" collapsed="false">
      <c r="A294" s="0" t="s">
        <v>18</v>
      </c>
      <c r="B294" s="0" t="s">
        <v>43</v>
      </c>
      <c r="C294" s="0" t="n">
        <v>55</v>
      </c>
      <c r="D294" s="0" t="s">
        <v>344</v>
      </c>
      <c r="E294" s="131" t="n">
        <v>1525</v>
      </c>
      <c r="F294" s="132" t="n">
        <f aca="false">Spreads!W55</f>
        <v>1363</v>
      </c>
      <c r="G294" s="131" t="n">
        <f aca="false">IF(AND(ISNUMBER(E294),ISNUMBER(F294)),F294-E294,"")</f>
        <v>-162</v>
      </c>
      <c r="H294" s="133" t="n">
        <f aca="false">IF(AND(ISNUMBER(E294),ISNUMBER(F294)),IF(E294=0,"",F294/E294-1),"")</f>
        <v>-0.106229508196721</v>
      </c>
    </row>
    <row r="295" customFormat="false" ht="15" hidden="false" customHeight="false" outlineLevel="0" collapsed="false">
      <c r="A295" s="0" t="s">
        <v>18</v>
      </c>
      <c r="B295" s="0" t="s">
        <v>43</v>
      </c>
      <c r="C295" s="0" t="n">
        <v>56</v>
      </c>
      <c r="D295" s="0" t="s">
        <v>345</v>
      </c>
      <c r="E295" s="131" t="n">
        <v>3691</v>
      </c>
      <c r="F295" s="132" t="n">
        <f aca="false">Spreads!W56</f>
        <v>3263</v>
      </c>
      <c r="G295" s="131" t="n">
        <f aca="false">IF(AND(ISNUMBER(E295),ISNUMBER(F295)),F295-E295,"")</f>
        <v>-428</v>
      </c>
      <c r="H295" s="133" t="n">
        <f aca="false">IF(AND(ISNUMBER(E295),ISNUMBER(F295)),IF(E295=0,"",F295/E295-1),"")</f>
        <v>-0.115957735031157</v>
      </c>
    </row>
    <row r="296" customFormat="false" ht="15" hidden="false" customHeight="false" outlineLevel="0" collapsed="false">
      <c r="A296" s="0" t="s">
        <v>18</v>
      </c>
      <c r="B296" s="0" t="s">
        <v>43</v>
      </c>
      <c r="C296" s="0" t="n">
        <v>58</v>
      </c>
      <c r="D296" s="0" t="s">
        <v>346</v>
      </c>
      <c r="E296" s="131"/>
      <c r="F296" s="132" t="n">
        <f aca="false">Spreads!W58</f>
        <v>590</v>
      </c>
      <c r="G296" s="131" t="str">
        <f aca="false">IF(AND(ISNUMBER(E296),ISNUMBER(F296)),F296-E296,"")</f>
        <v/>
      </c>
      <c r="H296" s="133" t="str">
        <f aca="false">IF(AND(ISNUMBER(E296),ISNUMBER(F296)),IF(E296=0,"",F296/E296-1),"")</f>
        <v/>
      </c>
    </row>
    <row r="297" customFormat="false" ht="15" hidden="false" customHeight="false" outlineLevel="0" collapsed="false">
      <c r="A297" s="0" t="s">
        <v>18</v>
      </c>
      <c r="B297" s="0" t="s">
        <v>43</v>
      </c>
      <c r="C297" s="0" t="n">
        <v>62</v>
      </c>
      <c r="D297" s="0" t="s">
        <v>347</v>
      </c>
      <c r="E297" s="131" t="n">
        <v>0</v>
      </c>
      <c r="F297" s="132" t="n">
        <f aca="false">Spreads!W62</f>
        <v>590</v>
      </c>
      <c r="G297" s="131" t="n">
        <f aca="false">IF(AND(ISNUMBER(E297),ISNUMBER(F297)),F297-E297,"")</f>
        <v>590</v>
      </c>
      <c r="H297" s="133" t="str">
        <f aca="false">IF(AND(ISNUMBER(E297),ISNUMBER(F297)),IF(E297=0,"",F297/E297-1),"")</f>
        <v/>
      </c>
    </row>
    <row r="298" customFormat="false" ht="15" hidden="false" customHeight="false" outlineLevel="0" collapsed="false">
      <c r="A298" s="0" t="s">
        <v>18</v>
      </c>
      <c r="B298" s="0" t="s">
        <v>43</v>
      </c>
      <c r="C298" s="0" t="n">
        <v>70</v>
      </c>
      <c r="D298" s="0" t="s">
        <v>348</v>
      </c>
      <c r="E298" s="131" t="n">
        <v>-87</v>
      </c>
      <c r="F298" s="132" t="n">
        <f aca="false">Spreads!W70</f>
        <v>66</v>
      </c>
      <c r="G298" s="131" t="n">
        <f aca="false">IF(AND(ISNUMBER(E298),ISNUMBER(F298)),F298-E298,"")</f>
        <v>153</v>
      </c>
      <c r="H298" s="133" t="n">
        <f aca="false">IF(AND(ISNUMBER(E298),ISNUMBER(F298)),IF(E298=0,"",F298/E298-1),"")</f>
        <v>-1.75862068965517</v>
      </c>
    </row>
    <row r="299" customFormat="false" ht="15" hidden="false" customHeight="false" outlineLevel="0" collapsed="false">
      <c r="A299" s="0" t="s">
        <v>18</v>
      </c>
      <c r="B299" s="0" t="s">
        <v>43</v>
      </c>
      <c r="C299" s="0" t="n">
        <v>74</v>
      </c>
      <c r="D299" s="0" t="s">
        <v>349</v>
      </c>
      <c r="E299" s="131" t="n">
        <v>116</v>
      </c>
      <c r="F299" s="132" t="n">
        <f aca="false">Spreads!W74</f>
        <v>116</v>
      </c>
      <c r="G299" s="131" t="n">
        <f aca="false">IF(AND(ISNUMBER(E299),ISNUMBER(F299)),F299-E299,"")</f>
        <v>0</v>
      </c>
      <c r="H299" s="133" t="n">
        <f aca="false">IF(AND(ISNUMBER(E299),ISNUMBER(F299)),IF(E299=0,"",F299/E299-1),"")</f>
        <v>0</v>
      </c>
    </row>
    <row r="300" customFormat="false" ht="15" hidden="false" customHeight="false" outlineLevel="0" collapsed="false">
      <c r="A300" s="0" t="s">
        <v>18</v>
      </c>
      <c r="B300" s="0" t="s">
        <v>43</v>
      </c>
      <c r="C300" s="0" t="n">
        <v>77</v>
      </c>
      <c r="D300" s="0" t="s">
        <v>350</v>
      </c>
      <c r="E300" s="131" t="n">
        <v>0</v>
      </c>
      <c r="F300" s="132" t="n">
        <f aca="false">Spreads!W77</f>
        <v>0</v>
      </c>
      <c r="G300" s="131" t="n">
        <f aca="false">IF(AND(ISNUMBER(E300),ISNUMBER(F300)),F300-E300,"")</f>
        <v>0</v>
      </c>
      <c r="H300" s="133" t="str">
        <f aca="false">IF(AND(ISNUMBER(E300),ISNUMBER(F300)),IF(E300=0,"",F300/E300-1),"")</f>
        <v/>
      </c>
    </row>
    <row r="301" customFormat="false" ht="15" hidden="false" customHeight="false" outlineLevel="0" collapsed="false">
      <c r="A301" s="0" t="s">
        <v>18</v>
      </c>
      <c r="B301" s="0" t="s">
        <v>43</v>
      </c>
      <c r="C301" s="0" t="n">
        <v>81</v>
      </c>
      <c r="D301" s="0" t="s">
        <v>351</v>
      </c>
      <c r="E301" s="131" t="n">
        <v>1007</v>
      </c>
      <c r="F301" s="132" t="n">
        <f aca="false">Spreads!W81</f>
        <v>1007</v>
      </c>
      <c r="G301" s="131" t="n">
        <f aca="false">IF(AND(ISNUMBER(E301),ISNUMBER(F301)),F301-E301,"")</f>
        <v>0</v>
      </c>
      <c r="H301" s="133" t="n">
        <f aca="false">IF(AND(ISNUMBER(E301),ISNUMBER(F301)),IF(E301=0,"",F301/E301-1),"")</f>
        <v>0</v>
      </c>
    </row>
    <row r="302" customFormat="false" ht="15" hidden="false" customHeight="false" outlineLevel="0" collapsed="false">
      <c r="A302" s="0" t="s">
        <v>18</v>
      </c>
      <c r="B302" s="0" t="s">
        <v>43</v>
      </c>
      <c r="C302" s="0" t="n">
        <v>137</v>
      </c>
      <c r="D302" s="0" t="s">
        <v>352</v>
      </c>
      <c r="E302" s="131" t="n">
        <v>199.43918</v>
      </c>
      <c r="F302" s="132" t="n">
        <f aca="false">Spreads!W137</f>
        <v>197.599697</v>
      </c>
      <c r="G302" s="131" t="n">
        <f aca="false">IF(AND(ISNUMBER(E302),ISNUMBER(F302)),F302-E302,"")</f>
        <v>-1.839483</v>
      </c>
      <c r="H302" s="133" t="n">
        <f aca="false">IF(AND(ISNUMBER(E302),ISNUMBER(F302)),IF(E302=0,"",F302/E302-1),"")</f>
        <v>-0.0092232779938225</v>
      </c>
    </row>
    <row r="303" customFormat="false" ht="15" hidden="false" customHeight="false" outlineLevel="0" collapsed="false">
      <c r="A303" s="0" t="s">
        <v>18</v>
      </c>
      <c r="B303" s="0" t="s">
        <v>43</v>
      </c>
      <c r="C303" s="0" t="n">
        <v>145</v>
      </c>
      <c r="D303" s="0" t="s">
        <v>353</v>
      </c>
      <c r="E303" s="131" t="n">
        <v>199.43918</v>
      </c>
      <c r="F303" s="132" t="n">
        <f aca="false">Spreads!W145</f>
        <v>198.512217</v>
      </c>
      <c r="G303" s="131" t="n">
        <f aca="false">IF(AND(ISNUMBER(E303),ISNUMBER(F303)),F303-E303,"")</f>
        <v>-0.926963000000001</v>
      </c>
      <c r="H303" s="133" t="n">
        <f aca="false">IF(AND(ISNUMBER(E303),ISNUMBER(F303)),IF(E303=0,"",F303/E303-1),"")</f>
        <v>-0.00464784803066276</v>
      </c>
    </row>
    <row r="304" customFormat="false" ht="15" hidden="false" customHeight="false" outlineLevel="0" collapsed="false">
      <c r="A304" s="0" t="s">
        <v>18</v>
      </c>
      <c r="B304" s="0" t="s">
        <v>43</v>
      </c>
      <c r="C304" s="0" t="n">
        <v>50</v>
      </c>
      <c r="D304" s="0" t="s">
        <v>354</v>
      </c>
      <c r="E304" s="131" t="n">
        <v>1565.88797193065</v>
      </c>
      <c r="F304" s="132" t="n">
        <f aca="false">Spreads!W50</f>
        <v>1613.2441401</v>
      </c>
      <c r="G304" s="131" t="n">
        <f aca="false">IF(AND(ISNUMBER(E304),ISNUMBER(F304)),F304-E304,"")</f>
        <v>47.3561681693479</v>
      </c>
      <c r="H304" s="133" t="n">
        <f aca="false">IF(AND(ISNUMBER(E304),ISNUMBER(F304)),IF(E304=0,"",F304/E304-1),"")</f>
        <v>0.0302423730293813</v>
      </c>
    </row>
    <row r="305" customFormat="false" ht="15" hidden="false" customHeight="false" outlineLevel="0" collapsed="false">
      <c r="A305" s="0" t="s">
        <v>18</v>
      </c>
      <c r="B305" s="0" t="s">
        <v>43</v>
      </c>
      <c r="C305" s="0" t="n">
        <v>65</v>
      </c>
      <c r="D305" s="0" t="s">
        <v>355</v>
      </c>
      <c r="E305" s="131" t="n">
        <v>6140.63021358102</v>
      </c>
      <c r="F305" s="132" t="n">
        <f aca="false">Spreads!W65</f>
        <v>5800.19626032817</v>
      </c>
      <c r="G305" s="131" t="n">
        <f aca="false">IF(AND(ISNUMBER(E305),ISNUMBER(F305)),F305-E305,"")</f>
        <v>-340.433953252844</v>
      </c>
      <c r="H305" s="133" t="n">
        <f aca="false">IF(AND(ISNUMBER(E305),ISNUMBER(F305)),IF(E305=0,"",F305/E305-1),"")</f>
        <v>-0.0554395789050964</v>
      </c>
    </row>
    <row r="306" customFormat="false" ht="15" hidden="false" customHeight="false" outlineLevel="0" collapsed="false">
      <c r="A306" s="0" t="s">
        <v>18</v>
      </c>
      <c r="B306" s="0" t="s">
        <v>43</v>
      </c>
      <c r="C306" s="0" t="n">
        <v>27</v>
      </c>
      <c r="D306" s="0" t="s">
        <v>356</v>
      </c>
      <c r="E306" s="131" t="n">
        <v>27667.7641528346</v>
      </c>
      <c r="F306" s="132" t="n">
        <f aca="false">Spreads!W27</f>
        <v>27177.6461073304</v>
      </c>
      <c r="G306" s="131" t="n">
        <f aca="false">IF(AND(ISNUMBER(E306),ISNUMBER(F306)),F306-E306,"")</f>
        <v>-490.118045504165</v>
      </c>
      <c r="H306" s="133" t="n">
        <f aca="false">IF(AND(ISNUMBER(E306),ISNUMBER(F306)),IF(E306=0,"",F306/E306-1),"")</f>
        <v>-0.0177144073802563</v>
      </c>
    </row>
    <row r="307" customFormat="false" ht="15" hidden="false" customHeight="false" outlineLevel="0" collapsed="false">
      <c r="A307" s="0" t="s">
        <v>18</v>
      </c>
      <c r="B307" s="0" t="s">
        <v>43</v>
      </c>
      <c r="C307" s="0" t="n">
        <v>205</v>
      </c>
      <c r="D307" s="0" t="s">
        <v>357</v>
      </c>
      <c r="E307" s="131" t="n">
        <v>8990.291</v>
      </c>
      <c r="F307" s="132" t="n">
        <f aca="false">Spreads!W205</f>
        <v>8377.3066587</v>
      </c>
      <c r="G307" s="131" t="n">
        <f aca="false">IF(AND(ISNUMBER(E307),ISNUMBER(F307)),F307-E307,"")</f>
        <v>-612.9843413</v>
      </c>
      <c r="H307" s="133" t="n">
        <f aca="false">IF(AND(ISNUMBER(E307),ISNUMBER(F307)),IF(E307=0,"",F307/E307-1),"")</f>
        <v>-0.0681829254803876</v>
      </c>
    </row>
    <row r="308" customFormat="false" ht="15" hidden="false" customHeight="false" outlineLevel="0" collapsed="false">
      <c r="A308" s="0" t="s">
        <v>18</v>
      </c>
      <c r="B308" s="0" t="s">
        <v>43</v>
      </c>
      <c r="C308" s="0" t="n">
        <v>245</v>
      </c>
      <c r="D308" s="0" t="s">
        <v>358</v>
      </c>
      <c r="E308" s="131" t="n">
        <v>1434.3042</v>
      </c>
      <c r="F308" s="132" t="n">
        <f aca="false">Spreads!W245</f>
        <v>1223.12295924</v>
      </c>
      <c r="G308" s="131" t="n">
        <f aca="false">IF(AND(ISNUMBER(E308),ISNUMBER(F308)),F308-E308,"")</f>
        <v>-211.18124076</v>
      </c>
      <c r="H308" s="133" t="n">
        <f aca="false">IF(AND(ISNUMBER(E308),ISNUMBER(F308)),IF(E308=0,"",F308/E308-1),"")</f>
        <v>-0.147236019221027</v>
      </c>
    </row>
    <row r="309" customFormat="false" ht="15" hidden="false" customHeight="false" outlineLevel="0" collapsed="false">
      <c r="A309" s="0" t="s">
        <v>18</v>
      </c>
      <c r="B309" s="0" t="s">
        <v>43</v>
      </c>
      <c r="C309" s="0" t="n">
        <v>265</v>
      </c>
      <c r="D309" s="0" t="s">
        <v>359</v>
      </c>
      <c r="E309" s="131" t="n">
        <v>2011.6505</v>
      </c>
      <c r="F309" s="132" t="n">
        <f aca="false">Spreads!W265</f>
        <v>1808.14725434</v>
      </c>
      <c r="G309" s="131" t="n">
        <f aca="false">IF(AND(ISNUMBER(E309),ISNUMBER(F309)),F309-E309,"")</f>
        <v>-203.50324566</v>
      </c>
      <c r="H309" s="133" t="n">
        <f aca="false">IF(AND(ISNUMBER(E309),ISNUMBER(F309)),IF(E309=0,"",F309/E309-1),"")</f>
        <v>-0.101162326984732</v>
      </c>
    </row>
    <row r="310" customFormat="false" ht="15" hidden="false" customHeight="false" outlineLevel="0" collapsed="false">
      <c r="A310" s="0" t="s">
        <v>18</v>
      </c>
      <c r="B310" s="0" t="s">
        <v>43</v>
      </c>
      <c r="C310" s="0" t="n">
        <v>275</v>
      </c>
      <c r="D310" s="0" t="s">
        <v>360</v>
      </c>
      <c r="E310" s="131" t="n">
        <v>1759.80147865143</v>
      </c>
      <c r="F310" s="132" t="n">
        <f aca="false">Spreads!W275</f>
        <v>1563.4460474</v>
      </c>
      <c r="G310" s="131" t="n">
        <f aca="false">IF(AND(ISNUMBER(E310),ISNUMBER(F310)),F310-E310,"")</f>
        <v>-196.355431251429</v>
      </c>
      <c r="H310" s="133" t="n">
        <f aca="false">IF(AND(ISNUMBER(E310),ISNUMBER(F310)),IF(E310=0,"",F310/E310-1),"")</f>
        <v>-0.111578171534383</v>
      </c>
    </row>
    <row r="311" customFormat="false" ht="15" hidden="false" customHeight="false" outlineLevel="0" collapsed="false">
      <c r="A311" s="0" t="s">
        <v>18</v>
      </c>
      <c r="B311" s="0" t="s">
        <v>43</v>
      </c>
      <c r="C311" s="0" t="n">
        <v>285</v>
      </c>
      <c r="D311" s="0" t="s">
        <v>361</v>
      </c>
      <c r="E311" s="131" t="n">
        <v>864.7249</v>
      </c>
      <c r="F311" s="132" t="n">
        <f aca="false">Spreads!W285</f>
        <v>805.76542088</v>
      </c>
      <c r="G311" s="131" t="n">
        <f aca="false">IF(AND(ISNUMBER(E311),ISNUMBER(F311)),F311-E311,"")</f>
        <v>-58.9594791200001</v>
      </c>
      <c r="H311" s="133" t="n">
        <f aca="false">IF(AND(ISNUMBER(E311),ISNUMBER(F311)),IF(E311=0,"",F311/E311-1),"")</f>
        <v>-0.0681829320746981</v>
      </c>
    </row>
    <row r="312" customFormat="false" ht="15" hidden="false" customHeight="false" outlineLevel="0" collapsed="false">
      <c r="A312" s="0" t="s">
        <v>18</v>
      </c>
      <c r="B312" s="0" t="s">
        <v>43</v>
      </c>
      <c r="C312" s="0" t="n">
        <v>295</v>
      </c>
      <c r="D312" s="0" t="s">
        <v>362</v>
      </c>
      <c r="E312" s="131" t="n">
        <v>4.504854</v>
      </c>
      <c r="F312" s="132" t="n">
        <f aca="false">Spreads!W295</f>
        <v>4.1735753836</v>
      </c>
      <c r="G312" s="131" t="n">
        <f aca="false">IF(AND(ISNUMBER(E312),ISNUMBER(F312)),F312-E312,"")</f>
        <v>-0.331278616400001</v>
      </c>
      <c r="H312" s="133" t="n">
        <f aca="false">IF(AND(ISNUMBER(E312),ISNUMBER(F312)),IF(E312=0,"",F312/E312-1),"")</f>
        <v>-0.0735381471630381</v>
      </c>
    </row>
    <row r="313" customFormat="false" ht="15" hidden="false" customHeight="false" outlineLevel="0" collapsed="false">
      <c r="A313" s="0" t="s">
        <v>18</v>
      </c>
      <c r="B313" s="0" t="s">
        <v>43</v>
      </c>
      <c r="C313" s="0" t="n">
        <v>339</v>
      </c>
      <c r="D313" s="0" t="s">
        <v>363</v>
      </c>
      <c r="E313" s="131" t="n">
        <v>330.0971</v>
      </c>
      <c r="F313" s="132" t="n">
        <f aca="false">Spreads!W339</f>
        <v>307.5900933</v>
      </c>
      <c r="G313" s="131" t="n">
        <f aca="false">IF(AND(ISNUMBER(E313),ISNUMBER(F313)),F313-E313,"")</f>
        <v>-22.5070067</v>
      </c>
      <c r="H313" s="133" t="n">
        <f aca="false">IF(AND(ISNUMBER(E313),ISNUMBER(F313)),IF(E313=0,"",F313/E313-1),"")</f>
        <v>-0.0681829882782976</v>
      </c>
    </row>
    <row r="314" customFormat="false" ht="15" hidden="false" customHeight="false" outlineLevel="0" collapsed="false">
      <c r="A314" s="0" t="s">
        <v>18</v>
      </c>
      <c r="B314" s="0" t="s">
        <v>43</v>
      </c>
      <c r="C314" s="0" t="n">
        <v>327</v>
      </c>
      <c r="D314" s="0" t="s">
        <v>364</v>
      </c>
      <c r="E314" s="131" t="n">
        <v>186.171428571429</v>
      </c>
      <c r="F314" s="132" t="n">
        <f aca="false">Spreads!W327</f>
        <v>181</v>
      </c>
      <c r="G314" s="131" t="n">
        <f aca="false">IF(AND(ISNUMBER(E314),ISNUMBER(F314)),F314-E314,"")</f>
        <v>-5.17142857142861</v>
      </c>
      <c r="H314" s="133" t="n">
        <f aca="false">IF(AND(ISNUMBER(E314),ISNUMBER(F314)),IF(E314=0,"",F314/E314-1),"")</f>
        <v>-0.027777777777778</v>
      </c>
    </row>
    <row r="315" customFormat="false" ht="15" hidden="false" customHeight="false" outlineLevel="0" collapsed="false">
      <c r="A315" s="0" t="s">
        <v>18</v>
      </c>
      <c r="B315" s="0" t="s">
        <v>43</v>
      </c>
      <c r="C315" s="0" t="n">
        <v>328</v>
      </c>
      <c r="D315" s="0" t="s">
        <v>365</v>
      </c>
      <c r="E315" s="131" t="n">
        <v>20.5714285714286</v>
      </c>
      <c r="F315" s="132" t="n">
        <f aca="false">Spreads!W328</f>
        <v>20</v>
      </c>
      <c r="G315" s="131" t="n">
        <f aca="false">IF(AND(ISNUMBER(E315),ISNUMBER(F315)),F315-E315,"")</f>
        <v>-0.571428571428569</v>
      </c>
      <c r="H315" s="133" t="n">
        <f aca="false">IF(AND(ISNUMBER(E315),ISNUMBER(F315)),IF(E315=0,"",F315/E315-1),"")</f>
        <v>-0.0277777777777777</v>
      </c>
    </row>
    <row r="316" customFormat="false" ht="15" hidden="false" customHeight="false" outlineLevel="0" collapsed="false">
      <c r="A316" s="0" t="s">
        <v>19</v>
      </c>
      <c r="B316" s="0" t="s">
        <v>44</v>
      </c>
      <c r="C316" s="0" t="n">
        <v>43</v>
      </c>
      <c r="D316" s="0" t="s">
        <v>340</v>
      </c>
      <c r="E316" s="131" t="n">
        <v>942.1</v>
      </c>
      <c r="F316" s="132" t="n">
        <f aca="false">Spreads!X43</f>
        <v>942.1</v>
      </c>
      <c r="G316" s="131" t="n">
        <f aca="false">IF(AND(ISNUMBER(E316),ISNUMBER(F316)),F316-E316,"")</f>
        <v>0</v>
      </c>
      <c r="H316" s="133" t="n">
        <f aca="false">IF(AND(ISNUMBER(E316),ISNUMBER(F316)),IF(E316=0,"",F316/E316-1),"")</f>
        <v>0</v>
      </c>
    </row>
    <row r="317" customFormat="false" ht="15" hidden="false" customHeight="false" outlineLevel="0" collapsed="false">
      <c r="A317" s="0" t="s">
        <v>19</v>
      </c>
      <c r="B317" s="0" t="s">
        <v>44</v>
      </c>
      <c r="C317" s="0" t="n">
        <v>44</v>
      </c>
      <c r="D317" s="0" t="s">
        <v>341</v>
      </c>
      <c r="E317" s="131"/>
      <c r="F317" s="132" t="n">
        <f aca="false">Spreads!X44</f>
        <v>0</v>
      </c>
      <c r="G317" s="131" t="str">
        <f aca="false">IF(AND(ISNUMBER(E317),ISNUMBER(F317)),F317-E317,"")</f>
        <v/>
      </c>
      <c r="H317" s="133" t="str">
        <f aca="false">IF(AND(ISNUMBER(E317),ISNUMBER(F317)),IF(E317=0,"",F317/E317-1),"")</f>
        <v/>
      </c>
    </row>
    <row r="318" customFormat="false" ht="15" hidden="false" customHeight="false" outlineLevel="0" collapsed="false">
      <c r="A318" s="0" t="s">
        <v>19</v>
      </c>
      <c r="B318" s="0" t="s">
        <v>44</v>
      </c>
      <c r="C318" s="0" t="n">
        <v>45</v>
      </c>
      <c r="D318" s="0" t="s">
        <v>342</v>
      </c>
      <c r="E318" s="131"/>
      <c r="F318" s="132" t="n">
        <f aca="false">Spreads!X45</f>
        <v>0</v>
      </c>
      <c r="G318" s="131" t="str">
        <f aca="false">IF(AND(ISNUMBER(E318),ISNUMBER(F318)),F318-E318,"")</f>
        <v/>
      </c>
      <c r="H318" s="133" t="str">
        <f aca="false">IF(AND(ISNUMBER(E318),ISNUMBER(F318)),IF(E318=0,"",F318/E318-1),"")</f>
        <v/>
      </c>
    </row>
    <row r="319" customFormat="false" ht="15" hidden="false" customHeight="false" outlineLevel="0" collapsed="false">
      <c r="A319" s="0" t="s">
        <v>19</v>
      </c>
      <c r="B319" s="0" t="s">
        <v>44</v>
      </c>
      <c r="C319" s="0" t="n">
        <v>46</v>
      </c>
      <c r="D319" s="0" t="s">
        <v>343</v>
      </c>
      <c r="E319" s="131" t="n">
        <v>0</v>
      </c>
      <c r="F319" s="132" t="n">
        <f aca="false">Spreads!X46</f>
        <v>0</v>
      </c>
      <c r="G319" s="131" t="n">
        <f aca="false">IF(AND(ISNUMBER(E319),ISNUMBER(F319)),F319-E319,"")</f>
        <v>0</v>
      </c>
      <c r="H319" s="133" t="str">
        <f aca="false">IF(AND(ISNUMBER(E319),ISNUMBER(F319)),IF(E319=0,"",F319/E319-1),"")</f>
        <v/>
      </c>
    </row>
    <row r="320" customFormat="false" ht="15" hidden="false" customHeight="false" outlineLevel="0" collapsed="false">
      <c r="A320" s="0" t="s">
        <v>19</v>
      </c>
      <c r="B320" s="0" t="s">
        <v>44</v>
      </c>
      <c r="C320" s="0" t="n">
        <v>55</v>
      </c>
      <c r="D320" s="0" t="s">
        <v>344</v>
      </c>
      <c r="E320" s="131" t="n">
        <v>862</v>
      </c>
      <c r="F320" s="132" t="n">
        <f aca="false">Spreads!X55</f>
        <v>740.3</v>
      </c>
      <c r="G320" s="131" t="n">
        <f aca="false">IF(AND(ISNUMBER(E320),ISNUMBER(F320)),F320-E320,"")</f>
        <v>-121.7</v>
      </c>
      <c r="H320" s="133" t="n">
        <f aca="false">IF(AND(ISNUMBER(E320),ISNUMBER(F320)),IF(E320=0,"",F320/E320-1),"")</f>
        <v>-0.141183294663573</v>
      </c>
    </row>
    <row r="321" customFormat="false" ht="15" hidden="false" customHeight="false" outlineLevel="0" collapsed="false">
      <c r="A321" s="0" t="s">
        <v>19</v>
      </c>
      <c r="B321" s="0" t="s">
        <v>44</v>
      </c>
      <c r="C321" s="0" t="n">
        <v>56</v>
      </c>
      <c r="D321" s="0" t="s">
        <v>345</v>
      </c>
      <c r="E321" s="131" t="n">
        <v>2180.1</v>
      </c>
      <c r="F321" s="132" t="n">
        <f aca="false">Spreads!X56</f>
        <v>1890.7</v>
      </c>
      <c r="G321" s="131" t="n">
        <f aca="false">IF(AND(ISNUMBER(E321),ISNUMBER(F321)),F321-E321,"")</f>
        <v>-289.4</v>
      </c>
      <c r="H321" s="133" t="n">
        <f aca="false">IF(AND(ISNUMBER(E321),ISNUMBER(F321)),IF(E321=0,"",F321/E321-1),"")</f>
        <v>-0.132746204302555</v>
      </c>
    </row>
    <row r="322" customFormat="false" ht="15" hidden="false" customHeight="false" outlineLevel="0" collapsed="false">
      <c r="A322" s="0" t="s">
        <v>19</v>
      </c>
      <c r="B322" s="0" t="s">
        <v>44</v>
      </c>
      <c r="C322" s="0" t="n">
        <v>58</v>
      </c>
      <c r="D322" s="0" t="s">
        <v>346</v>
      </c>
      <c r="E322" s="131"/>
      <c r="F322" s="132" t="n">
        <f aca="false">Spreads!X58</f>
        <v>411.1</v>
      </c>
      <c r="G322" s="131" t="str">
        <f aca="false">IF(AND(ISNUMBER(E322),ISNUMBER(F322)),F322-E322,"")</f>
        <v/>
      </c>
      <c r="H322" s="133" t="str">
        <f aca="false">IF(AND(ISNUMBER(E322),ISNUMBER(F322)),IF(E322=0,"",F322/E322-1),"")</f>
        <v/>
      </c>
    </row>
    <row r="323" customFormat="false" ht="15" hidden="false" customHeight="false" outlineLevel="0" collapsed="false">
      <c r="A323" s="0" t="s">
        <v>19</v>
      </c>
      <c r="B323" s="0" t="s">
        <v>44</v>
      </c>
      <c r="C323" s="0" t="n">
        <v>62</v>
      </c>
      <c r="D323" s="0" t="s">
        <v>347</v>
      </c>
      <c r="E323" s="131" t="n">
        <v>0</v>
      </c>
      <c r="F323" s="132" t="n">
        <f aca="false">Spreads!X62</f>
        <v>411.1</v>
      </c>
      <c r="G323" s="131" t="n">
        <f aca="false">IF(AND(ISNUMBER(E323),ISNUMBER(F323)),F323-E323,"")</f>
        <v>411.1</v>
      </c>
      <c r="H323" s="133" t="str">
        <f aca="false">IF(AND(ISNUMBER(E323),ISNUMBER(F323)),IF(E323=0,"",F323/E323-1),"")</f>
        <v/>
      </c>
    </row>
    <row r="324" customFormat="false" ht="15" hidden="false" customHeight="false" outlineLevel="0" collapsed="false">
      <c r="A324" s="0" t="s">
        <v>19</v>
      </c>
      <c r="B324" s="0" t="s">
        <v>44</v>
      </c>
      <c r="C324" s="0" t="n">
        <v>70</v>
      </c>
      <c r="D324" s="0" t="s">
        <v>348</v>
      </c>
      <c r="E324" s="131" t="n">
        <v>106.5</v>
      </c>
      <c r="F324" s="132" t="n">
        <f aca="false">Spreads!X70</f>
        <v>140</v>
      </c>
      <c r="G324" s="131" t="n">
        <f aca="false">IF(AND(ISNUMBER(E324),ISNUMBER(F324)),F324-E324,"")</f>
        <v>33.5</v>
      </c>
      <c r="H324" s="133" t="n">
        <f aca="false">IF(AND(ISNUMBER(E324),ISNUMBER(F324)),IF(E324=0,"",F324/E324-1),"")</f>
        <v>0.314553990610329</v>
      </c>
    </row>
    <row r="325" customFormat="false" ht="15" hidden="false" customHeight="false" outlineLevel="0" collapsed="false">
      <c r="A325" s="0" t="s">
        <v>19</v>
      </c>
      <c r="B325" s="0" t="s">
        <v>44</v>
      </c>
      <c r="C325" s="0" t="n">
        <v>74</v>
      </c>
      <c r="D325" s="0" t="s">
        <v>349</v>
      </c>
      <c r="E325" s="131" t="n">
        <v>46</v>
      </c>
      <c r="F325" s="132" t="n">
        <f aca="false">Spreads!X74</f>
        <v>46</v>
      </c>
      <c r="G325" s="131" t="n">
        <f aca="false">IF(AND(ISNUMBER(E325),ISNUMBER(F325)),F325-E325,"")</f>
        <v>0</v>
      </c>
      <c r="H325" s="133" t="n">
        <f aca="false">IF(AND(ISNUMBER(E325),ISNUMBER(F325)),IF(E325=0,"",F325/E325-1),"")</f>
        <v>0</v>
      </c>
    </row>
    <row r="326" customFormat="false" ht="15" hidden="false" customHeight="false" outlineLevel="0" collapsed="false">
      <c r="A326" s="0" t="s">
        <v>19</v>
      </c>
      <c r="B326" s="0" t="s">
        <v>44</v>
      </c>
      <c r="C326" s="0" t="n">
        <v>77</v>
      </c>
      <c r="D326" s="0" t="s">
        <v>350</v>
      </c>
      <c r="E326" s="131" t="n">
        <v>0</v>
      </c>
      <c r="F326" s="132" t="n">
        <f aca="false">Spreads!X77</f>
        <v>0</v>
      </c>
      <c r="G326" s="131" t="n">
        <f aca="false">IF(AND(ISNUMBER(E326),ISNUMBER(F326)),F326-E326,"")</f>
        <v>0</v>
      </c>
      <c r="H326" s="133" t="str">
        <f aca="false">IF(AND(ISNUMBER(E326),ISNUMBER(F326)),IF(E326=0,"",F326/E326-1),"")</f>
        <v/>
      </c>
    </row>
    <row r="327" customFormat="false" ht="15" hidden="false" customHeight="false" outlineLevel="0" collapsed="false">
      <c r="A327" s="0" t="s">
        <v>19</v>
      </c>
      <c r="B327" s="0" t="s">
        <v>44</v>
      </c>
      <c r="C327" s="0" t="n">
        <v>81</v>
      </c>
      <c r="D327" s="0" t="s">
        <v>351</v>
      </c>
      <c r="E327" s="131" t="n">
        <v>1658</v>
      </c>
      <c r="F327" s="132" t="n">
        <f aca="false">Spreads!X81</f>
        <v>1658</v>
      </c>
      <c r="G327" s="131" t="n">
        <f aca="false">IF(AND(ISNUMBER(E327),ISNUMBER(F327)),F327-E327,"")</f>
        <v>0</v>
      </c>
      <c r="H327" s="133" t="n">
        <f aca="false">IF(AND(ISNUMBER(E327),ISNUMBER(F327)),IF(E327=0,"",F327/E327-1),"")</f>
        <v>0</v>
      </c>
    </row>
    <row r="328" customFormat="false" ht="15" hidden="false" customHeight="false" outlineLevel="0" collapsed="false">
      <c r="A328" s="0" t="s">
        <v>19</v>
      </c>
      <c r="B328" s="0" t="s">
        <v>44</v>
      </c>
      <c r="C328" s="0" t="n">
        <v>137</v>
      </c>
      <c r="D328" s="0" t="s">
        <v>352</v>
      </c>
      <c r="E328" s="131" t="n">
        <v>453.87152</v>
      </c>
      <c r="F328" s="132" t="n">
        <f aca="false">Spreads!X137</f>
        <v>444.091816</v>
      </c>
      <c r="G328" s="131" t="n">
        <f aca="false">IF(AND(ISNUMBER(E328),ISNUMBER(F328)),F328-E328,"")</f>
        <v>-9.77970399999998</v>
      </c>
      <c r="H328" s="133" t="n">
        <f aca="false">IF(AND(ISNUMBER(E328),ISNUMBER(F328)),IF(E328=0,"",F328/E328-1),"")</f>
        <v>-0.0215472960277393</v>
      </c>
    </row>
    <row r="329" customFormat="false" ht="15" hidden="false" customHeight="false" outlineLevel="0" collapsed="false">
      <c r="A329" s="0" t="s">
        <v>19</v>
      </c>
      <c r="B329" s="0" t="s">
        <v>44</v>
      </c>
      <c r="C329" s="0" t="n">
        <v>145</v>
      </c>
      <c r="D329" s="0" t="s">
        <v>353</v>
      </c>
      <c r="E329" s="131" t="n">
        <v>453.87152</v>
      </c>
      <c r="F329" s="132" t="n">
        <f aca="false">Spreads!X145</f>
        <v>449.599651055617</v>
      </c>
      <c r="G329" s="131" t="n">
        <f aca="false">IF(AND(ISNUMBER(E329),ISNUMBER(F329)),F329-E329,"")</f>
        <v>-4.27186894438302</v>
      </c>
      <c r="H329" s="133" t="n">
        <f aca="false">IF(AND(ISNUMBER(E329),ISNUMBER(F329)),IF(E329=0,"",F329/E329-1),"")</f>
        <v>-0.0094120665345625</v>
      </c>
    </row>
    <row r="330" customFormat="false" ht="15" hidden="false" customHeight="false" outlineLevel="0" collapsed="false">
      <c r="A330" s="0" t="s">
        <v>19</v>
      </c>
      <c r="B330" s="0" t="s">
        <v>44</v>
      </c>
      <c r="C330" s="0" t="n">
        <v>50</v>
      </c>
      <c r="D330" s="0" t="s">
        <v>354</v>
      </c>
      <c r="E330" s="131" t="n">
        <v>1070.08437921</v>
      </c>
      <c r="F330" s="132" t="n">
        <f aca="false">Spreads!X50</f>
        <v>1073.42874</v>
      </c>
      <c r="G330" s="131" t="n">
        <f aca="false">IF(AND(ISNUMBER(E330),ISNUMBER(F330)),F330-E330,"")</f>
        <v>3.34436079000011</v>
      </c>
      <c r="H330" s="133" t="n">
        <f aca="false">IF(AND(ISNUMBER(E330),ISNUMBER(F330)),IF(E330=0,"",F330/E330-1),"")</f>
        <v>0.00312532437158741</v>
      </c>
    </row>
    <row r="331" customFormat="false" ht="15" hidden="false" customHeight="false" outlineLevel="0" collapsed="false">
      <c r="A331" s="0" t="s">
        <v>19</v>
      </c>
      <c r="B331" s="0" t="s">
        <v>44</v>
      </c>
      <c r="C331" s="0" t="n">
        <v>65</v>
      </c>
      <c r="D331" s="0" t="s">
        <v>355</v>
      </c>
      <c r="E331" s="131" t="n">
        <v>3557.32154330927</v>
      </c>
      <c r="F331" s="132" t="n">
        <f aca="false">Spreads!X65</f>
        <v>3132.6217775568</v>
      </c>
      <c r="G331" s="131" t="n">
        <f aca="false">IF(AND(ISNUMBER(E331),ISNUMBER(F331)),F331-E331,"")</f>
        <v>-424.699765752474</v>
      </c>
      <c r="H331" s="133" t="n">
        <f aca="false">IF(AND(ISNUMBER(E331),ISNUMBER(F331)),IF(E331=0,"",F331/E331-1),"")</f>
        <v>-0.119387511244594</v>
      </c>
    </row>
    <row r="332" customFormat="false" ht="15" hidden="false" customHeight="false" outlineLevel="0" collapsed="false">
      <c r="A332" s="0" t="s">
        <v>19</v>
      </c>
      <c r="B332" s="0" t="s">
        <v>44</v>
      </c>
      <c r="C332" s="0" t="n">
        <v>27</v>
      </c>
      <c r="D332" s="0" t="s">
        <v>356</v>
      </c>
      <c r="E332" s="131" t="n">
        <v>16677.2187501257</v>
      </c>
      <c r="F332" s="132" t="n">
        <f aca="false">Spreads!X27</f>
        <v>16116.2726402202</v>
      </c>
      <c r="G332" s="131" t="n">
        <f aca="false">IF(AND(ISNUMBER(E332),ISNUMBER(F332)),F332-E332,"")</f>
        <v>-560.946109905501</v>
      </c>
      <c r="H332" s="133" t="n">
        <f aca="false">IF(AND(ISNUMBER(E332),ISNUMBER(F332)),IF(E332=0,"",F332/E332-1),"")</f>
        <v>-0.0336354711364132</v>
      </c>
    </row>
    <row r="333" customFormat="false" ht="15" hidden="false" customHeight="false" outlineLevel="0" collapsed="false">
      <c r="A333" s="0" t="s">
        <v>19</v>
      </c>
      <c r="B333" s="0" t="s">
        <v>44</v>
      </c>
      <c r="C333" s="0" t="n">
        <v>205</v>
      </c>
      <c r="D333" s="0" t="s">
        <v>357</v>
      </c>
      <c r="E333" s="131" t="n">
        <v>7631.3213</v>
      </c>
      <c r="F333" s="132" t="n">
        <f aca="false">Spreads!X205</f>
        <v>7306.922976496</v>
      </c>
      <c r="G333" s="131" t="n">
        <f aca="false">IF(AND(ISNUMBER(E333),ISNUMBER(F333)),F333-E333,"")</f>
        <v>-324.398323504001</v>
      </c>
      <c r="H333" s="133" t="n">
        <f aca="false">IF(AND(ISNUMBER(E333),ISNUMBER(F333)),IF(E333=0,"",F333/E333-1),"")</f>
        <v>-0.0425088016545707</v>
      </c>
    </row>
    <row r="334" customFormat="false" ht="15" hidden="false" customHeight="false" outlineLevel="0" collapsed="false">
      <c r="A334" s="0" t="s">
        <v>19</v>
      </c>
      <c r="B334" s="0" t="s">
        <v>44</v>
      </c>
      <c r="C334" s="0" t="n">
        <v>245</v>
      </c>
      <c r="D334" s="0" t="s">
        <v>358</v>
      </c>
      <c r="E334" s="131" t="n">
        <v>1242.5798</v>
      </c>
      <c r="F334" s="132" t="n">
        <f aca="false">Spreads!X245</f>
        <v>1121.395268136</v>
      </c>
      <c r="G334" s="131" t="n">
        <f aca="false">IF(AND(ISNUMBER(E334),ISNUMBER(F334)),F334-E334,"")</f>
        <v>-121.184531864</v>
      </c>
      <c r="H334" s="133" t="n">
        <f aca="false">IF(AND(ISNUMBER(E334),ISNUMBER(F334)),IF(E334=0,"",F334/E334-1),"")</f>
        <v>-0.0975265587481786</v>
      </c>
    </row>
    <row r="335" customFormat="false" ht="15" hidden="false" customHeight="false" outlineLevel="0" collapsed="false">
      <c r="A335" s="0" t="s">
        <v>19</v>
      </c>
      <c r="B335" s="0" t="s">
        <v>44</v>
      </c>
      <c r="C335" s="0" t="n">
        <v>265</v>
      </c>
      <c r="D335" s="0" t="s">
        <v>359</v>
      </c>
      <c r="E335" s="131" t="n">
        <v>1527.7631</v>
      </c>
      <c r="F335" s="132" t="n">
        <f aca="false">Spreads!X265</f>
        <v>1459.825218566</v>
      </c>
      <c r="G335" s="131" t="n">
        <f aca="false">IF(AND(ISNUMBER(E335),ISNUMBER(F335)),F335-E335,"")</f>
        <v>-67.9378814339998</v>
      </c>
      <c r="H335" s="133" t="n">
        <f aca="false">IF(AND(ISNUMBER(E335),ISNUMBER(F335)),IF(E335=0,"",F335/E335-1),"")</f>
        <v>-0.0444688587085261</v>
      </c>
    </row>
    <row r="336" customFormat="false" ht="15" hidden="false" customHeight="false" outlineLevel="0" collapsed="false">
      <c r="A336" s="0" t="s">
        <v>19</v>
      </c>
      <c r="B336" s="0" t="s">
        <v>44</v>
      </c>
      <c r="C336" s="0" t="n">
        <v>275</v>
      </c>
      <c r="D336" s="0" t="s">
        <v>360</v>
      </c>
      <c r="E336" s="131" t="n">
        <v>1350.04851117871</v>
      </c>
      <c r="F336" s="132" t="n">
        <f aca="false">Spreads!X275</f>
        <v>1282.074918566</v>
      </c>
      <c r="G336" s="131" t="n">
        <f aca="false">IF(AND(ISNUMBER(E336),ISNUMBER(F336)),F336-E336,"")</f>
        <v>-67.9735926127069</v>
      </c>
      <c r="H336" s="133" t="n">
        <f aca="false">IF(AND(ISNUMBER(E336),ISNUMBER(F336)),IF(E336=0,"",F336/E336-1),"")</f>
        <v>-0.050349000091382</v>
      </c>
    </row>
    <row r="337" customFormat="false" ht="15" hidden="false" customHeight="false" outlineLevel="0" collapsed="false">
      <c r="A337" s="0" t="s">
        <v>19</v>
      </c>
      <c r="B337" s="0" t="s">
        <v>44</v>
      </c>
      <c r="C337" s="0" t="n">
        <v>285</v>
      </c>
      <c r="D337" s="0" t="s">
        <v>361</v>
      </c>
      <c r="E337" s="131" t="n">
        <v>745.14667</v>
      </c>
      <c r="F337" s="132" t="n">
        <f aca="false">Spreads!X285</f>
        <v>664.43008632</v>
      </c>
      <c r="G337" s="131" t="n">
        <f aca="false">IF(AND(ISNUMBER(E337),ISNUMBER(F337)),F337-E337,"")</f>
        <v>-80.71658368</v>
      </c>
      <c r="H337" s="133" t="n">
        <f aca="false">IF(AND(ISNUMBER(E337),ISNUMBER(F337)),IF(E337=0,"",F337/E337-1),"")</f>
        <v>-0.108323081790059</v>
      </c>
    </row>
    <row r="338" customFormat="false" ht="15" hidden="false" customHeight="false" outlineLevel="0" collapsed="false">
      <c r="A338" s="0" t="s">
        <v>19</v>
      </c>
      <c r="B338" s="0" t="s">
        <v>44</v>
      </c>
      <c r="C338" s="0" t="n">
        <v>295</v>
      </c>
      <c r="D338" s="0" t="s">
        <v>362</v>
      </c>
      <c r="E338" s="131" t="n">
        <v>1.6758128</v>
      </c>
      <c r="F338" s="132" t="n">
        <f aca="false">Spreads!X295</f>
        <v>1.4802779134</v>
      </c>
      <c r="G338" s="131" t="n">
        <f aca="false">IF(AND(ISNUMBER(E338),ISNUMBER(F338)),F338-E338,"")</f>
        <v>-0.1955348866</v>
      </c>
      <c r="H338" s="133" t="n">
        <f aca="false">IF(AND(ISNUMBER(E338),ISNUMBER(F338)),IF(E338=0,"",F338/E338-1),"")</f>
        <v>-0.116680626022191</v>
      </c>
    </row>
    <row r="339" customFormat="false" ht="15" hidden="false" customHeight="false" outlineLevel="0" collapsed="false">
      <c r="A339" s="0" t="s">
        <v>19</v>
      </c>
      <c r="B339" s="0" t="s">
        <v>44</v>
      </c>
      <c r="C339" s="0" t="n">
        <v>339</v>
      </c>
      <c r="D339" s="0" t="s">
        <v>363</v>
      </c>
      <c r="E339" s="131" t="n">
        <v>170.53166</v>
      </c>
      <c r="F339" s="132" t="n">
        <f aca="false">Spreads!X339</f>
        <v>166.10752158</v>
      </c>
      <c r="G339" s="131" t="n">
        <f aca="false">IF(AND(ISNUMBER(E339),ISNUMBER(F339)),F339-E339,"")</f>
        <v>-4.42413841999999</v>
      </c>
      <c r="H339" s="133" t="n">
        <f aca="false">IF(AND(ISNUMBER(E339),ISNUMBER(F339)),IF(E339=0,"",F339/E339-1),"")</f>
        <v>-0.0259432085514209</v>
      </c>
    </row>
    <row r="340" customFormat="false" ht="15" hidden="false" customHeight="false" outlineLevel="0" collapsed="false">
      <c r="A340" s="0" t="s">
        <v>19</v>
      </c>
      <c r="B340" s="0" t="s">
        <v>44</v>
      </c>
      <c r="C340" s="0" t="n">
        <v>327</v>
      </c>
      <c r="D340" s="0" t="s">
        <v>364</v>
      </c>
      <c r="E340" s="131" t="n">
        <v>132.483903675539</v>
      </c>
      <c r="F340" s="132" t="n">
        <f aca="false">Spreads!X327</f>
        <v>132.3</v>
      </c>
      <c r="G340" s="131" t="n">
        <f aca="false">IF(AND(ISNUMBER(E340),ISNUMBER(F340)),F340-E340,"")</f>
        <v>-0.183903675538687</v>
      </c>
      <c r="H340" s="133" t="n">
        <f aca="false">IF(AND(ISNUMBER(E340),ISNUMBER(F340)),IF(E340=0,"",F340/E340-1),"")</f>
        <v>-0.00138812089949492</v>
      </c>
    </row>
    <row r="341" customFormat="false" ht="15" hidden="false" customHeight="false" outlineLevel="0" collapsed="false">
      <c r="A341" s="0" t="s">
        <v>19</v>
      </c>
      <c r="B341" s="0" t="s">
        <v>44</v>
      </c>
      <c r="C341" s="0" t="n">
        <v>328</v>
      </c>
      <c r="D341" s="0" t="s">
        <v>365</v>
      </c>
      <c r="E341" s="131" t="n">
        <v>22.4141951837769</v>
      </c>
      <c r="F341" s="132" t="n">
        <f aca="false">Spreads!X328</f>
        <v>22.4</v>
      </c>
      <c r="G341" s="131" t="n">
        <f aca="false">IF(AND(ISNUMBER(E341),ISNUMBER(F341)),F341-E341,"")</f>
        <v>-0.0141951837769305</v>
      </c>
      <c r="H341" s="133" t="n">
        <f aca="false">IF(AND(ISNUMBER(E341),ISNUMBER(F341)),IF(E341=0,"",F341/E341-1),"")</f>
        <v>-0.000633312222925841</v>
      </c>
    </row>
    <row r="342" customFormat="false" ht="15" hidden="false" customHeight="false" outlineLevel="0" collapsed="false">
      <c r="A342" s="0" t="s">
        <v>20</v>
      </c>
      <c r="B342" s="0" t="s">
        <v>45</v>
      </c>
      <c r="C342" s="0" t="n">
        <v>43</v>
      </c>
      <c r="D342" s="0" t="s">
        <v>340</v>
      </c>
      <c r="E342" s="131" t="n">
        <v>329.2</v>
      </c>
      <c r="F342" s="132" t="n">
        <f aca="false">Spreads!Y43</f>
        <v>438.6</v>
      </c>
      <c r="G342" s="131" t="n">
        <f aca="false">IF(AND(ISNUMBER(E342),ISNUMBER(F342)),F342-E342,"")</f>
        <v>109.4</v>
      </c>
      <c r="H342" s="133" t="n">
        <f aca="false">IF(AND(ISNUMBER(E342),ISNUMBER(F342)),IF(E342=0,"",F342/E342-1),"")</f>
        <v>0.332320777642771</v>
      </c>
    </row>
    <row r="343" customFormat="false" ht="15" hidden="false" customHeight="false" outlineLevel="0" collapsed="false">
      <c r="A343" s="0" t="s">
        <v>20</v>
      </c>
      <c r="B343" s="0" t="s">
        <v>45</v>
      </c>
      <c r="C343" s="0" t="n">
        <v>44</v>
      </c>
      <c r="D343" s="0" t="s">
        <v>341</v>
      </c>
      <c r="E343" s="131"/>
      <c r="F343" s="132" t="n">
        <f aca="false">Spreads!Y44</f>
        <v>0</v>
      </c>
      <c r="G343" s="131" t="str">
        <f aca="false">IF(AND(ISNUMBER(E343),ISNUMBER(F343)),F343-E343,"")</f>
        <v/>
      </c>
      <c r="H343" s="133" t="str">
        <f aca="false">IF(AND(ISNUMBER(E343),ISNUMBER(F343)),IF(E343=0,"",F343/E343-1),"")</f>
        <v/>
      </c>
    </row>
    <row r="344" customFormat="false" ht="15" hidden="false" customHeight="false" outlineLevel="0" collapsed="false">
      <c r="A344" s="0" t="s">
        <v>20</v>
      </c>
      <c r="B344" s="0" t="s">
        <v>45</v>
      </c>
      <c r="C344" s="0" t="n">
        <v>45</v>
      </c>
      <c r="D344" s="0" t="s">
        <v>342</v>
      </c>
      <c r="E344" s="131"/>
      <c r="F344" s="132" t="n">
        <f aca="false">Spreads!Y45</f>
        <v>0</v>
      </c>
      <c r="G344" s="131" t="str">
        <f aca="false">IF(AND(ISNUMBER(E344),ISNUMBER(F344)),F344-E344,"")</f>
        <v/>
      </c>
      <c r="H344" s="133" t="str">
        <f aca="false">IF(AND(ISNUMBER(E344),ISNUMBER(F344)),IF(E344=0,"",F344/E344-1),"")</f>
        <v/>
      </c>
    </row>
    <row r="345" customFormat="false" ht="15" hidden="false" customHeight="false" outlineLevel="0" collapsed="false">
      <c r="A345" s="0" t="s">
        <v>20</v>
      </c>
      <c r="B345" s="0" t="s">
        <v>45</v>
      </c>
      <c r="C345" s="0" t="n">
        <v>46</v>
      </c>
      <c r="D345" s="0" t="s">
        <v>343</v>
      </c>
      <c r="E345" s="131" t="n">
        <v>0</v>
      </c>
      <c r="F345" s="132" t="n">
        <f aca="false">Spreads!Y46</f>
        <v>0</v>
      </c>
      <c r="G345" s="131" t="n">
        <f aca="false">IF(AND(ISNUMBER(E345),ISNUMBER(F345)),F345-E345,"")</f>
        <v>0</v>
      </c>
      <c r="H345" s="133" t="str">
        <f aca="false">IF(AND(ISNUMBER(E345),ISNUMBER(F345)),IF(E345=0,"",F345/E345-1),"")</f>
        <v/>
      </c>
    </row>
    <row r="346" customFormat="false" ht="15" hidden="false" customHeight="false" outlineLevel="0" collapsed="false">
      <c r="A346" s="0" t="s">
        <v>20</v>
      </c>
      <c r="B346" s="0" t="s">
        <v>45</v>
      </c>
      <c r="C346" s="0" t="n">
        <v>55</v>
      </c>
      <c r="D346" s="0" t="s">
        <v>344</v>
      </c>
      <c r="E346" s="131" t="n">
        <v>233.9</v>
      </c>
      <c r="F346" s="132" t="n">
        <f aca="false">Spreads!Y55</f>
        <v>276.7</v>
      </c>
      <c r="G346" s="131" t="n">
        <f aca="false">IF(AND(ISNUMBER(E346),ISNUMBER(F346)),F346-E346,"")</f>
        <v>42.8</v>
      </c>
      <c r="H346" s="133" t="n">
        <f aca="false">IF(AND(ISNUMBER(E346),ISNUMBER(F346)),IF(E346=0,"",F346/E346-1),"")</f>
        <v>0.182984181274049</v>
      </c>
    </row>
    <row r="347" customFormat="false" ht="15" hidden="false" customHeight="false" outlineLevel="0" collapsed="false">
      <c r="A347" s="0" t="s">
        <v>20</v>
      </c>
      <c r="B347" s="0" t="s">
        <v>45</v>
      </c>
      <c r="C347" s="0" t="n">
        <v>56</v>
      </c>
      <c r="D347" s="0" t="s">
        <v>345</v>
      </c>
      <c r="E347" s="131" t="n">
        <v>1414.3</v>
      </c>
      <c r="F347" s="132" t="n">
        <f aca="false">Spreads!Y56</f>
        <v>1307.4</v>
      </c>
      <c r="G347" s="131" t="n">
        <f aca="false">IF(AND(ISNUMBER(E347),ISNUMBER(F347)),F347-E347,"")</f>
        <v>-106.9</v>
      </c>
      <c r="H347" s="133" t="n">
        <f aca="false">IF(AND(ISNUMBER(E347),ISNUMBER(F347)),IF(E347=0,"",F347/E347-1),"")</f>
        <v>-0.0755850951000494</v>
      </c>
    </row>
    <row r="348" customFormat="false" ht="15" hidden="false" customHeight="false" outlineLevel="0" collapsed="false">
      <c r="A348" s="0" t="s">
        <v>20</v>
      </c>
      <c r="B348" s="0" t="s">
        <v>45</v>
      </c>
      <c r="C348" s="0" t="n">
        <v>58</v>
      </c>
      <c r="D348" s="0" t="s">
        <v>346</v>
      </c>
      <c r="E348" s="131"/>
      <c r="F348" s="132" t="n">
        <f aca="false">Spreads!Y58</f>
        <v>319.3</v>
      </c>
      <c r="G348" s="131" t="str">
        <f aca="false">IF(AND(ISNUMBER(E348),ISNUMBER(F348)),F348-E348,"")</f>
        <v/>
      </c>
      <c r="H348" s="133" t="str">
        <f aca="false">IF(AND(ISNUMBER(E348),ISNUMBER(F348)),IF(E348=0,"",F348/E348-1),"")</f>
        <v/>
      </c>
    </row>
    <row r="349" customFormat="false" ht="15" hidden="false" customHeight="false" outlineLevel="0" collapsed="false">
      <c r="A349" s="0" t="s">
        <v>20</v>
      </c>
      <c r="B349" s="0" t="s">
        <v>45</v>
      </c>
      <c r="C349" s="0" t="n">
        <v>62</v>
      </c>
      <c r="D349" s="0" t="s">
        <v>347</v>
      </c>
      <c r="E349" s="131" t="n">
        <v>0</v>
      </c>
      <c r="F349" s="132" t="n">
        <f aca="false">Spreads!Y62</f>
        <v>319.3</v>
      </c>
      <c r="G349" s="131" t="n">
        <f aca="false">IF(AND(ISNUMBER(E349),ISNUMBER(F349)),F349-E349,"")</f>
        <v>319.3</v>
      </c>
      <c r="H349" s="133" t="str">
        <f aca="false">IF(AND(ISNUMBER(E349),ISNUMBER(F349)),IF(E349=0,"",F349/E349-1),"")</f>
        <v/>
      </c>
    </row>
    <row r="350" customFormat="false" ht="15" hidden="false" customHeight="false" outlineLevel="0" collapsed="false">
      <c r="A350" s="0" t="s">
        <v>20</v>
      </c>
      <c r="B350" s="0" t="s">
        <v>45</v>
      </c>
      <c r="C350" s="0" t="n">
        <v>70</v>
      </c>
      <c r="D350" s="0" t="s">
        <v>348</v>
      </c>
      <c r="E350" s="131" t="n">
        <v>-27.3</v>
      </c>
      <c r="F350" s="132" t="n">
        <f aca="false">Spreads!Y70</f>
        <v>-29.1</v>
      </c>
      <c r="G350" s="131" t="n">
        <f aca="false">IF(AND(ISNUMBER(E350),ISNUMBER(F350)),F350-E350,"")</f>
        <v>-1.8</v>
      </c>
      <c r="H350" s="133" t="n">
        <f aca="false">IF(AND(ISNUMBER(E350),ISNUMBER(F350)),IF(E350=0,"",F350/E350-1),"")</f>
        <v>0.0659340659340659</v>
      </c>
    </row>
    <row r="351" customFormat="false" ht="15" hidden="false" customHeight="false" outlineLevel="0" collapsed="false">
      <c r="A351" s="0" t="s">
        <v>20</v>
      </c>
      <c r="B351" s="0" t="s">
        <v>45</v>
      </c>
      <c r="C351" s="0" t="n">
        <v>74</v>
      </c>
      <c r="D351" s="0" t="s">
        <v>349</v>
      </c>
      <c r="E351" s="131" t="n">
        <v>44.6</v>
      </c>
      <c r="F351" s="132" t="n">
        <f aca="false">Spreads!Y74</f>
        <v>41.4</v>
      </c>
      <c r="G351" s="131" t="n">
        <f aca="false">IF(AND(ISNUMBER(E351),ISNUMBER(F351)),F351-E351,"")</f>
        <v>-3.2</v>
      </c>
      <c r="H351" s="133" t="n">
        <f aca="false">IF(AND(ISNUMBER(E351),ISNUMBER(F351)),IF(E351=0,"",F351/E351-1),"")</f>
        <v>-0.0717488789237669</v>
      </c>
    </row>
    <row r="352" customFormat="false" ht="15" hidden="false" customHeight="false" outlineLevel="0" collapsed="false">
      <c r="A352" s="0" t="s">
        <v>20</v>
      </c>
      <c r="B352" s="0" t="s">
        <v>45</v>
      </c>
      <c r="C352" s="0" t="n">
        <v>77</v>
      </c>
      <c r="D352" s="0" t="s">
        <v>350</v>
      </c>
      <c r="E352" s="131" t="n">
        <v>0</v>
      </c>
      <c r="F352" s="132" t="n">
        <f aca="false">Spreads!Y77</f>
        <v>0</v>
      </c>
      <c r="G352" s="131" t="n">
        <f aca="false">IF(AND(ISNUMBER(E352),ISNUMBER(F352)),F352-E352,"")</f>
        <v>0</v>
      </c>
      <c r="H352" s="133" t="str">
        <f aca="false">IF(AND(ISNUMBER(E352),ISNUMBER(F352)),IF(E352=0,"",F352/E352-1),"")</f>
        <v/>
      </c>
    </row>
    <row r="353" customFormat="false" ht="15" hidden="false" customHeight="false" outlineLevel="0" collapsed="false">
      <c r="A353" s="0" t="s">
        <v>20</v>
      </c>
      <c r="B353" s="0" t="s">
        <v>45</v>
      </c>
      <c r="C353" s="0" t="n">
        <v>81</v>
      </c>
      <c r="D353" s="0" t="s">
        <v>351</v>
      </c>
      <c r="E353" s="131" t="n">
        <v>1082.9</v>
      </c>
      <c r="F353" s="132" t="n">
        <f aca="false">Spreads!Y81</f>
        <v>1061</v>
      </c>
      <c r="G353" s="131" t="n">
        <f aca="false">IF(AND(ISNUMBER(E353),ISNUMBER(F353)),F353-E353,"")</f>
        <v>-21.9000000000001</v>
      </c>
      <c r="H353" s="133" t="n">
        <f aca="false">IF(AND(ISNUMBER(E353),ISNUMBER(F353)),IF(E353=0,"",F353/E353-1),"")</f>
        <v>-0.0202234740049867</v>
      </c>
    </row>
    <row r="354" customFormat="false" ht="15" hidden="false" customHeight="false" outlineLevel="0" collapsed="false">
      <c r="A354" s="0" t="s">
        <v>20</v>
      </c>
      <c r="B354" s="0" t="s">
        <v>45</v>
      </c>
      <c r="C354" s="0" t="n">
        <v>137</v>
      </c>
      <c r="D354" s="0" t="s">
        <v>352</v>
      </c>
      <c r="E354" s="131" t="n">
        <v>153.9318</v>
      </c>
      <c r="F354" s="132" t="n">
        <f aca="false">Spreads!Y137</f>
        <v>153.402556</v>
      </c>
      <c r="G354" s="131" t="n">
        <f aca="false">IF(AND(ISNUMBER(E354),ISNUMBER(F354)),F354-E354,"")</f>
        <v>-0.529244000000006</v>
      </c>
      <c r="H354" s="133" t="n">
        <f aca="false">IF(AND(ISNUMBER(E354),ISNUMBER(F354)),IF(E354=0,"",F354/E354-1),"")</f>
        <v>-0.00343817196966456</v>
      </c>
    </row>
    <row r="355" customFormat="false" ht="15" hidden="false" customHeight="false" outlineLevel="0" collapsed="false">
      <c r="A355" s="0" t="s">
        <v>20</v>
      </c>
      <c r="B355" s="0" t="s">
        <v>45</v>
      </c>
      <c r="C355" s="0" t="n">
        <v>145</v>
      </c>
      <c r="D355" s="0" t="s">
        <v>353</v>
      </c>
      <c r="E355" s="131" t="n">
        <v>153.9318</v>
      </c>
      <c r="F355" s="132" t="n">
        <f aca="false">Spreads!Y145</f>
        <v>155.154696</v>
      </c>
      <c r="G355" s="131" t="n">
        <f aca="false">IF(AND(ISNUMBER(E355),ISNUMBER(F355)),F355-E355,"")</f>
        <v>1.22289599999999</v>
      </c>
      <c r="H355" s="133" t="n">
        <f aca="false">IF(AND(ISNUMBER(E355),ISNUMBER(F355)),IF(E355=0,"",F355/E355-1),"")</f>
        <v>0.00794440135176733</v>
      </c>
    </row>
    <row r="356" customFormat="false" ht="15" hidden="false" customHeight="false" outlineLevel="0" collapsed="false">
      <c r="A356" s="0" t="s">
        <v>20</v>
      </c>
      <c r="B356" s="0" t="s">
        <v>45</v>
      </c>
      <c r="C356" s="0" t="n">
        <v>50</v>
      </c>
      <c r="D356" s="0" t="s">
        <v>354</v>
      </c>
      <c r="E356" s="131" t="n">
        <v>437.32577292</v>
      </c>
      <c r="F356" s="132" t="n">
        <f aca="false">Spreads!Y50</f>
        <v>579.893753148</v>
      </c>
      <c r="G356" s="131" t="n">
        <f aca="false">IF(AND(ISNUMBER(E356),ISNUMBER(F356)),F356-E356,"")</f>
        <v>142.567980228</v>
      </c>
      <c r="H356" s="133" t="n">
        <f aca="false">IF(AND(ISNUMBER(E356),ISNUMBER(F356)),IF(E356=0,"",F356/E356-1),"")</f>
        <v>0.325999492954832</v>
      </c>
    </row>
    <row r="357" customFormat="false" ht="15" hidden="false" customHeight="false" outlineLevel="0" collapsed="false">
      <c r="A357" s="0" t="s">
        <v>20</v>
      </c>
      <c r="B357" s="0" t="s">
        <v>45</v>
      </c>
      <c r="C357" s="0" t="n">
        <v>65</v>
      </c>
      <c r="D357" s="0" t="s">
        <v>355</v>
      </c>
      <c r="E357" s="131" t="n">
        <v>2153.41759111381</v>
      </c>
      <c r="F357" s="132" t="n">
        <f aca="false">Spreads!Y65</f>
        <v>2056.26165099917</v>
      </c>
      <c r="G357" s="131" t="n">
        <f aca="false">IF(AND(ISNUMBER(E357),ISNUMBER(F357)),F357-E357,"")</f>
        <v>-97.155940114636</v>
      </c>
      <c r="H357" s="133" t="n">
        <f aca="false">IF(AND(ISNUMBER(E357),ISNUMBER(F357)),IF(E357=0,"",F357/E357-1),"")</f>
        <v>-0.0451170922516632</v>
      </c>
    </row>
    <row r="358" customFormat="false" ht="15" hidden="false" customHeight="false" outlineLevel="0" collapsed="false">
      <c r="A358" s="0" t="s">
        <v>20</v>
      </c>
      <c r="B358" s="0" t="s">
        <v>45</v>
      </c>
      <c r="C358" s="0" t="n">
        <v>27</v>
      </c>
      <c r="D358" s="0" t="s">
        <v>356</v>
      </c>
      <c r="E358" s="131" t="n">
        <v>9560.37174654841</v>
      </c>
      <c r="F358" s="132" t="n">
        <f aca="false">Spreads!Y27</f>
        <v>9377.98325622589</v>
      </c>
      <c r="G358" s="131" t="n">
        <f aca="false">IF(AND(ISNUMBER(E358),ISNUMBER(F358)),F358-E358,"")</f>
        <v>-182.388490322524</v>
      </c>
      <c r="H358" s="133" t="n">
        <f aca="false">IF(AND(ISNUMBER(E358),ISNUMBER(F358)),IF(E358=0,"",F358/E358-1),"")</f>
        <v>-0.0190775521243065</v>
      </c>
    </row>
    <row r="359" customFormat="false" ht="15" hidden="false" customHeight="false" outlineLevel="0" collapsed="false">
      <c r="A359" s="0" t="s">
        <v>20</v>
      </c>
      <c r="B359" s="0" t="s">
        <v>45</v>
      </c>
      <c r="C359" s="0" t="n">
        <v>205</v>
      </c>
      <c r="D359" s="0" t="s">
        <v>357</v>
      </c>
      <c r="E359" s="131" t="n">
        <v>4564.8857</v>
      </c>
      <c r="F359" s="132" t="n">
        <f aca="false">Spreads!Y205</f>
        <v>4524.29624888</v>
      </c>
      <c r="G359" s="131" t="n">
        <f aca="false">IF(AND(ISNUMBER(E359),ISNUMBER(F359)),F359-E359,"")</f>
        <v>-40.5894511199995</v>
      </c>
      <c r="H359" s="133" t="n">
        <f aca="false">IF(AND(ISNUMBER(E359),ISNUMBER(F359)),IF(E359=0,"",F359/E359-1),"")</f>
        <v>-0.00889166866105751</v>
      </c>
    </row>
    <row r="360" customFormat="false" ht="15" hidden="false" customHeight="false" outlineLevel="0" collapsed="false">
      <c r="A360" s="0" t="s">
        <v>20</v>
      </c>
      <c r="B360" s="0" t="s">
        <v>45</v>
      </c>
      <c r="C360" s="0" t="n">
        <v>245</v>
      </c>
      <c r="D360" s="0" t="s">
        <v>358</v>
      </c>
      <c r="E360" s="131" t="n">
        <v>824.2229</v>
      </c>
      <c r="F360" s="132" t="n">
        <f aca="false">Spreads!Y245</f>
        <v>714.98014214</v>
      </c>
      <c r="G360" s="131" t="n">
        <f aca="false">IF(AND(ISNUMBER(E360),ISNUMBER(F360)),F360-E360,"")</f>
        <v>-109.24275786</v>
      </c>
      <c r="H360" s="133" t="n">
        <f aca="false">IF(AND(ISNUMBER(E360),ISNUMBER(F360)),IF(E360=0,"",F360/E360-1),"")</f>
        <v>-0.13254030901107</v>
      </c>
    </row>
    <row r="361" customFormat="false" ht="15" hidden="false" customHeight="false" outlineLevel="0" collapsed="false">
      <c r="A361" s="0" t="s">
        <v>20</v>
      </c>
      <c r="B361" s="0" t="s">
        <v>45</v>
      </c>
      <c r="C361" s="0" t="n">
        <v>265</v>
      </c>
      <c r="D361" s="0" t="s">
        <v>359</v>
      </c>
      <c r="E361" s="131" t="n">
        <v>1046.3746</v>
      </c>
      <c r="F361" s="132" t="n">
        <f aca="false">Spreads!Y265</f>
        <v>989.4755609</v>
      </c>
      <c r="G361" s="131" t="n">
        <f aca="false">IF(AND(ISNUMBER(E361),ISNUMBER(F361)),F361-E361,"")</f>
        <v>-56.8990391000002</v>
      </c>
      <c r="H361" s="133" t="n">
        <f aca="false">IF(AND(ISNUMBER(E361),ISNUMBER(F361)),IF(E361=0,"",F361/E361-1),"")</f>
        <v>-0.0543773129622988</v>
      </c>
    </row>
    <row r="362" customFormat="false" ht="15" hidden="false" customHeight="false" outlineLevel="0" collapsed="false">
      <c r="A362" s="0" t="s">
        <v>20</v>
      </c>
      <c r="B362" s="0" t="s">
        <v>45</v>
      </c>
      <c r="C362" s="0" t="n">
        <v>275</v>
      </c>
      <c r="D362" s="0" t="s">
        <v>360</v>
      </c>
      <c r="E362" s="131" t="n">
        <v>923.158689733406</v>
      </c>
      <c r="F362" s="132" t="n">
        <f aca="false">Spreads!Y275</f>
        <v>866.522188032</v>
      </c>
      <c r="G362" s="131" t="n">
        <f aca="false">IF(AND(ISNUMBER(E362),ISNUMBER(F362)),F362-E362,"")</f>
        <v>-56.6365017014058</v>
      </c>
      <c r="H362" s="133" t="n">
        <f aca="false">IF(AND(ISNUMBER(E362),ISNUMBER(F362)),IF(E362=0,"",F362/E362-1),"")</f>
        <v>-0.0613507756914053</v>
      </c>
    </row>
    <row r="363" customFormat="false" ht="15" hidden="false" customHeight="false" outlineLevel="0" collapsed="false">
      <c r="A363" s="0" t="s">
        <v>20</v>
      </c>
      <c r="B363" s="0" t="s">
        <v>45</v>
      </c>
      <c r="C363" s="0" t="n">
        <v>285</v>
      </c>
      <c r="D363" s="0" t="s">
        <v>361</v>
      </c>
      <c r="E363" s="131" t="n">
        <v>536.22375</v>
      </c>
      <c r="F363" s="132" t="n">
        <f aca="false">Spreads!Y285</f>
        <v>452.8778883</v>
      </c>
      <c r="G363" s="131" t="n">
        <f aca="false">IF(AND(ISNUMBER(E363),ISNUMBER(F363)),F363-E363,"")</f>
        <v>-83.3458616999999</v>
      </c>
      <c r="H363" s="133" t="n">
        <f aca="false">IF(AND(ISNUMBER(E363),ISNUMBER(F363)),IF(E363=0,"",F363/E363-1),"")</f>
        <v>-0.155431126838377</v>
      </c>
    </row>
    <row r="364" customFormat="false" ht="15" hidden="false" customHeight="false" outlineLevel="0" collapsed="false">
      <c r="A364" s="0" t="s">
        <v>20</v>
      </c>
      <c r="B364" s="0" t="s">
        <v>45</v>
      </c>
      <c r="C364" s="0" t="n">
        <v>295</v>
      </c>
      <c r="D364" s="0" t="s">
        <v>362</v>
      </c>
      <c r="E364" s="131" t="n">
        <v>3.3721836</v>
      </c>
      <c r="F364" s="132" t="n">
        <f aca="false">Spreads!Y295</f>
        <v>2.847791088</v>
      </c>
      <c r="G364" s="131" t="n">
        <f aca="false">IF(AND(ISNUMBER(E364),ISNUMBER(F364)),F364-E364,"")</f>
        <v>-0.524392512</v>
      </c>
      <c r="H364" s="133" t="n">
        <f aca="false">IF(AND(ISNUMBER(E364),ISNUMBER(F364)),IF(E364=0,"",F364/E364-1),"")</f>
        <v>-0.155505326578304</v>
      </c>
    </row>
    <row r="365" customFormat="false" ht="15" hidden="false" customHeight="false" outlineLevel="0" collapsed="false">
      <c r="A365" s="0" t="s">
        <v>20</v>
      </c>
      <c r="B365" s="0" t="s">
        <v>45</v>
      </c>
      <c r="C365" s="0" t="n">
        <v>339</v>
      </c>
      <c r="D365" s="0" t="s">
        <v>363</v>
      </c>
      <c r="E365" s="131" t="n">
        <v>192.88625</v>
      </c>
      <c r="F365" s="132" t="n">
        <f aca="false">Spreads!Y339</f>
        <v>190.5119501</v>
      </c>
      <c r="G365" s="131" t="n">
        <f aca="false">IF(AND(ISNUMBER(E365),ISNUMBER(F365)),F365-E365,"")</f>
        <v>-2.37429989999998</v>
      </c>
      <c r="H365" s="133" t="n">
        <f aca="false">IF(AND(ISNUMBER(E365),ISNUMBER(F365)),IF(E365=0,"",F365/E365-1),"")</f>
        <v>-0.0123093268701112</v>
      </c>
    </row>
    <row r="366" customFormat="false" ht="15" hidden="false" customHeight="false" outlineLevel="0" collapsed="false">
      <c r="A366" s="0" t="s">
        <v>20</v>
      </c>
      <c r="B366" s="0" t="s">
        <v>45</v>
      </c>
      <c r="C366" s="0" t="n">
        <v>327</v>
      </c>
      <c r="D366" s="0" t="s">
        <v>364</v>
      </c>
      <c r="E366" s="131" t="n">
        <v>80.1</v>
      </c>
      <c r="F366" s="132" t="n">
        <f aca="false">Spreads!Y327</f>
        <v>80.1</v>
      </c>
      <c r="G366" s="131" t="n">
        <f aca="false">IF(AND(ISNUMBER(E366),ISNUMBER(F366)),F366-E366,"")</f>
        <v>0</v>
      </c>
      <c r="H366" s="133" t="n">
        <f aca="false">IF(AND(ISNUMBER(E366),ISNUMBER(F366)),IF(E366=0,"",F366/E366-1),"")</f>
        <v>0</v>
      </c>
    </row>
    <row r="367" customFormat="false" ht="15" hidden="false" customHeight="false" outlineLevel="0" collapsed="false">
      <c r="A367" s="0" t="s">
        <v>20</v>
      </c>
      <c r="B367" s="0" t="s">
        <v>45</v>
      </c>
      <c r="C367" s="0" t="n">
        <v>328</v>
      </c>
      <c r="D367" s="0" t="s">
        <v>365</v>
      </c>
      <c r="E367" s="131" t="n">
        <v>11.749362244898</v>
      </c>
      <c r="F367" s="132" t="n">
        <f aca="false">Spreads!Y328</f>
        <v>11.5</v>
      </c>
      <c r="G367" s="131" t="n">
        <f aca="false">IF(AND(ISNUMBER(E367),ISNUMBER(F367)),F367-E367,"")</f>
        <v>-0.249362244897959</v>
      </c>
      <c r="H367" s="133" t="n">
        <f aca="false">IF(AND(ISNUMBER(E367),ISNUMBER(F367)),IF(E367=0,"",F367/E367-1),"")</f>
        <v>-0.021223470661673</v>
      </c>
    </row>
    <row r="368" customFormat="false" ht="15" hidden="false" customHeight="false" outlineLevel="0" collapsed="false">
      <c r="A368" s="0" t="s">
        <v>21</v>
      </c>
      <c r="B368" s="0" t="s">
        <v>46</v>
      </c>
      <c r="C368" s="0" t="n">
        <v>43</v>
      </c>
      <c r="D368" s="0" t="s">
        <v>340</v>
      </c>
      <c r="E368" s="131" t="n">
        <v>539</v>
      </c>
      <c r="F368" s="132" t="n">
        <f aca="false">Spreads!Z43</f>
        <v>539</v>
      </c>
      <c r="G368" s="131" t="n">
        <f aca="false">IF(AND(ISNUMBER(E368),ISNUMBER(F368)),F368-E368,"")</f>
        <v>0</v>
      </c>
      <c r="H368" s="133" t="n">
        <f aca="false">IF(AND(ISNUMBER(E368),ISNUMBER(F368)),IF(E368=0,"",F368/E368-1),"")</f>
        <v>0</v>
      </c>
    </row>
    <row r="369" customFormat="false" ht="15" hidden="false" customHeight="false" outlineLevel="0" collapsed="false">
      <c r="A369" s="0" t="s">
        <v>21</v>
      </c>
      <c r="B369" s="0" t="s">
        <v>46</v>
      </c>
      <c r="C369" s="0" t="n">
        <v>44</v>
      </c>
      <c r="D369" s="0" t="s">
        <v>341</v>
      </c>
      <c r="E369" s="131"/>
      <c r="F369" s="132" t="n">
        <f aca="false">Spreads!Z44</f>
        <v>0</v>
      </c>
      <c r="G369" s="131" t="str">
        <f aca="false">IF(AND(ISNUMBER(E369),ISNUMBER(F369)),F369-E369,"")</f>
        <v/>
      </c>
      <c r="H369" s="133" t="str">
        <f aca="false">IF(AND(ISNUMBER(E369),ISNUMBER(F369)),IF(E369=0,"",F369/E369-1),"")</f>
        <v/>
      </c>
    </row>
    <row r="370" customFormat="false" ht="15" hidden="false" customHeight="false" outlineLevel="0" collapsed="false">
      <c r="A370" s="0" t="s">
        <v>21</v>
      </c>
      <c r="B370" s="0" t="s">
        <v>46</v>
      </c>
      <c r="C370" s="0" t="n">
        <v>45</v>
      </c>
      <c r="D370" s="0" t="s">
        <v>342</v>
      </c>
      <c r="E370" s="131"/>
      <c r="F370" s="132" t="n">
        <f aca="false">Spreads!Z45</f>
        <v>0</v>
      </c>
      <c r="G370" s="131" t="str">
        <f aca="false">IF(AND(ISNUMBER(E370),ISNUMBER(F370)),F370-E370,"")</f>
        <v/>
      </c>
      <c r="H370" s="133" t="str">
        <f aca="false">IF(AND(ISNUMBER(E370),ISNUMBER(F370)),IF(E370=0,"",F370/E370-1),"")</f>
        <v/>
      </c>
    </row>
    <row r="371" customFormat="false" ht="15" hidden="false" customHeight="false" outlineLevel="0" collapsed="false">
      <c r="A371" s="0" t="s">
        <v>21</v>
      </c>
      <c r="B371" s="0" t="s">
        <v>46</v>
      </c>
      <c r="C371" s="0" t="n">
        <v>46</v>
      </c>
      <c r="D371" s="0" t="s">
        <v>343</v>
      </c>
      <c r="E371" s="131" t="n">
        <v>0</v>
      </c>
      <c r="F371" s="132" t="n">
        <f aca="false">Spreads!Z46</f>
        <v>0</v>
      </c>
      <c r="G371" s="131" t="n">
        <f aca="false">IF(AND(ISNUMBER(E371),ISNUMBER(F371)),F371-E371,"")</f>
        <v>0</v>
      </c>
      <c r="H371" s="133" t="str">
        <f aca="false">IF(AND(ISNUMBER(E371),ISNUMBER(F371)),IF(E371=0,"",F371/E371-1),"")</f>
        <v/>
      </c>
    </row>
    <row r="372" customFormat="false" ht="15" hidden="false" customHeight="false" outlineLevel="0" collapsed="false">
      <c r="A372" s="0" t="s">
        <v>21</v>
      </c>
      <c r="B372" s="0" t="s">
        <v>46</v>
      </c>
      <c r="C372" s="0" t="n">
        <v>55</v>
      </c>
      <c r="D372" s="0" t="s">
        <v>344</v>
      </c>
      <c r="E372" s="131" t="n">
        <v>251</v>
      </c>
      <c r="F372" s="132" t="n">
        <f aca="false">Spreads!Z55</f>
        <v>200</v>
      </c>
      <c r="G372" s="131" t="n">
        <f aca="false">IF(AND(ISNUMBER(E372),ISNUMBER(F372)),F372-E372,"")</f>
        <v>-51</v>
      </c>
      <c r="H372" s="133" t="n">
        <f aca="false">IF(AND(ISNUMBER(E372),ISNUMBER(F372)),IF(E372=0,"",F372/E372-1),"")</f>
        <v>-0.203187250996016</v>
      </c>
    </row>
    <row r="373" customFormat="false" ht="15" hidden="false" customHeight="false" outlineLevel="0" collapsed="false">
      <c r="A373" s="0" t="s">
        <v>21</v>
      </c>
      <c r="B373" s="0" t="s">
        <v>46</v>
      </c>
      <c r="C373" s="0" t="n">
        <v>56</v>
      </c>
      <c r="D373" s="0" t="s">
        <v>345</v>
      </c>
      <c r="E373" s="131" t="n">
        <v>5203</v>
      </c>
      <c r="F373" s="132" t="n">
        <f aca="false">Spreads!Z56</f>
        <v>4886</v>
      </c>
      <c r="G373" s="131" t="n">
        <f aca="false">IF(AND(ISNUMBER(E373),ISNUMBER(F373)),F373-E373,"")</f>
        <v>-317</v>
      </c>
      <c r="H373" s="133" t="n">
        <f aca="false">IF(AND(ISNUMBER(E373),ISNUMBER(F373)),IF(E373=0,"",F373/E373-1),"")</f>
        <v>-0.0609263886219489</v>
      </c>
    </row>
    <row r="374" customFormat="false" ht="15" hidden="false" customHeight="false" outlineLevel="0" collapsed="false">
      <c r="A374" s="0" t="s">
        <v>21</v>
      </c>
      <c r="B374" s="0" t="s">
        <v>46</v>
      </c>
      <c r="C374" s="0" t="n">
        <v>58</v>
      </c>
      <c r="D374" s="0" t="s">
        <v>346</v>
      </c>
      <c r="E374" s="131"/>
      <c r="F374" s="132" t="n">
        <f aca="false">Spreads!Z58</f>
        <v>0</v>
      </c>
      <c r="G374" s="131" t="str">
        <f aca="false">IF(AND(ISNUMBER(E374),ISNUMBER(F374)),F374-E374,"")</f>
        <v/>
      </c>
      <c r="H374" s="133" t="str">
        <f aca="false">IF(AND(ISNUMBER(E374),ISNUMBER(F374)),IF(E374=0,"",F374/E374-1),"")</f>
        <v/>
      </c>
    </row>
    <row r="375" customFormat="false" ht="15" hidden="false" customHeight="false" outlineLevel="0" collapsed="false">
      <c r="A375" s="0" t="s">
        <v>21</v>
      </c>
      <c r="B375" s="0" t="s">
        <v>46</v>
      </c>
      <c r="C375" s="0" t="n">
        <v>62</v>
      </c>
      <c r="D375" s="0" t="s">
        <v>347</v>
      </c>
      <c r="E375" s="131" t="n">
        <v>0</v>
      </c>
      <c r="F375" s="132" t="n">
        <f aca="false">Spreads!Z62</f>
        <v>0</v>
      </c>
      <c r="G375" s="131" t="n">
        <f aca="false">IF(AND(ISNUMBER(E375),ISNUMBER(F375)),F375-E375,"")</f>
        <v>0</v>
      </c>
      <c r="H375" s="133" t="str">
        <f aca="false">IF(AND(ISNUMBER(E375),ISNUMBER(F375)),IF(E375=0,"",F375/E375-1),"")</f>
        <v/>
      </c>
    </row>
    <row r="376" customFormat="false" ht="15" hidden="false" customHeight="false" outlineLevel="0" collapsed="false">
      <c r="A376" s="0" t="s">
        <v>21</v>
      </c>
      <c r="B376" s="0" t="s">
        <v>46</v>
      </c>
      <c r="C376" s="0" t="n">
        <v>70</v>
      </c>
      <c r="D376" s="0" t="s">
        <v>348</v>
      </c>
      <c r="E376" s="131" t="n">
        <v>-0.388000000000005</v>
      </c>
      <c r="F376" s="132" t="n">
        <f aca="false">Spreads!Z70</f>
        <v>59</v>
      </c>
      <c r="G376" s="131" t="n">
        <f aca="false">IF(AND(ISNUMBER(E376),ISNUMBER(F376)),F376-E376,"")</f>
        <v>59.388</v>
      </c>
      <c r="H376" s="133" t="n">
        <f aca="false">IF(AND(ISNUMBER(E376),ISNUMBER(F376)),IF(E376=0,"",F376/E376-1),"")</f>
        <v>-153.061855670101</v>
      </c>
    </row>
    <row r="377" customFormat="false" ht="15" hidden="false" customHeight="false" outlineLevel="0" collapsed="false">
      <c r="A377" s="0" t="s">
        <v>21</v>
      </c>
      <c r="B377" s="0" t="s">
        <v>46</v>
      </c>
      <c r="C377" s="0" t="n">
        <v>74</v>
      </c>
      <c r="D377" s="0" t="s">
        <v>349</v>
      </c>
      <c r="E377" s="131" t="n">
        <v>0</v>
      </c>
      <c r="F377" s="132" t="n">
        <f aca="false">Spreads!Z74</f>
        <v>0</v>
      </c>
      <c r="G377" s="131" t="n">
        <f aca="false">IF(AND(ISNUMBER(E377),ISNUMBER(F377)),F377-E377,"")</f>
        <v>0</v>
      </c>
      <c r="H377" s="133" t="str">
        <f aca="false">IF(AND(ISNUMBER(E377),ISNUMBER(F377)),IF(E377=0,"",F377/E377-1),"")</f>
        <v/>
      </c>
    </row>
    <row r="378" customFormat="false" ht="15" hidden="false" customHeight="false" outlineLevel="0" collapsed="false">
      <c r="A378" s="0" t="s">
        <v>21</v>
      </c>
      <c r="B378" s="0" t="s">
        <v>46</v>
      </c>
      <c r="C378" s="0" t="n">
        <v>77</v>
      </c>
      <c r="D378" s="0" t="s">
        <v>350</v>
      </c>
      <c r="E378" s="131" t="n">
        <v>0</v>
      </c>
      <c r="F378" s="132" t="n">
        <f aca="false">Spreads!Z77</f>
        <v>0</v>
      </c>
      <c r="G378" s="131" t="n">
        <f aca="false">IF(AND(ISNUMBER(E378),ISNUMBER(F378)),F378-E378,"")</f>
        <v>0</v>
      </c>
      <c r="H378" s="133" t="str">
        <f aca="false">IF(AND(ISNUMBER(E378),ISNUMBER(F378)),IF(E378=0,"",F378/E378-1),"")</f>
        <v/>
      </c>
    </row>
    <row r="379" customFormat="false" ht="15" hidden="false" customHeight="false" outlineLevel="0" collapsed="false">
      <c r="A379" s="0" t="s">
        <v>21</v>
      </c>
      <c r="B379" s="0" t="s">
        <v>46</v>
      </c>
      <c r="C379" s="0" t="n">
        <v>81</v>
      </c>
      <c r="D379" s="0" t="s">
        <v>351</v>
      </c>
      <c r="E379" s="131" t="n">
        <v>15195</v>
      </c>
      <c r="F379" s="132" t="n">
        <f aca="false">Spreads!Z81</f>
        <v>15195</v>
      </c>
      <c r="G379" s="131" t="n">
        <f aca="false">IF(AND(ISNUMBER(E379),ISNUMBER(F379)),F379-E379,"")</f>
        <v>0</v>
      </c>
      <c r="H379" s="133" t="n">
        <f aca="false">IF(AND(ISNUMBER(E379),ISNUMBER(F379)),IF(E379=0,"",F379/E379-1),"")</f>
        <v>0</v>
      </c>
    </row>
    <row r="380" customFormat="false" ht="15" hidden="false" customHeight="false" outlineLevel="0" collapsed="false">
      <c r="A380" s="0" t="s">
        <v>21</v>
      </c>
      <c r="B380" s="0" t="s">
        <v>46</v>
      </c>
      <c r="C380" s="0" t="n">
        <v>137</v>
      </c>
      <c r="D380" s="0" t="s">
        <v>352</v>
      </c>
      <c r="E380" s="131" t="n">
        <v>98.24811</v>
      </c>
      <c r="F380" s="132" t="n">
        <f aca="false">Spreads!Z137</f>
        <v>98.248111</v>
      </c>
      <c r="G380" s="131" t="n">
        <f aca="false">IF(AND(ISNUMBER(E380),ISNUMBER(F380)),F380-E380,"")</f>
        <v>9.99999997475243E-007</v>
      </c>
      <c r="H380" s="133" t="n">
        <f aca="false">IF(AND(ISNUMBER(E380),ISNUMBER(F380)),IF(E380=0,"",F380/E380-1),"")</f>
        <v>1.01783128592103E-008</v>
      </c>
    </row>
    <row r="381" customFormat="false" ht="15" hidden="false" customHeight="false" outlineLevel="0" collapsed="false">
      <c r="A381" s="0" t="s">
        <v>21</v>
      </c>
      <c r="B381" s="0" t="s">
        <v>46</v>
      </c>
      <c r="C381" s="0" t="n">
        <v>145</v>
      </c>
      <c r="D381" s="0" t="s">
        <v>353</v>
      </c>
      <c r="E381" s="131" t="n">
        <v>98.24811</v>
      </c>
      <c r="F381" s="132" t="n">
        <f aca="false">Spreads!Z145</f>
        <v>98.8122103111908</v>
      </c>
      <c r="G381" s="131" t="n">
        <f aca="false">IF(AND(ISNUMBER(E381),ISNUMBER(F381)),F381-E381,"")</f>
        <v>0.564100311190785</v>
      </c>
      <c r="H381" s="133" t="n">
        <f aca="false">IF(AND(ISNUMBER(E381),ISNUMBER(F381)),IF(E381=0,"",F381/E381-1),"")</f>
        <v>0.00574158944320446</v>
      </c>
    </row>
    <row r="382" customFormat="false" ht="15" hidden="false" customHeight="false" outlineLevel="0" collapsed="false">
      <c r="A382" s="0" t="s">
        <v>21</v>
      </c>
      <c r="B382" s="0" t="s">
        <v>46</v>
      </c>
      <c r="C382" s="0" t="n">
        <v>50</v>
      </c>
      <c r="D382" s="0" t="s">
        <v>354</v>
      </c>
      <c r="E382" s="131" t="n">
        <v>539</v>
      </c>
      <c r="F382" s="132" t="n">
        <f aca="false">Spreads!Z50</f>
        <v>539</v>
      </c>
      <c r="G382" s="131" t="n">
        <f aca="false">IF(AND(ISNUMBER(E382),ISNUMBER(F382)),F382-E382,"")</f>
        <v>0</v>
      </c>
      <c r="H382" s="133" t="n">
        <f aca="false">IF(AND(ISNUMBER(E382),ISNUMBER(F382)),IF(E382=0,"",F382/E382-1),"")</f>
        <v>0</v>
      </c>
    </row>
    <row r="383" customFormat="false" ht="15" hidden="false" customHeight="false" outlineLevel="0" collapsed="false">
      <c r="A383" s="0" t="s">
        <v>21</v>
      </c>
      <c r="B383" s="0" t="s">
        <v>46</v>
      </c>
      <c r="C383" s="0" t="n">
        <v>65</v>
      </c>
      <c r="D383" s="0" t="s">
        <v>355</v>
      </c>
      <c r="E383" s="131" t="n">
        <v>5453.69348</v>
      </c>
      <c r="F383" s="132" t="n">
        <f aca="false">Spreads!Z65</f>
        <v>5132.61</v>
      </c>
      <c r="G383" s="131" t="n">
        <f aca="false">IF(AND(ISNUMBER(E383),ISNUMBER(F383)),F383-E383,"")</f>
        <v>-321.08348</v>
      </c>
      <c r="H383" s="133" t="n">
        <f aca="false">IF(AND(ISNUMBER(E383),ISNUMBER(F383)),IF(E383=0,"",F383/E383-1),"")</f>
        <v>-0.0588745005889111</v>
      </c>
    </row>
    <row r="384" customFormat="false" ht="15" hidden="false" customHeight="false" outlineLevel="0" collapsed="false">
      <c r="A384" s="0" t="s">
        <v>21</v>
      </c>
      <c r="B384" s="0" t="s">
        <v>46</v>
      </c>
      <c r="C384" s="0" t="n">
        <v>27</v>
      </c>
      <c r="D384" s="0" t="s">
        <v>356</v>
      </c>
      <c r="E384" s="131" t="n">
        <v>46564.0322712</v>
      </c>
      <c r="F384" s="132" t="n">
        <f aca="false">Spreads!Z27</f>
        <v>46482.08219512</v>
      </c>
      <c r="G384" s="131" t="n">
        <f aca="false">IF(AND(ISNUMBER(E384),ISNUMBER(F384)),F384-E384,"")</f>
        <v>-81.9500760800147</v>
      </c>
      <c r="H384" s="133" t="n">
        <f aca="false">IF(AND(ISNUMBER(E384),ISNUMBER(F384)),IF(E384=0,"",F384/E384-1),"")</f>
        <v>-0.00175994371799071</v>
      </c>
    </row>
    <row r="385" customFormat="false" ht="15" hidden="false" customHeight="false" outlineLevel="0" collapsed="false">
      <c r="A385" s="0" t="s">
        <v>21</v>
      </c>
      <c r="B385" s="0" t="s">
        <v>46</v>
      </c>
      <c r="C385" s="0" t="n">
        <v>205</v>
      </c>
      <c r="D385" s="0" t="s">
        <v>357</v>
      </c>
      <c r="E385" s="131" t="n">
        <v>3165.286</v>
      </c>
      <c r="F385" s="132" t="n">
        <f aca="false">Spreads!Z205</f>
        <v>3165.286</v>
      </c>
      <c r="G385" s="131" t="n">
        <f aca="false">IF(AND(ISNUMBER(E385),ISNUMBER(F385)),F385-E385,"")</f>
        <v>0</v>
      </c>
      <c r="H385" s="133" t="n">
        <f aca="false">IF(AND(ISNUMBER(E385),ISNUMBER(F385)),IF(E385=0,"",F385/E385-1),"")</f>
        <v>0</v>
      </c>
    </row>
    <row r="386" customFormat="false" ht="15" hidden="false" customHeight="false" outlineLevel="0" collapsed="false">
      <c r="A386" s="0" t="s">
        <v>21</v>
      </c>
      <c r="B386" s="0" t="s">
        <v>46</v>
      </c>
      <c r="C386" s="0" t="n">
        <v>245</v>
      </c>
      <c r="D386" s="0" t="s">
        <v>358</v>
      </c>
      <c r="E386" s="131" t="n">
        <v>964.4</v>
      </c>
      <c r="F386" s="132" t="n">
        <f aca="false">Spreads!Z245</f>
        <v>802.588</v>
      </c>
      <c r="G386" s="131" t="n">
        <f aca="false">IF(AND(ISNUMBER(E386),ISNUMBER(F386)),F386-E386,"")</f>
        <v>-161.812</v>
      </c>
      <c r="H386" s="133" t="n">
        <f aca="false">IF(AND(ISNUMBER(E386),ISNUMBER(F386)),IF(E386=0,"",F386/E386-1),"")</f>
        <v>-0.167785151389465</v>
      </c>
    </row>
    <row r="387" customFormat="false" ht="15" hidden="false" customHeight="false" outlineLevel="0" collapsed="false">
      <c r="A387" s="0" t="s">
        <v>21</v>
      </c>
      <c r="B387" s="0" t="s">
        <v>46</v>
      </c>
      <c r="C387" s="0" t="n">
        <v>265</v>
      </c>
      <c r="D387" s="0" t="s">
        <v>359</v>
      </c>
      <c r="E387" s="131" t="n">
        <v>1122.95</v>
      </c>
      <c r="F387" s="132" t="n">
        <f aca="false">Spreads!Z265</f>
        <v>1008.825</v>
      </c>
      <c r="G387" s="131" t="n">
        <f aca="false">IF(AND(ISNUMBER(E387),ISNUMBER(F387)),F387-E387,"")</f>
        <v>-114.125</v>
      </c>
      <c r="H387" s="133" t="n">
        <f aca="false">IF(AND(ISNUMBER(E387),ISNUMBER(F387)),IF(E387=0,"",F387/E387-1),"")</f>
        <v>-0.101629636226012</v>
      </c>
    </row>
    <row r="388" customFormat="false" ht="15" hidden="false" customHeight="false" outlineLevel="0" collapsed="false">
      <c r="A388" s="0" t="s">
        <v>21</v>
      </c>
      <c r="B388" s="0" t="s">
        <v>46</v>
      </c>
      <c r="C388" s="0" t="n">
        <v>275</v>
      </c>
      <c r="D388" s="0" t="s">
        <v>360</v>
      </c>
      <c r="E388" s="131" t="n">
        <v>1122.95</v>
      </c>
      <c r="F388" s="132" t="n">
        <f aca="false">Spreads!Z275</f>
        <v>1008.825</v>
      </c>
      <c r="G388" s="131" t="n">
        <f aca="false">IF(AND(ISNUMBER(E388),ISNUMBER(F388)),F388-E388,"")</f>
        <v>-114.125</v>
      </c>
      <c r="H388" s="133" t="n">
        <f aca="false">IF(AND(ISNUMBER(E388),ISNUMBER(F388)),IF(E388=0,"",F388/E388-1),"")</f>
        <v>-0.101629636226012</v>
      </c>
    </row>
    <row r="389" customFormat="false" ht="15" hidden="false" customHeight="false" outlineLevel="0" collapsed="false">
      <c r="A389" s="0" t="s">
        <v>21</v>
      </c>
      <c r="B389" s="0" t="s">
        <v>46</v>
      </c>
      <c r="C389" s="0" t="n">
        <v>285</v>
      </c>
      <c r="D389" s="0" t="s">
        <v>361</v>
      </c>
      <c r="E389" s="131" t="n">
        <v>783.932</v>
      </c>
      <c r="F389" s="132" t="n">
        <f aca="false">Spreads!Z285</f>
        <v>642.629</v>
      </c>
      <c r="G389" s="131" t="n">
        <f aca="false">IF(AND(ISNUMBER(E389),ISNUMBER(F389)),F389-E389,"")</f>
        <v>-141.303</v>
      </c>
      <c r="H389" s="133" t="n">
        <f aca="false">IF(AND(ISNUMBER(E389),ISNUMBER(F389)),IF(E389=0,"",F389/E389-1),"")</f>
        <v>-0.180249052213712</v>
      </c>
    </row>
    <row r="390" customFormat="false" ht="15" hidden="false" customHeight="false" outlineLevel="0" collapsed="false">
      <c r="A390" s="0" t="s">
        <v>21</v>
      </c>
      <c r="B390" s="0" t="s">
        <v>46</v>
      </c>
      <c r="C390" s="0" t="n">
        <v>295</v>
      </c>
      <c r="D390" s="0" t="s">
        <v>362</v>
      </c>
      <c r="E390" s="131" t="n">
        <v>13.13</v>
      </c>
      <c r="F390" s="132" t="n">
        <f aca="false">Spreads!Z295</f>
        <v>10.76</v>
      </c>
      <c r="G390" s="131" t="n">
        <f aca="false">IF(AND(ISNUMBER(E390),ISNUMBER(F390)),F390-E390,"")</f>
        <v>-2.37</v>
      </c>
      <c r="H390" s="133" t="n">
        <f aca="false">IF(AND(ISNUMBER(E390),ISNUMBER(F390)),IF(E390=0,"",F390/E390-1),"")</f>
        <v>-0.180502665651181</v>
      </c>
    </row>
    <row r="391" customFormat="false" ht="15" hidden="false" customHeight="false" outlineLevel="0" collapsed="false">
      <c r="A391" s="0" t="s">
        <v>21</v>
      </c>
      <c r="B391" s="0" t="s">
        <v>46</v>
      </c>
      <c r="C391" s="0" t="n">
        <v>339</v>
      </c>
      <c r="D391" s="0" t="s">
        <v>363</v>
      </c>
      <c r="E391" s="131" t="n">
        <v>112.745</v>
      </c>
      <c r="F391" s="132" t="n">
        <f aca="false">Spreads!Z339</f>
        <v>112.745</v>
      </c>
      <c r="G391" s="131" t="n">
        <f aca="false">IF(AND(ISNUMBER(E391),ISNUMBER(F391)),F391-E391,"")</f>
        <v>0</v>
      </c>
      <c r="H391" s="133" t="n">
        <f aca="false">IF(AND(ISNUMBER(E391),ISNUMBER(F391)),IF(E391=0,"",F391/E391-1),"")</f>
        <v>0</v>
      </c>
    </row>
    <row r="392" customFormat="false" ht="15" hidden="false" customHeight="false" outlineLevel="0" collapsed="false">
      <c r="A392" s="0" t="s">
        <v>21</v>
      </c>
      <c r="B392" s="0" t="s">
        <v>46</v>
      </c>
      <c r="C392" s="0" t="n">
        <v>327</v>
      </c>
      <c r="D392" s="0" t="s">
        <v>364</v>
      </c>
      <c r="E392" s="131" t="n">
        <v>0</v>
      </c>
      <c r="F392" s="132" t="n">
        <f aca="false">Spreads!Z327</f>
        <v>0</v>
      </c>
      <c r="G392" s="131" t="n">
        <f aca="false">IF(AND(ISNUMBER(E392),ISNUMBER(F392)),F392-E392,"")</f>
        <v>0</v>
      </c>
      <c r="H392" s="133" t="str">
        <f aca="false">IF(AND(ISNUMBER(E392),ISNUMBER(F392)),IF(E392=0,"",F392/E392-1),"")</f>
        <v/>
      </c>
    </row>
    <row r="393" customFormat="false" ht="15" hidden="false" customHeight="false" outlineLevel="0" collapsed="false">
      <c r="A393" s="0" t="s">
        <v>21</v>
      </c>
      <c r="B393" s="0" t="s">
        <v>46</v>
      </c>
      <c r="C393" s="0" t="n">
        <v>328</v>
      </c>
      <c r="D393" s="0" t="s">
        <v>365</v>
      </c>
      <c r="E393" s="131" t="n">
        <v>0</v>
      </c>
      <c r="F393" s="132" t="n">
        <f aca="false">Spreads!Z328</f>
        <v>0</v>
      </c>
      <c r="G393" s="131" t="n">
        <f aca="false">IF(AND(ISNUMBER(E393),ISNUMBER(F393)),F393-E393,"")</f>
        <v>0</v>
      </c>
      <c r="H393" s="133" t="str">
        <f aca="false">IF(AND(ISNUMBER(E393),ISNUMBER(F393)),IF(E393=0,"",F393/E393-1),"")</f>
        <v/>
      </c>
    </row>
    <row r="394" customFormat="false" ht="15" hidden="false" customHeight="false" outlineLevel="0" collapsed="false">
      <c r="A394" s="0" t="s">
        <v>22</v>
      </c>
      <c r="B394" s="0" t="s">
        <v>47</v>
      </c>
      <c r="C394" s="0" t="n">
        <v>43</v>
      </c>
      <c r="D394" s="0" t="s">
        <v>340</v>
      </c>
      <c r="E394" s="131" t="n">
        <v>1023.656</v>
      </c>
      <c r="F394" s="132" t="n">
        <f aca="false">Spreads!AA43</f>
        <v>1022.943</v>
      </c>
      <c r="G394" s="131" t="n">
        <f aca="false">IF(AND(ISNUMBER(E394),ISNUMBER(F394)),F394-E394,"")</f>
        <v>-0.712999999999965</v>
      </c>
      <c r="H394" s="133" t="n">
        <f aca="false">IF(AND(ISNUMBER(E394),ISNUMBER(F394)),IF(E394=0,"",F394/E394-1),"")</f>
        <v>-0.000696523050712328</v>
      </c>
    </row>
    <row r="395" customFormat="false" ht="15" hidden="false" customHeight="false" outlineLevel="0" collapsed="false">
      <c r="A395" s="0" t="s">
        <v>22</v>
      </c>
      <c r="B395" s="0" t="s">
        <v>47</v>
      </c>
      <c r="C395" s="0" t="n">
        <v>44</v>
      </c>
      <c r="D395" s="0" t="s">
        <v>341</v>
      </c>
      <c r="E395" s="131"/>
      <c r="F395" s="132" t="n">
        <f aca="false">Spreads!AA44</f>
        <v>0</v>
      </c>
      <c r="G395" s="131" t="str">
        <f aca="false">IF(AND(ISNUMBER(E395),ISNUMBER(F395)),F395-E395,"")</f>
        <v/>
      </c>
      <c r="H395" s="133" t="str">
        <f aca="false">IF(AND(ISNUMBER(E395),ISNUMBER(F395)),IF(E395=0,"",F395/E395-1),"")</f>
        <v/>
      </c>
    </row>
    <row r="396" customFormat="false" ht="15" hidden="false" customHeight="false" outlineLevel="0" collapsed="false">
      <c r="A396" s="0" t="s">
        <v>22</v>
      </c>
      <c r="B396" s="0" t="s">
        <v>47</v>
      </c>
      <c r="C396" s="0" t="n">
        <v>45</v>
      </c>
      <c r="D396" s="0" t="s">
        <v>342</v>
      </c>
      <c r="E396" s="131"/>
      <c r="F396" s="132" t="n">
        <f aca="false">Spreads!AA45</f>
        <v>0</v>
      </c>
      <c r="G396" s="131" t="str">
        <f aca="false">IF(AND(ISNUMBER(E396),ISNUMBER(F396)),F396-E396,"")</f>
        <v/>
      </c>
      <c r="H396" s="133" t="str">
        <f aca="false">IF(AND(ISNUMBER(E396),ISNUMBER(F396)),IF(E396=0,"",F396/E396-1),"")</f>
        <v/>
      </c>
    </row>
    <row r="397" customFormat="false" ht="15" hidden="false" customHeight="false" outlineLevel="0" collapsed="false">
      <c r="A397" s="0" t="s">
        <v>22</v>
      </c>
      <c r="B397" s="0" t="s">
        <v>47</v>
      </c>
      <c r="C397" s="0" t="n">
        <v>46</v>
      </c>
      <c r="D397" s="0" t="s">
        <v>343</v>
      </c>
      <c r="E397" s="131" t="n">
        <v>0</v>
      </c>
      <c r="F397" s="132" t="n">
        <f aca="false">Spreads!AA46</f>
        <v>0</v>
      </c>
      <c r="G397" s="131" t="n">
        <f aca="false">IF(AND(ISNUMBER(E397),ISNUMBER(F397)),F397-E397,"")</f>
        <v>0</v>
      </c>
      <c r="H397" s="133" t="str">
        <f aca="false">IF(AND(ISNUMBER(E397),ISNUMBER(F397)),IF(E397=0,"",F397/E397-1),"")</f>
        <v/>
      </c>
    </row>
    <row r="398" customFormat="false" ht="15" hidden="false" customHeight="false" outlineLevel="0" collapsed="false">
      <c r="A398" s="0" t="s">
        <v>22</v>
      </c>
      <c r="B398" s="0" t="s">
        <v>47</v>
      </c>
      <c r="C398" s="0" t="n">
        <v>55</v>
      </c>
      <c r="D398" s="0" t="s">
        <v>344</v>
      </c>
      <c r="E398" s="131" t="n">
        <v>572.156</v>
      </c>
      <c r="F398" s="132" t="n">
        <f aca="false">Spreads!AA55</f>
        <v>572.156</v>
      </c>
      <c r="G398" s="131" t="n">
        <f aca="false">IF(AND(ISNUMBER(E398),ISNUMBER(F398)),F398-E398,"")</f>
        <v>0</v>
      </c>
      <c r="H398" s="133" t="n">
        <f aca="false">IF(AND(ISNUMBER(E398),ISNUMBER(F398)),IF(E398=0,"",F398/E398-1),"")</f>
        <v>0</v>
      </c>
    </row>
    <row r="399" customFormat="false" ht="15" hidden="false" customHeight="false" outlineLevel="0" collapsed="false">
      <c r="A399" s="0" t="s">
        <v>22</v>
      </c>
      <c r="B399" s="0" t="s">
        <v>47</v>
      </c>
      <c r="C399" s="0" t="n">
        <v>56</v>
      </c>
      <c r="D399" s="0" t="s">
        <v>345</v>
      </c>
      <c r="E399" s="131" t="n">
        <v>2769.36</v>
      </c>
      <c r="F399" s="132" t="n">
        <f aca="false">Spreads!AA56</f>
        <v>2633.094</v>
      </c>
      <c r="G399" s="131" t="n">
        <f aca="false">IF(AND(ISNUMBER(E399),ISNUMBER(F399)),F399-E399,"")</f>
        <v>-136.266</v>
      </c>
      <c r="H399" s="133" t="n">
        <f aca="false">IF(AND(ISNUMBER(E399),ISNUMBER(F399)),IF(E399=0,"",F399/E399-1),"")</f>
        <v>-0.0492048704393795</v>
      </c>
    </row>
    <row r="400" customFormat="false" ht="15" hidden="false" customHeight="false" outlineLevel="0" collapsed="false">
      <c r="A400" s="0" t="s">
        <v>22</v>
      </c>
      <c r="B400" s="0" t="s">
        <v>47</v>
      </c>
      <c r="C400" s="0" t="n">
        <v>58</v>
      </c>
      <c r="D400" s="0" t="s">
        <v>346</v>
      </c>
      <c r="E400" s="131"/>
      <c r="F400" s="132" t="n">
        <f aca="false">Spreads!AA58</f>
        <v>0</v>
      </c>
      <c r="G400" s="131" t="str">
        <f aca="false">IF(AND(ISNUMBER(E400),ISNUMBER(F400)),F400-E400,"")</f>
        <v/>
      </c>
      <c r="H400" s="133" t="str">
        <f aca="false">IF(AND(ISNUMBER(E400),ISNUMBER(F400)),IF(E400=0,"",F400/E400-1),"")</f>
        <v/>
      </c>
    </row>
    <row r="401" customFormat="false" ht="15" hidden="false" customHeight="false" outlineLevel="0" collapsed="false">
      <c r="A401" s="0" t="s">
        <v>22</v>
      </c>
      <c r="B401" s="0" t="s">
        <v>47</v>
      </c>
      <c r="C401" s="0" t="n">
        <v>62</v>
      </c>
      <c r="D401" s="0" t="s">
        <v>347</v>
      </c>
      <c r="E401" s="131" t="n">
        <v>0</v>
      </c>
      <c r="F401" s="132" t="n">
        <f aca="false">Spreads!AA62</f>
        <v>0</v>
      </c>
      <c r="G401" s="131" t="n">
        <f aca="false">IF(AND(ISNUMBER(E401),ISNUMBER(F401)),F401-E401,"")</f>
        <v>0</v>
      </c>
      <c r="H401" s="133" t="str">
        <f aca="false">IF(AND(ISNUMBER(E401),ISNUMBER(F401)),IF(E401=0,"",F401/E401-1),"")</f>
        <v/>
      </c>
    </row>
    <row r="402" customFormat="false" ht="15" hidden="false" customHeight="false" outlineLevel="0" collapsed="false">
      <c r="A402" s="0" t="s">
        <v>22</v>
      </c>
      <c r="B402" s="0" t="s">
        <v>47</v>
      </c>
      <c r="C402" s="0" t="n">
        <v>70</v>
      </c>
      <c r="D402" s="0" t="s">
        <v>348</v>
      </c>
      <c r="E402" s="131" t="n">
        <v>147.446</v>
      </c>
      <c r="F402" s="132" t="n">
        <f aca="false">Spreads!AA70</f>
        <v>131.146</v>
      </c>
      <c r="G402" s="131" t="n">
        <f aca="false">IF(AND(ISNUMBER(E402),ISNUMBER(F402)),F402-E402,"")</f>
        <v>-16.3</v>
      </c>
      <c r="H402" s="133" t="n">
        <f aca="false">IF(AND(ISNUMBER(E402),ISNUMBER(F402)),IF(E402=0,"",F402/E402-1),"")</f>
        <v>-0.110548946733041</v>
      </c>
    </row>
    <row r="403" customFormat="false" ht="15" hidden="false" customHeight="false" outlineLevel="0" collapsed="false">
      <c r="A403" s="0" t="s">
        <v>22</v>
      </c>
      <c r="B403" s="0" t="s">
        <v>47</v>
      </c>
      <c r="C403" s="0" t="n">
        <v>74</v>
      </c>
      <c r="D403" s="0" t="s">
        <v>349</v>
      </c>
      <c r="E403" s="131" t="n">
        <v>0</v>
      </c>
      <c r="F403" s="132" t="n">
        <f aca="false">Spreads!AA74</f>
        <v>0</v>
      </c>
      <c r="G403" s="131" t="n">
        <f aca="false">IF(AND(ISNUMBER(E403),ISNUMBER(F403)),F403-E403,"")</f>
        <v>0</v>
      </c>
      <c r="H403" s="133" t="str">
        <f aca="false">IF(AND(ISNUMBER(E403),ISNUMBER(F403)),IF(E403=0,"",F403/E403-1),"")</f>
        <v/>
      </c>
    </row>
    <row r="404" customFormat="false" ht="15" hidden="false" customHeight="false" outlineLevel="0" collapsed="false">
      <c r="A404" s="0" t="s">
        <v>22</v>
      </c>
      <c r="B404" s="0" t="s">
        <v>47</v>
      </c>
      <c r="C404" s="0" t="n">
        <v>77</v>
      </c>
      <c r="D404" s="0" t="s">
        <v>350</v>
      </c>
      <c r="E404" s="131" t="n">
        <v>0</v>
      </c>
      <c r="F404" s="132" t="n">
        <f aca="false">Spreads!AA77</f>
        <v>0</v>
      </c>
      <c r="G404" s="131" t="n">
        <f aca="false">IF(AND(ISNUMBER(E404),ISNUMBER(F404)),F404-E404,"")</f>
        <v>0</v>
      </c>
      <c r="H404" s="133" t="str">
        <f aca="false">IF(AND(ISNUMBER(E404),ISNUMBER(F404)),IF(E404=0,"",F404/E404-1),"")</f>
        <v/>
      </c>
    </row>
    <row r="405" customFormat="false" ht="15" hidden="false" customHeight="false" outlineLevel="0" collapsed="false">
      <c r="A405" s="0" t="s">
        <v>22</v>
      </c>
      <c r="B405" s="0" t="s">
        <v>47</v>
      </c>
      <c r="C405" s="0" t="n">
        <v>81</v>
      </c>
      <c r="D405" s="0" t="s">
        <v>351</v>
      </c>
      <c r="E405" s="131" t="n">
        <v>7228.758</v>
      </c>
      <c r="F405" s="132" t="n">
        <f aca="false">Spreads!AA81</f>
        <v>7228.758</v>
      </c>
      <c r="G405" s="131" t="n">
        <f aca="false">IF(AND(ISNUMBER(E405),ISNUMBER(F405)),F405-E405,"")</f>
        <v>0</v>
      </c>
      <c r="H405" s="133" t="n">
        <f aca="false">IF(AND(ISNUMBER(E405),ISNUMBER(F405)),IF(E405=0,"",F405/E405-1),"")</f>
        <v>0</v>
      </c>
    </row>
    <row r="406" customFormat="false" ht="15" hidden="false" customHeight="false" outlineLevel="0" collapsed="false">
      <c r="A406" s="0" t="s">
        <v>22</v>
      </c>
      <c r="B406" s="0" t="s">
        <v>47</v>
      </c>
      <c r="C406" s="0" t="n">
        <v>137</v>
      </c>
      <c r="D406" s="0" t="s">
        <v>352</v>
      </c>
      <c r="E406" s="131" t="n">
        <v>111.5864</v>
      </c>
      <c r="F406" s="132" t="n">
        <f aca="false">Spreads!AA137</f>
        <v>111.586401</v>
      </c>
      <c r="G406" s="131" t="n">
        <f aca="false">IF(AND(ISNUMBER(E406),ISNUMBER(F406)),F406-E406,"")</f>
        <v>9.99999997475243E-007</v>
      </c>
      <c r="H406" s="133" t="n">
        <f aca="false">IF(AND(ISNUMBER(E406),ISNUMBER(F406)),IF(E406=0,"",F406/E406-1),"")</f>
        <v>8.96166563180145E-009</v>
      </c>
    </row>
    <row r="407" customFormat="false" ht="15" hidden="false" customHeight="false" outlineLevel="0" collapsed="false">
      <c r="A407" s="0" t="s">
        <v>22</v>
      </c>
      <c r="B407" s="0" t="s">
        <v>47</v>
      </c>
      <c r="C407" s="0" t="n">
        <v>145</v>
      </c>
      <c r="D407" s="0" t="s">
        <v>353</v>
      </c>
      <c r="E407" s="131" t="n">
        <v>111.5864</v>
      </c>
      <c r="F407" s="132" t="n">
        <f aca="false">Spreads!AA145</f>
        <v>112.10142189282</v>
      </c>
      <c r="G407" s="131" t="n">
        <f aca="false">IF(AND(ISNUMBER(E407),ISNUMBER(F407)),F407-E407,"")</f>
        <v>0.515021892819831</v>
      </c>
      <c r="H407" s="133" t="n">
        <f aca="false">IF(AND(ISNUMBER(E407),ISNUMBER(F407)),IF(E407=0,"",F407/E407-1),"")</f>
        <v>0.00461545396947871</v>
      </c>
    </row>
    <row r="408" customFormat="false" ht="15" hidden="false" customHeight="false" outlineLevel="0" collapsed="false">
      <c r="A408" s="0" t="s">
        <v>22</v>
      </c>
      <c r="B408" s="0" t="s">
        <v>47</v>
      </c>
      <c r="C408" s="0" t="n">
        <v>50</v>
      </c>
      <c r="D408" s="0" t="s">
        <v>354</v>
      </c>
      <c r="E408" s="131" t="n">
        <v>1023.656</v>
      </c>
      <c r="F408" s="132" t="n">
        <f aca="false">Spreads!AA50</f>
        <v>1022.943</v>
      </c>
      <c r="G408" s="131" t="n">
        <f aca="false">IF(AND(ISNUMBER(E408),ISNUMBER(F408)),F408-E408,"")</f>
        <v>-0.712999999999965</v>
      </c>
      <c r="H408" s="133" t="n">
        <f aca="false">IF(AND(ISNUMBER(E408),ISNUMBER(F408)),IF(E408=0,"",F408/E408-1),"")</f>
        <v>-0.000696523050712328</v>
      </c>
    </row>
    <row r="409" customFormat="false" ht="15" hidden="false" customHeight="false" outlineLevel="0" collapsed="false">
      <c r="A409" s="0" t="s">
        <v>22</v>
      </c>
      <c r="B409" s="0" t="s">
        <v>47</v>
      </c>
      <c r="C409" s="0" t="n">
        <v>65</v>
      </c>
      <c r="D409" s="0" t="s">
        <v>355</v>
      </c>
      <c r="E409" s="131" t="n">
        <v>3457.99834</v>
      </c>
      <c r="F409" s="132" t="n">
        <f aca="false">Spreads!AA65</f>
        <v>3308.85534</v>
      </c>
      <c r="G409" s="131" t="n">
        <f aca="false">IF(AND(ISNUMBER(E409),ISNUMBER(F409)),F409-E409,"")</f>
        <v>-149.143</v>
      </c>
      <c r="H409" s="133" t="n">
        <f aca="false">IF(AND(ISNUMBER(E409),ISNUMBER(F409)),IF(E409=0,"",F409/E409-1),"")</f>
        <v>-0.0431298645447007</v>
      </c>
    </row>
    <row r="410" customFormat="false" ht="15" hidden="false" customHeight="false" outlineLevel="0" collapsed="false">
      <c r="A410" s="0" t="s">
        <v>22</v>
      </c>
      <c r="B410" s="0" t="s">
        <v>47</v>
      </c>
      <c r="C410" s="0" t="n">
        <v>27</v>
      </c>
      <c r="D410" s="0" t="s">
        <v>356</v>
      </c>
      <c r="E410" s="131" t="n">
        <v>18457.033516</v>
      </c>
      <c r="F410" s="132" t="n">
        <f aca="false">Spreads!AA27</f>
        <v>18382.55550959</v>
      </c>
      <c r="G410" s="131" t="n">
        <f aca="false">IF(AND(ISNUMBER(E410),ISNUMBER(F410)),F410-E410,"")</f>
        <v>-74.4780064100014</v>
      </c>
      <c r="H410" s="133" t="n">
        <f aca="false">IF(AND(ISNUMBER(E410),ISNUMBER(F410)),IF(E410=0,"",F410/E410-1),"")</f>
        <v>-0.00403521001061402</v>
      </c>
    </row>
    <row r="411" customFormat="false" ht="15" hidden="false" customHeight="false" outlineLevel="0" collapsed="false">
      <c r="A411" s="0" t="s">
        <v>22</v>
      </c>
      <c r="B411" s="0" t="s">
        <v>47</v>
      </c>
      <c r="C411" s="0" t="n">
        <v>205</v>
      </c>
      <c r="D411" s="0" t="s">
        <v>357</v>
      </c>
      <c r="E411" s="131" t="n">
        <v>2856.051</v>
      </c>
      <c r="F411" s="132" t="n">
        <f aca="false">Spreads!AA205</f>
        <v>2856.051</v>
      </c>
      <c r="G411" s="131" t="n">
        <f aca="false">IF(AND(ISNUMBER(E411),ISNUMBER(F411)),F411-E411,"")</f>
        <v>0</v>
      </c>
      <c r="H411" s="133" t="n">
        <f aca="false">IF(AND(ISNUMBER(E411),ISNUMBER(F411)),IF(E411=0,"",F411/E411-1),"")</f>
        <v>0</v>
      </c>
    </row>
    <row r="412" customFormat="false" ht="15" hidden="false" customHeight="false" outlineLevel="0" collapsed="false">
      <c r="A412" s="0" t="s">
        <v>22</v>
      </c>
      <c r="B412" s="0" t="s">
        <v>47</v>
      </c>
      <c r="C412" s="0" t="n">
        <v>245</v>
      </c>
      <c r="D412" s="0" t="s">
        <v>358</v>
      </c>
      <c r="E412" s="131" t="n">
        <v>773.484</v>
      </c>
      <c r="F412" s="132" t="n">
        <f aca="false">Spreads!AA245</f>
        <v>356.635</v>
      </c>
      <c r="G412" s="131" t="n">
        <f aca="false">IF(AND(ISNUMBER(E412),ISNUMBER(F412)),F412-E412,"")</f>
        <v>-416.849</v>
      </c>
      <c r="H412" s="133" t="n">
        <f aca="false">IF(AND(ISNUMBER(E412),ISNUMBER(F412)),IF(E412=0,"",F412/E412-1),"")</f>
        <v>-0.538923882071252</v>
      </c>
    </row>
    <row r="413" customFormat="false" ht="15" hidden="false" customHeight="false" outlineLevel="0" collapsed="false">
      <c r="A413" s="0" t="s">
        <v>22</v>
      </c>
      <c r="B413" s="0" t="s">
        <v>47</v>
      </c>
      <c r="C413" s="0" t="n">
        <v>265</v>
      </c>
      <c r="D413" s="0" t="s">
        <v>359</v>
      </c>
      <c r="E413" s="131" t="n">
        <v>843.219</v>
      </c>
      <c r="F413" s="132" t="n">
        <f aca="false">Spreads!AA265</f>
        <v>766.759</v>
      </c>
      <c r="G413" s="131" t="n">
        <f aca="false">IF(AND(ISNUMBER(E413),ISNUMBER(F413)),F413-E413,"")</f>
        <v>-76.4600000000002</v>
      </c>
      <c r="H413" s="133" t="n">
        <f aca="false">IF(AND(ISNUMBER(E413),ISNUMBER(F413)),IF(E413=0,"",F413/E413-1),"")</f>
        <v>-0.0906763248930588</v>
      </c>
    </row>
    <row r="414" customFormat="false" ht="15" hidden="false" customHeight="false" outlineLevel="0" collapsed="false">
      <c r="A414" s="0" t="s">
        <v>22</v>
      </c>
      <c r="B414" s="0" t="s">
        <v>47</v>
      </c>
      <c r="C414" s="0" t="n">
        <v>275</v>
      </c>
      <c r="D414" s="0" t="s">
        <v>360</v>
      </c>
      <c r="E414" s="131" t="n">
        <v>843.219</v>
      </c>
      <c r="F414" s="132" t="n">
        <f aca="false">Spreads!AA275</f>
        <v>766.759</v>
      </c>
      <c r="G414" s="131" t="n">
        <f aca="false">IF(AND(ISNUMBER(E414),ISNUMBER(F414)),F414-E414,"")</f>
        <v>-76.4600000000002</v>
      </c>
      <c r="H414" s="133" t="n">
        <f aca="false">IF(AND(ISNUMBER(E414),ISNUMBER(F414)),IF(E414=0,"",F414/E414-1),"")</f>
        <v>-0.0906763248930588</v>
      </c>
    </row>
    <row r="415" customFormat="false" ht="15" hidden="false" customHeight="false" outlineLevel="0" collapsed="false">
      <c r="A415" s="0" t="s">
        <v>22</v>
      </c>
      <c r="B415" s="0" t="s">
        <v>47</v>
      </c>
      <c r="C415" s="0" t="n">
        <v>285</v>
      </c>
      <c r="D415" s="0" t="s">
        <v>361</v>
      </c>
      <c r="E415" s="131" t="n">
        <v>589.9707</v>
      </c>
      <c r="F415" s="132" t="n">
        <f aca="false">Spreads!AA285</f>
        <v>239.883</v>
      </c>
      <c r="G415" s="131" t="n">
        <f aca="false">IF(AND(ISNUMBER(E415),ISNUMBER(F415)),F415-E415,"")</f>
        <v>-350.0877</v>
      </c>
      <c r="H415" s="133" t="n">
        <f aca="false">IF(AND(ISNUMBER(E415),ISNUMBER(F415)),IF(E415=0,"",F415/E415-1),"")</f>
        <v>-0.593398451821421</v>
      </c>
    </row>
    <row r="416" customFormat="false" ht="15" hidden="false" customHeight="false" outlineLevel="0" collapsed="false">
      <c r="A416" s="0" t="s">
        <v>22</v>
      </c>
      <c r="B416" s="0" t="s">
        <v>47</v>
      </c>
      <c r="C416" s="0" t="n">
        <v>295</v>
      </c>
      <c r="D416" s="0" t="s">
        <v>362</v>
      </c>
      <c r="E416" s="131" t="n">
        <v>5.06</v>
      </c>
      <c r="F416" s="132" t="n">
        <f aca="false">Spreads!AA295</f>
        <v>2.06</v>
      </c>
      <c r="G416" s="131" t="n">
        <f aca="false">IF(AND(ISNUMBER(E416),ISNUMBER(F416)),F416-E416,"")</f>
        <v>-3</v>
      </c>
      <c r="H416" s="133" t="n">
        <f aca="false">IF(AND(ISNUMBER(E416),ISNUMBER(F416)),IF(E416=0,"",F416/E416-1),"")</f>
        <v>-0.592885375494071</v>
      </c>
    </row>
    <row r="417" customFormat="false" ht="15" hidden="false" customHeight="false" outlineLevel="0" collapsed="false">
      <c r="A417" s="0" t="s">
        <v>22</v>
      </c>
      <c r="B417" s="0" t="s">
        <v>47</v>
      </c>
      <c r="C417" s="0" t="n">
        <v>339</v>
      </c>
      <c r="D417" s="0" t="s">
        <v>363</v>
      </c>
      <c r="E417" s="131" t="n">
        <v>73.5</v>
      </c>
      <c r="F417" s="132" t="n">
        <f aca="false">Spreads!AA339</f>
        <v>73.522</v>
      </c>
      <c r="G417" s="131" t="n">
        <f aca="false">IF(AND(ISNUMBER(E417),ISNUMBER(F417)),F417-E417,"")</f>
        <v>0.0220000000000056</v>
      </c>
      <c r="H417" s="133" t="n">
        <f aca="false">IF(AND(ISNUMBER(E417),ISNUMBER(F417)),IF(E417=0,"",F417/E417-1),"")</f>
        <v>0.000299319727891323</v>
      </c>
    </row>
    <row r="418" customFormat="false" ht="15" hidden="false" customHeight="false" outlineLevel="0" collapsed="false">
      <c r="A418" s="0" t="s">
        <v>22</v>
      </c>
      <c r="B418" s="0" t="s">
        <v>47</v>
      </c>
      <c r="C418" s="0" t="n">
        <v>327</v>
      </c>
      <c r="D418" s="0" t="s">
        <v>364</v>
      </c>
      <c r="E418" s="131" t="n">
        <v>0</v>
      </c>
      <c r="F418" s="132" t="n">
        <f aca="false">Spreads!AA327</f>
        <v>0</v>
      </c>
      <c r="G418" s="131" t="n">
        <f aca="false">IF(AND(ISNUMBER(E418),ISNUMBER(F418)),F418-E418,"")</f>
        <v>0</v>
      </c>
      <c r="H418" s="133" t="str">
        <f aca="false">IF(AND(ISNUMBER(E418),ISNUMBER(F418)),IF(E418=0,"",F418/E418-1),"")</f>
        <v/>
      </c>
    </row>
    <row r="419" customFormat="false" ht="15" hidden="false" customHeight="false" outlineLevel="0" collapsed="false">
      <c r="A419" s="0" t="s">
        <v>22</v>
      </c>
      <c r="B419" s="0" t="s">
        <v>47</v>
      </c>
      <c r="C419" s="0" t="n">
        <v>328</v>
      </c>
      <c r="D419" s="0" t="s">
        <v>365</v>
      </c>
      <c r="E419" s="131" t="n">
        <v>0</v>
      </c>
      <c r="F419" s="132" t="n">
        <f aca="false">Spreads!AA328</f>
        <v>0</v>
      </c>
      <c r="G419" s="131" t="n">
        <f aca="false">IF(AND(ISNUMBER(E419),ISNUMBER(F419)),F419-E419,"")</f>
        <v>0</v>
      </c>
      <c r="H419" s="133" t="str">
        <f aca="false">IF(AND(ISNUMBER(E419),ISNUMBER(F419)),IF(E419=0,"",F419/E419-1),"")</f>
        <v/>
      </c>
    </row>
    <row r="420" customFormat="false" ht="15" hidden="false" customHeight="false" outlineLevel="0" collapsed="false">
      <c r="A420" s="0" t="s">
        <v>23</v>
      </c>
      <c r="B420" s="0" t="s">
        <v>48</v>
      </c>
      <c r="C420" s="0" t="n">
        <v>43</v>
      </c>
      <c r="D420" s="0" t="s">
        <v>340</v>
      </c>
      <c r="E420" s="131" t="n">
        <v>4075</v>
      </c>
      <c r="F420" s="132" t="n">
        <f aca="false">Spreads!AB43</f>
        <v>4064</v>
      </c>
      <c r="G420" s="131" t="n">
        <f aca="false">IF(AND(ISNUMBER(E420),ISNUMBER(F420)),F420-E420,"")</f>
        <v>-11</v>
      </c>
      <c r="H420" s="133" t="n">
        <f aca="false">IF(AND(ISNUMBER(E420),ISNUMBER(F420)),IF(E420=0,"",F420/E420-1),"")</f>
        <v>-0.00269938650306745</v>
      </c>
    </row>
    <row r="421" customFormat="false" ht="15" hidden="false" customHeight="false" outlineLevel="0" collapsed="false">
      <c r="A421" s="0" t="s">
        <v>23</v>
      </c>
      <c r="B421" s="0" t="s">
        <v>48</v>
      </c>
      <c r="C421" s="0" t="n">
        <v>44</v>
      </c>
      <c r="D421" s="0" t="s">
        <v>341</v>
      </c>
      <c r="E421" s="131"/>
      <c r="F421" s="132" t="n">
        <f aca="false">Spreads!AB44</f>
        <v>0</v>
      </c>
      <c r="G421" s="131" t="str">
        <f aca="false">IF(AND(ISNUMBER(E421),ISNUMBER(F421)),F421-E421,"")</f>
        <v/>
      </c>
      <c r="H421" s="133" t="str">
        <f aca="false">IF(AND(ISNUMBER(E421),ISNUMBER(F421)),IF(E421=0,"",F421/E421-1),"")</f>
        <v/>
      </c>
    </row>
    <row r="422" customFormat="false" ht="15" hidden="false" customHeight="false" outlineLevel="0" collapsed="false">
      <c r="A422" s="0" t="s">
        <v>23</v>
      </c>
      <c r="B422" s="0" t="s">
        <v>48</v>
      </c>
      <c r="C422" s="0" t="n">
        <v>45</v>
      </c>
      <c r="D422" s="0" t="s">
        <v>342</v>
      </c>
      <c r="E422" s="131"/>
      <c r="F422" s="132" t="n">
        <f aca="false">Spreads!AB45</f>
        <v>0</v>
      </c>
      <c r="G422" s="131" t="str">
        <f aca="false">IF(AND(ISNUMBER(E422),ISNUMBER(F422)),F422-E422,"")</f>
        <v/>
      </c>
      <c r="H422" s="133" t="str">
        <f aca="false">IF(AND(ISNUMBER(E422),ISNUMBER(F422)),IF(E422=0,"",F422/E422-1),"")</f>
        <v/>
      </c>
    </row>
    <row r="423" customFormat="false" ht="15" hidden="false" customHeight="false" outlineLevel="0" collapsed="false">
      <c r="A423" s="0" t="s">
        <v>23</v>
      </c>
      <c r="B423" s="0" t="s">
        <v>48</v>
      </c>
      <c r="C423" s="0" t="n">
        <v>46</v>
      </c>
      <c r="D423" s="0" t="s">
        <v>343</v>
      </c>
      <c r="E423" s="131" t="n">
        <v>178</v>
      </c>
      <c r="F423" s="132" t="n">
        <f aca="false">Spreads!AB46</f>
        <v>178</v>
      </c>
      <c r="G423" s="131" t="n">
        <f aca="false">IF(AND(ISNUMBER(E423),ISNUMBER(F423)),F423-E423,"")</f>
        <v>0</v>
      </c>
      <c r="H423" s="133" t="n">
        <f aca="false">IF(AND(ISNUMBER(E423),ISNUMBER(F423)),IF(E423=0,"",F423/E423-1),"")</f>
        <v>0</v>
      </c>
    </row>
    <row r="424" customFormat="false" ht="15" hidden="false" customHeight="false" outlineLevel="0" collapsed="false">
      <c r="A424" s="0" t="s">
        <v>23</v>
      </c>
      <c r="B424" s="0" t="s">
        <v>48</v>
      </c>
      <c r="C424" s="0" t="n">
        <v>55</v>
      </c>
      <c r="D424" s="0" t="s">
        <v>344</v>
      </c>
      <c r="E424" s="131" t="n">
        <v>3368</v>
      </c>
      <c r="F424" s="132" t="n">
        <f aca="false">Spreads!AB55</f>
        <v>3368</v>
      </c>
      <c r="G424" s="131" t="n">
        <f aca="false">IF(AND(ISNUMBER(E424),ISNUMBER(F424)),F424-E424,"")</f>
        <v>0</v>
      </c>
      <c r="H424" s="133" t="n">
        <f aca="false">IF(AND(ISNUMBER(E424),ISNUMBER(F424)),IF(E424=0,"",F424/E424-1),"")</f>
        <v>0</v>
      </c>
    </row>
    <row r="425" customFormat="false" ht="15" hidden="false" customHeight="false" outlineLevel="0" collapsed="false">
      <c r="A425" s="0" t="s">
        <v>23</v>
      </c>
      <c r="B425" s="0" t="s">
        <v>48</v>
      </c>
      <c r="C425" s="0" t="n">
        <v>56</v>
      </c>
      <c r="D425" s="0" t="s">
        <v>345</v>
      </c>
      <c r="E425" s="131" t="n">
        <v>39181</v>
      </c>
      <c r="F425" s="132" t="n">
        <f aca="false">Spreads!AB56</f>
        <v>39181</v>
      </c>
      <c r="G425" s="131" t="n">
        <f aca="false">IF(AND(ISNUMBER(E425),ISNUMBER(F425)),F425-E425,"")</f>
        <v>0</v>
      </c>
      <c r="H425" s="133" t="n">
        <f aca="false">IF(AND(ISNUMBER(E425),ISNUMBER(F425)),IF(E425=0,"",F425/E425-1),"")</f>
        <v>0</v>
      </c>
    </row>
    <row r="426" customFormat="false" ht="15" hidden="false" customHeight="false" outlineLevel="0" collapsed="false">
      <c r="A426" s="0" t="s">
        <v>23</v>
      </c>
      <c r="B426" s="0" t="s">
        <v>48</v>
      </c>
      <c r="C426" s="0" t="n">
        <v>58</v>
      </c>
      <c r="D426" s="0" t="s">
        <v>346</v>
      </c>
      <c r="E426" s="131"/>
      <c r="F426" s="132" t="n">
        <f aca="false">Spreads!AB58</f>
        <v>0</v>
      </c>
      <c r="G426" s="131" t="str">
        <f aca="false">IF(AND(ISNUMBER(E426),ISNUMBER(F426)),F426-E426,"")</f>
        <v/>
      </c>
      <c r="H426" s="133" t="str">
        <f aca="false">IF(AND(ISNUMBER(E426),ISNUMBER(F426)),IF(E426=0,"",F426/E426-1),"")</f>
        <v/>
      </c>
    </row>
    <row r="427" customFormat="false" ht="15" hidden="false" customHeight="false" outlineLevel="0" collapsed="false">
      <c r="A427" s="0" t="s">
        <v>23</v>
      </c>
      <c r="B427" s="0" t="s">
        <v>48</v>
      </c>
      <c r="C427" s="0" t="n">
        <v>62</v>
      </c>
      <c r="D427" s="0" t="s">
        <v>347</v>
      </c>
      <c r="E427" s="131" t="n">
        <v>0</v>
      </c>
      <c r="F427" s="132" t="n">
        <f aca="false">Spreads!AB62</f>
        <v>0</v>
      </c>
      <c r="G427" s="131" t="n">
        <f aca="false">IF(AND(ISNUMBER(E427),ISNUMBER(F427)),F427-E427,"")</f>
        <v>0</v>
      </c>
      <c r="H427" s="133" t="str">
        <f aca="false">IF(AND(ISNUMBER(E427),ISNUMBER(F427)),IF(E427=0,"",F427/E427-1),"")</f>
        <v/>
      </c>
    </row>
    <row r="428" customFormat="false" ht="15" hidden="false" customHeight="false" outlineLevel="0" collapsed="false">
      <c r="A428" s="0" t="s">
        <v>23</v>
      </c>
      <c r="B428" s="0" t="s">
        <v>48</v>
      </c>
      <c r="C428" s="0" t="n">
        <v>70</v>
      </c>
      <c r="D428" s="0" t="s">
        <v>348</v>
      </c>
      <c r="E428" s="131" t="n">
        <v>327</v>
      </c>
      <c r="F428" s="132" t="n">
        <f aca="false">Spreads!AB70</f>
        <v>327</v>
      </c>
      <c r="G428" s="131" t="n">
        <f aca="false">IF(AND(ISNUMBER(E428),ISNUMBER(F428)),F428-E428,"")</f>
        <v>0</v>
      </c>
      <c r="H428" s="133" t="n">
        <f aca="false">IF(AND(ISNUMBER(E428),ISNUMBER(F428)),IF(E428=0,"",F428/E428-1),"")</f>
        <v>0</v>
      </c>
    </row>
    <row r="429" customFormat="false" ht="15" hidden="false" customHeight="false" outlineLevel="0" collapsed="false">
      <c r="A429" s="0" t="s">
        <v>23</v>
      </c>
      <c r="B429" s="0" t="s">
        <v>48</v>
      </c>
      <c r="C429" s="0" t="n">
        <v>74</v>
      </c>
      <c r="D429" s="0" t="s">
        <v>349</v>
      </c>
      <c r="E429" s="131" t="n">
        <v>128</v>
      </c>
      <c r="F429" s="132" t="n">
        <f aca="false">Spreads!AB74</f>
        <v>128</v>
      </c>
      <c r="G429" s="131" t="n">
        <f aca="false">IF(AND(ISNUMBER(E429),ISNUMBER(F429)),F429-E429,"")</f>
        <v>0</v>
      </c>
      <c r="H429" s="133" t="n">
        <f aca="false">IF(AND(ISNUMBER(E429),ISNUMBER(F429)),IF(E429=0,"",F429/E429-1),"")</f>
        <v>0</v>
      </c>
    </row>
    <row r="430" customFormat="false" ht="15" hidden="false" customHeight="false" outlineLevel="0" collapsed="false">
      <c r="A430" s="0" t="s">
        <v>23</v>
      </c>
      <c r="B430" s="0" t="s">
        <v>48</v>
      </c>
      <c r="C430" s="0" t="n">
        <v>77</v>
      </c>
      <c r="D430" s="0" t="s">
        <v>350</v>
      </c>
      <c r="E430" s="131" t="n">
        <v>0</v>
      </c>
      <c r="F430" s="132" t="n">
        <f aca="false">Spreads!AB77</f>
        <v>0</v>
      </c>
      <c r="G430" s="131" t="n">
        <f aca="false">IF(AND(ISNUMBER(E430),ISNUMBER(F430)),F430-E430,"")</f>
        <v>0</v>
      </c>
      <c r="H430" s="133" t="str">
        <f aca="false">IF(AND(ISNUMBER(E430),ISNUMBER(F430)),IF(E430=0,"",F430/E430-1),"")</f>
        <v/>
      </c>
    </row>
    <row r="431" customFormat="false" ht="15" hidden="false" customHeight="false" outlineLevel="0" collapsed="false">
      <c r="A431" s="0" t="s">
        <v>23</v>
      </c>
      <c r="B431" s="0" t="s">
        <v>48</v>
      </c>
      <c r="C431" s="0" t="n">
        <v>81</v>
      </c>
      <c r="D431" s="0" t="s">
        <v>351</v>
      </c>
      <c r="E431" s="131" t="n">
        <v>52679</v>
      </c>
      <c r="F431" s="132" t="n">
        <f aca="false">Spreads!AB81</f>
        <v>52679</v>
      </c>
      <c r="G431" s="131" t="n">
        <f aca="false">IF(AND(ISNUMBER(E431),ISNUMBER(F431)),F431-E431,"")</f>
        <v>0</v>
      </c>
      <c r="H431" s="133" t="n">
        <f aca="false">IF(AND(ISNUMBER(E431),ISNUMBER(F431)),IF(E431=0,"",F431/E431-1),"")</f>
        <v>0</v>
      </c>
    </row>
    <row r="432" customFormat="false" ht="15" hidden="false" customHeight="false" outlineLevel="0" collapsed="false">
      <c r="A432" s="0" t="s">
        <v>23</v>
      </c>
      <c r="B432" s="0" t="s">
        <v>48</v>
      </c>
      <c r="C432" s="0" t="n">
        <v>137</v>
      </c>
      <c r="D432" s="0" t="s">
        <v>352</v>
      </c>
      <c r="E432" s="131" t="n">
        <v>369.74728</v>
      </c>
      <c r="F432" s="132" t="n">
        <f aca="false">Spreads!AB137</f>
        <v>369.747286</v>
      </c>
      <c r="G432" s="131" t="n">
        <f aca="false">IF(AND(ISNUMBER(E432),ISNUMBER(F432)),F432-E432,"")</f>
        <v>5.99999998485146E-006</v>
      </c>
      <c r="H432" s="133" t="n">
        <f aca="false">IF(AND(ISNUMBER(E432),ISNUMBER(F432)),IF(E432=0,"",F432/E432-1),"")</f>
        <v>1.62272999482127E-008</v>
      </c>
    </row>
    <row r="433" customFormat="false" ht="15" hidden="false" customHeight="false" outlineLevel="0" collapsed="false">
      <c r="A433" s="0" t="s">
        <v>23</v>
      </c>
      <c r="B433" s="0" t="s">
        <v>48</v>
      </c>
      <c r="C433" s="0" t="n">
        <v>145</v>
      </c>
      <c r="D433" s="0" t="s">
        <v>353</v>
      </c>
      <c r="E433" s="131" t="n">
        <v>369.74728</v>
      </c>
      <c r="F433" s="132" t="n">
        <f aca="false">Spreads!AB145</f>
        <v>371.534035347258</v>
      </c>
      <c r="G433" s="131" t="n">
        <f aca="false">IF(AND(ISNUMBER(E433),ISNUMBER(F433)),F433-E433,"")</f>
        <v>1.78675534725846</v>
      </c>
      <c r="H433" s="133" t="n">
        <f aca="false">IF(AND(ISNUMBER(E433),ISNUMBER(F433)),IF(E433=0,"",F433/E433-1),"")</f>
        <v>0.00483236914483443</v>
      </c>
    </row>
    <row r="434" customFormat="false" ht="15" hidden="false" customHeight="false" outlineLevel="0" collapsed="false">
      <c r="A434" s="0" t="s">
        <v>23</v>
      </c>
      <c r="B434" s="0" t="s">
        <v>48</v>
      </c>
      <c r="C434" s="0" t="n">
        <v>50</v>
      </c>
      <c r="D434" s="0" t="s">
        <v>354</v>
      </c>
      <c r="E434" s="131" t="n">
        <v>4253</v>
      </c>
      <c r="F434" s="132" t="n">
        <f aca="false">Spreads!AB50</f>
        <v>4242</v>
      </c>
      <c r="G434" s="131" t="n">
        <f aca="false">IF(AND(ISNUMBER(E434),ISNUMBER(F434)),F434-E434,"")</f>
        <v>-11</v>
      </c>
      <c r="H434" s="133" t="n">
        <f aca="false">IF(AND(ISNUMBER(E434),ISNUMBER(F434)),IF(E434=0,"",F434/E434-1),"")</f>
        <v>-0.00258640959322831</v>
      </c>
    </row>
    <row r="435" customFormat="false" ht="15" hidden="false" customHeight="false" outlineLevel="0" collapsed="false">
      <c r="A435" s="0" t="s">
        <v>23</v>
      </c>
      <c r="B435" s="0" t="s">
        <v>48</v>
      </c>
      <c r="C435" s="0" t="n">
        <v>65</v>
      </c>
      <c r="D435" s="0" t="s">
        <v>355</v>
      </c>
      <c r="E435" s="131" t="n">
        <v>42807.33</v>
      </c>
      <c r="F435" s="132" t="n">
        <f aca="false">Spreads!AB65</f>
        <v>42807.33</v>
      </c>
      <c r="G435" s="131" t="n">
        <f aca="false">IF(AND(ISNUMBER(E435),ISNUMBER(F435)),F435-E435,"")</f>
        <v>0</v>
      </c>
      <c r="H435" s="133" t="n">
        <f aca="false">IF(AND(ISNUMBER(E435),ISNUMBER(F435)),IF(E435=0,"",F435/E435-1),"")</f>
        <v>0</v>
      </c>
    </row>
    <row r="436" customFormat="false" ht="15" hidden="false" customHeight="false" outlineLevel="0" collapsed="false">
      <c r="A436" s="0" t="s">
        <v>23</v>
      </c>
      <c r="B436" s="0" t="s">
        <v>48</v>
      </c>
      <c r="C436" s="0" t="n">
        <v>27</v>
      </c>
      <c r="D436" s="0" t="s">
        <v>356</v>
      </c>
      <c r="E436" s="131" t="n">
        <v>282257.0481728</v>
      </c>
      <c r="F436" s="132" t="n">
        <f aca="false">Spreads!AB27</f>
        <v>283445.09112536</v>
      </c>
      <c r="G436" s="131" t="n">
        <f aca="false">IF(AND(ISNUMBER(E436),ISNUMBER(F436)),F436-E436,"")</f>
        <v>1188.04295256</v>
      </c>
      <c r="H436" s="133" t="n">
        <f aca="false">IF(AND(ISNUMBER(E436),ISNUMBER(F436)),IF(E436=0,"",F436/E436-1),"")</f>
        <v>0.00420908161638778</v>
      </c>
    </row>
    <row r="437" customFormat="false" ht="15" hidden="false" customHeight="false" outlineLevel="0" collapsed="false">
      <c r="A437" s="0" t="s">
        <v>23</v>
      </c>
      <c r="B437" s="0" t="s">
        <v>48</v>
      </c>
      <c r="C437" s="0" t="n">
        <v>205</v>
      </c>
      <c r="D437" s="0" t="s">
        <v>357</v>
      </c>
      <c r="E437" s="131" t="n">
        <v>44556</v>
      </c>
      <c r="F437" s="132" t="n">
        <f aca="false">Spreads!AB205</f>
        <v>44556</v>
      </c>
      <c r="G437" s="131" t="n">
        <f aca="false">IF(AND(ISNUMBER(E437),ISNUMBER(F437)),F437-E437,"")</f>
        <v>0</v>
      </c>
      <c r="H437" s="133" t="n">
        <f aca="false">IF(AND(ISNUMBER(E437),ISNUMBER(F437)),IF(E437=0,"",F437/E437-1),"")</f>
        <v>0</v>
      </c>
    </row>
    <row r="438" customFormat="false" ht="15" hidden="false" customHeight="false" outlineLevel="0" collapsed="false">
      <c r="A438" s="0" t="s">
        <v>23</v>
      </c>
      <c r="B438" s="0" t="s">
        <v>48</v>
      </c>
      <c r="C438" s="0" t="n">
        <v>245</v>
      </c>
      <c r="D438" s="0" t="s">
        <v>358</v>
      </c>
      <c r="E438" s="131" t="n">
        <v>10109.25</v>
      </c>
      <c r="F438" s="132" t="n">
        <f aca="false">Spreads!AB245</f>
        <v>7746</v>
      </c>
      <c r="G438" s="131" t="n">
        <f aca="false">IF(AND(ISNUMBER(E438),ISNUMBER(F438)),F438-E438,"")</f>
        <v>-2363.25</v>
      </c>
      <c r="H438" s="133" t="n">
        <f aca="false">IF(AND(ISNUMBER(E438),ISNUMBER(F438)),IF(E438=0,"",F438/E438-1),"")</f>
        <v>-0.233771051264931</v>
      </c>
    </row>
    <row r="439" customFormat="false" ht="15" hidden="false" customHeight="false" outlineLevel="0" collapsed="false">
      <c r="A439" s="0" t="s">
        <v>23</v>
      </c>
      <c r="B439" s="0" t="s">
        <v>48</v>
      </c>
      <c r="C439" s="0" t="n">
        <v>265</v>
      </c>
      <c r="D439" s="0" t="s">
        <v>359</v>
      </c>
      <c r="E439" s="131" t="n">
        <v>11159</v>
      </c>
      <c r="F439" s="132" t="n">
        <f aca="false">Spreads!AB265</f>
        <v>10620</v>
      </c>
      <c r="G439" s="131" t="n">
        <f aca="false">IF(AND(ISNUMBER(E439),ISNUMBER(F439)),F439-E439,"")</f>
        <v>-539</v>
      </c>
      <c r="H439" s="133" t="n">
        <f aca="false">IF(AND(ISNUMBER(E439),ISNUMBER(F439)),IF(E439=0,"",F439/E439-1),"")</f>
        <v>-0.0483018191594229</v>
      </c>
    </row>
    <row r="440" customFormat="false" ht="15" hidden="false" customHeight="false" outlineLevel="0" collapsed="false">
      <c r="A440" s="0" t="s">
        <v>23</v>
      </c>
      <c r="B440" s="0" t="s">
        <v>48</v>
      </c>
      <c r="C440" s="0" t="n">
        <v>275</v>
      </c>
      <c r="D440" s="0" t="s">
        <v>360</v>
      </c>
      <c r="E440" s="131" t="n">
        <v>11159</v>
      </c>
      <c r="F440" s="132" t="n">
        <f aca="false">Spreads!AB275</f>
        <v>10620</v>
      </c>
      <c r="G440" s="131" t="n">
        <f aca="false">IF(AND(ISNUMBER(E440),ISNUMBER(F440)),F440-E440,"")</f>
        <v>-539</v>
      </c>
      <c r="H440" s="133" t="n">
        <f aca="false">IF(AND(ISNUMBER(E440),ISNUMBER(F440)),IF(E440=0,"",F440/E440-1),"")</f>
        <v>-0.0483018191594229</v>
      </c>
    </row>
    <row r="441" customFormat="false" ht="15" hidden="false" customHeight="false" outlineLevel="0" collapsed="false">
      <c r="A441" s="0" t="s">
        <v>23</v>
      </c>
      <c r="B441" s="0" t="s">
        <v>48</v>
      </c>
      <c r="C441" s="0" t="n">
        <v>285</v>
      </c>
      <c r="D441" s="0" t="s">
        <v>361</v>
      </c>
      <c r="E441" s="131" t="n">
        <v>8642</v>
      </c>
      <c r="F441" s="132" t="n">
        <f aca="false">Spreads!AB285</f>
        <v>6704</v>
      </c>
      <c r="G441" s="131" t="n">
        <f aca="false">IF(AND(ISNUMBER(E441),ISNUMBER(F441)),F441-E441,"")</f>
        <v>-1938</v>
      </c>
      <c r="H441" s="133" t="n">
        <f aca="false">IF(AND(ISNUMBER(E441),ISNUMBER(F441)),IF(E441=0,"",F441/E441-1),"")</f>
        <v>-0.224253644989586</v>
      </c>
    </row>
    <row r="442" customFormat="false" ht="15" hidden="false" customHeight="false" outlineLevel="0" collapsed="false">
      <c r="A442" s="0" t="s">
        <v>23</v>
      </c>
      <c r="B442" s="0" t="s">
        <v>48</v>
      </c>
      <c r="C442" s="0" t="n">
        <v>295</v>
      </c>
      <c r="D442" s="0" t="s">
        <v>362</v>
      </c>
      <c r="E442" s="131" t="n">
        <v>22.87</v>
      </c>
      <c r="F442" s="132" t="n">
        <f aca="false">Spreads!AB295</f>
        <v>17.74</v>
      </c>
      <c r="G442" s="131" t="n">
        <f aca="false">IF(AND(ISNUMBER(E442),ISNUMBER(F442)),F442-E442,"")</f>
        <v>-5.13</v>
      </c>
      <c r="H442" s="133" t="n">
        <f aca="false">IF(AND(ISNUMBER(E442),ISNUMBER(F442)),IF(E442=0,"",F442/E442-1),"")</f>
        <v>-0.224311324879755</v>
      </c>
    </row>
    <row r="443" customFormat="false" ht="15" hidden="false" customHeight="false" outlineLevel="0" collapsed="false">
      <c r="A443" s="0" t="s">
        <v>23</v>
      </c>
      <c r="B443" s="0" t="s">
        <v>48</v>
      </c>
      <c r="C443" s="0" t="n">
        <v>339</v>
      </c>
      <c r="D443" s="0" t="s">
        <v>363</v>
      </c>
      <c r="E443" s="131" t="n">
        <v>1525</v>
      </c>
      <c r="F443" s="132" t="n">
        <f aca="false">Spreads!AB339</f>
        <v>1525</v>
      </c>
      <c r="G443" s="131" t="n">
        <f aca="false">IF(AND(ISNUMBER(E443),ISNUMBER(F443)),F443-E443,"")</f>
        <v>0</v>
      </c>
      <c r="H443" s="133" t="n">
        <f aca="false">IF(AND(ISNUMBER(E443),ISNUMBER(F443)),IF(E443=0,"",F443/E443-1),"")</f>
        <v>0</v>
      </c>
    </row>
    <row r="444" customFormat="false" ht="15" hidden="false" customHeight="false" outlineLevel="0" collapsed="false">
      <c r="A444" s="0" t="s">
        <v>23</v>
      </c>
      <c r="B444" s="0" t="s">
        <v>48</v>
      </c>
      <c r="C444" s="0" t="n">
        <v>327</v>
      </c>
      <c r="D444" s="0" t="s">
        <v>364</v>
      </c>
      <c r="E444" s="131" t="n">
        <v>0</v>
      </c>
      <c r="F444" s="132" t="n">
        <f aca="false">Spreads!AB327</f>
        <v>0</v>
      </c>
      <c r="G444" s="131" t="n">
        <f aca="false">IF(AND(ISNUMBER(E444),ISNUMBER(F444)),F444-E444,"")</f>
        <v>0</v>
      </c>
      <c r="H444" s="133" t="str">
        <f aca="false">IF(AND(ISNUMBER(E444),ISNUMBER(F444)),IF(E444=0,"",F444/E444-1),"")</f>
        <v/>
      </c>
    </row>
    <row r="445" customFormat="false" ht="15" hidden="false" customHeight="false" outlineLevel="0" collapsed="false">
      <c r="A445" s="0" t="s">
        <v>23</v>
      </c>
      <c r="B445" s="0" t="s">
        <v>48</v>
      </c>
      <c r="C445" s="0" t="n">
        <v>328</v>
      </c>
      <c r="D445" s="0" t="s">
        <v>365</v>
      </c>
      <c r="E445" s="131" t="n">
        <v>0</v>
      </c>
      <c r="F445" s="132" t="n">
        <f aca="false">Spreads!AB328</f>
        <v>0</v>
      </c>
      <c r="G445" s="131" t="n">
        <f aca="false">IF(AND(ISNUMBER(E445),ISNUMBER(F445)),F445-E445,"")</f>
        <v>0</v>
      </c>
      <c r="H445" s="133" t="str">
        <f aca="false">IF(AND(ISNUMBER(E445),ISNUMBER(F445)),IF(E445=0,"",F445/E445-1),"")</f>
        <v/>
      </c>
    </row>
    <row r="446" customFormat="false" ht="15" hidden="false" customHeight="false" outlineLevel="0" collapsed="false">
      <c r="A446" s="0" t="s">
        <v>24</v>
      </c>
      <c r="B446" s="0" t="s">
        <v>49</v>
      </c>
      <c r="C446" s="0" t="n">
        <v>43</v>
      </c>
      <c r="D446" s="0" t="s">
        <v>340</v>
      </c>
      <c r="E446" s="131" t="n">
        <v>4348</v>
      </c>
      <c r="F446" s="132" t="n">
        <f aca="false">Spreads!AC43</f>
        <v>4348</v>
      </c>
      <c r="G446" s="131" t="n">
        <f aca="false">IF(AND(ISNUMBER(E446),ISNUMBER(F446)),F446-E446,"")</f>
        <v>0</v>
      </c>
      <c r="H446" s="133" t="n">
        <f aca="false">IF(AND(ISNUMBER(E446),ISNUMBER(F446)),IF(E446=0,"",F446/E446-1),"")</f>
        <v>0</v>
      </c>
    </row>
    <row r="447" customFormat="false" ht="15" hidden="false" customHeight="false" outlineLevel="0" collapsed="false">
      <c r="A447" s="0" t="s">
        <v>24</v>
      </c>
      <c r="B447" s="0" t="s">
        <v>49</v>
      </c>
      <c r="C447" s="0" t="n">
        <v>44</v>
      </c>
      <c r="D447" s="0" t="s">
        <v>341</v>
      </c>
      <c r="E447" s="131"/>
      <c r="F447" s="132" t="n">
        <f aca="false">Spreads!AC44</f>
        <v>0</v>
      </c>
      <c r="G447" s="131" t="str">
        <f aca="false">IF(AND(ISNUMBER(E447),ISNUMBER(F447)),F447-E447,"")</f>
        <v/>
      </c>
      <c r="H447" s="133" t="str">
        <f aca="false">IF(AND(ISNUMBER(E447),ISNUMBER(F447)),IF(E447=0,"",F447/E447-1),"")</f>
        <v/>
      </c>
    </row>
    <row r="448" customFormat="false" ht="15" hidden="false" customHeight="false" outlineLevel="0" collapsed="false">
      <c r="A448" s="0" t="s">
        <v>24</v>
      </c>
      <c r="B448" s="0" t="s">
        <v>49</v>
      </c>
      <c r="C448" s="0" t="n">
        <v>45</v>
      </c>
      <c r="D448" s="0" t="s">
        <v>342</v>
      </c>
      <c r="E448" s="131"/>
      <c r="F448" s="132" t="n">
        <f aca="false">Spreads!AC45</f>
        <v>0</v>
      </c>
      <c r="G448" s="131" t="str">
        <f aca="false">IF(AND(ISNUMBER(E448),ISNUMBER(F448)),F448-E448,"")</f>
        <v/>
      </c>
      <c r="H448" s="133" t="str">
        <f aca="false">IF(AND(ISNUMBER(E448),ISNUMBER(F448)),IF(E448=0,"",F448/E448-1),"")</f>
        <v/>
      </c>
    </row>
    <row r="449" customFormat="false" ht="15" hidden="false" customHeight="false" outlineLevel="0" collapsed="false">
      <c r="A449" s="0" t="s">
        <v>24</v>
      </c>
      <c r="B449" s="0" t="s">
        <v>49</v>
      </c>
      <c r="C449" s="0" t="n">
        <v>46</v>
      </c>
      <c r="D449" s="0" t="s">
        <v>343</v>
      </c>
      <c r="E449" s="131" t="n">
        <v>1400</v>
      </c>
      <c r="F449" s="132" t="n">
        <f aca="false">Spreads!AC46</f>
        <v>0</v>
      </c>
      <c r="G449" s="131" t="n">
        <f aca="false">IF(AND(ISNUMBER(E449),ISNUMBER(F449)),F449-E449,"")</f>
        <v>-1400</v>
      </c>
      <c r="H449" s="133" t="n">
        <f aca="false">IF(AND(ISNUMBER(E449),ISNUMBER(F449)),IF(E449=0,"",F449/E449-1),"")</f>
        <v>-1</v>
      </c>
    </row>
    <row r="450" customFormat="false" ht="15" hidden="false" customHeight="false" outlineLevel="0" collapsed="false">
      <c r="A450" s="0" t="s">
        <v>24</v>
      </c>
      <c r="B450" s="0" t="s">
        <v>49</v>
      </c>
      <c r="C450" s="0" t="n">
        <v>55</v>
      </c>
      <c r="D450" s="0" t="s">
        <v>344</v>
      </c>
      <c r="E450" s="131" t="n">
        <v>2711</v>
      </c>
      <c r="F450" s="132" t="n">
        <f aca="false">Spreads!AC55</f>
        <v>1411</v>
      </c>
      <c r="G450" s="131" t="n">
        <f aca="false">IF(AND(ISNUMBER(E450),ISNUMBER(F450)),F450-E450,"")</f>
        <v>-1300</v>
      </c>
      <c r="H450" s="133" t="n">
        <f aca="false">IF(AND(ISNUMBER(E450),ISNUMBER(F450)),IF(E450=0,"",F450/E450-1),"")</f>
        <v>-0.479527849502029</v>
      </c>
    </row>
    <row r="451" customFormat="false" ht="15" hidden="false" customHeight="false" outlineLevel="0" collapsed="false">
      <c r="A451" s="0" t="s">
        <v>24</v>
      </c>
      <c r="B451" s="0" t="s">
        <v>49</v>
      </c>
      <c r="C451" s="0" t="n">
        <v>56</v>
      </c>
      <c r="D451" s="0" t="s">
        <v>345</v>
      </c>
      <c r="E451" s="131" t="n">
        <v>25147</v>
      </c>
      <c r="F451" s="132" t="n">
        <f aca="false">Spreads!AC56</f>
        <v>25147</v>
      </c>
      <c r="G451" s="131" t="n">
        <f aca="false">IF(AND(ISNUMBER(E451),ISNUMBER(F451)),F451-E451,"")</f>
        <v>0</v>
      </c>
      <c r="H451" s="133" t="n">
        <f aca="false">IF(AND(ISNUMBER(E451),ISNUMBER(F451)),IF(E451=0,"",F451/E451-1),"")</f>
        <v>0</v>
      </c>
    </row>
    <row r="452" customFormat="false" ht="15" hidden="false" customHeight="false" outlineLevel="0" collapsed="false">
      <c r="A452" s="0" t="s">
        <v>24</v>
      </c>
      <c r="B452" s="0" t="s">
        <v>49</v>
      </c>
      <c r="C452" s="0" t="n">
        <v>58</v>
      </c>
      <c r="D452" s="0" t="s">
        <v>346</v>
      </c>
      <c r="E452" s="131"/>
      <c r="F452" s="132" t="n">
        <f aca="false">Spreads!AC58</f>
        <v>0</v>
      </c>
      <c r="G452" s="131" t="str">
        <f aca="false">IF(AND(ISNUMBER(E452),ISNUMBER(F452)),F452-E452,"")</f>
        <v/>
      </c>
      <c r="H452" s="133" t="str">
        <f aca="false">IF(AND(ISNUMBER(E452),ISNUMBER(F452)),IF(E452=0,"",F452/E452-1),"")</f>
        <v/>
      </c>
    </row>
    <row r="453" customFormat="false" ht="15" hidden="false" customHeight="false" outlineLevel="0" collapsed="false">
      <c r="A453" s="0" t="s">
        <v>24</v>
      </c>
      <c r="B453" s="0" t="s">
        <v>49</v>
      </c>
      <c r="C453" s="0" t="n">
        <v>62</v>
      </c>
      <c r="D453" s="0" t="s">
        <v>347</v>
      </c>
      <c r="E453" s="131" t="n">
        <v>0</v>
      </c>
      <c r="F453" s="132" t="n">
        <f aca="false">Spreads!AC62</f>
        <v>0</v>
      </c>
      <c r="G453" s="131" t="n">
        <f aca="false">IF(AND(ISNUMBER(E453),ISNUMBER(F453)),F453-E453,"")</f>
        <v>0</v>
      </c>
      <c r="H453" s="133" t="str">
        <f aca="false">IF(AND(ISNUMBER(E453),ISNUMBER(F453)),IF(E453=0,"",F453/E453-1),"")</f>
        <v/>
      </c>
    </row>
    <row r="454" customFormat="false" ht="15" hidden="false" customHeight="false" outlineLevel="0" collapsed="false">
      <c r="A454" s="0" t="s">
        <v>24</v>
      </c>
      <c r="B454" s="0" t="s">
        <v>49</v>
      </c>
      <c r="C454" s="0" t="n">
        <v>70</v>
      </c>
      <c r="D454" s="0" t="s">
        <v>348</v>
      </c>
      <c r="E454" s="131" t="n">
        <v>227</v>
      </c>
      <c r="F454" s="132" t="n">
        <f aca="false">Spreads!AC70</f>
        <v>227</v>
      </c>
      <c r="G454" s="131" t="n">
        <f aca="false">IF(AND(ISNUMBER(E454),ISNUMBER(F454)),F454-E454,"")</f>
        <v>0</v>
      </c>
      <c r="H454" s="133" t="n">
        <f aca="false">IF(AND(ISNUMBER(E454),ISNUMBER(F454)),IF(E454=0,"",F454/E454-1),"")</f>
        <v>0</v>
      </c>
    </row>
    <row r="455" customFormat="false" ht="15" hidden="false" customHeight="false" outlineLevel="0" collapsed="false">
      <c r="A455" s="0" t="s">
        <v>24</v>
      </c>
      <c r="B455" s="0" t="s">
        <v>49</v>
      </c>
      <c r="C455" s="0" t="n">
        <v>74</v>
      </c>
      <c r="D455" s="0" t="s">
        <v>349</v>
      </c>
      <c r="E455" s="131" t="n">
        <v>11</v>
      </c>
      <c r="F455" s="132" t="n">
        <f aca="false">Spreads!AC74</f>
        <v>11</v>
      </c>
      <c r="G455" s="131" t="n">
        <f aca="false">IF(AND(ISNUMBER(E455),ISNUMBER(F455)),F455-E455,"")</f>
        <v>0</v>
      </c>
      <c r="H455" s="133" t="n">
        <f aca="false">IF(AND(ISNUMBER(E455),ISNUMBER(F455)),IF(E455=0,"",F455/E455-1),"")</f>
        <v>0</v>
      </c>
    </row>
    <row r="456" customFormat="false" ht="15" hidden="false" customHeight="false" outlineLevel="0" collapsed="false">
      <c r="A456" s="0" t="s">
        <v>24</v>
      </c>
      <c r="B456" s="0" t="s">
        <v>49</v>
      </c>
      <c r="C456" s="0" t="n">
        <v>77</v>
      </c>
      <c r="D456" s="0" t="s">
        <v>350</v>
      </c>
      <c r="E456" s="131" t="n">
        <v>0</v>
      </c>
      <c r="F456" s="132" t="n">
        <f aca="false">Spreads!AC77</f>
        <v>0</v>
      </c>
      <c r="G456" s="131" t="n">
        <f aca="false">IF(AND(ISNUMBER(E456),ISNUMBER(F456)),F456-E456,"")</f>
        <v>0</v>
      </c>
      <c r="H456" s="133" t="str">
        <f aca="false">IF(AND(ISNUMBER(E456),ISNUMBER(F456)),IF(E456=0,"",F456/E456-1),"")</f>
        <v/>
      </c>
    </row>
    <row r="457" customFormat="false" ht="15" hidden="false" customHeight="false" outlineLevel="0" collapsed="false">
      <c r="A457" s="0" t="s">
        <v>24</v>
      </c>
      <c r="B457" s="0" t="s">
        <v>49</v>
      </c>
      <c r="C457" s="0" t="n">
        <v>81</v>
      </c>
      <c r="D457" s="0" t="s">
        <v>351</v>
      </c>
      <c r="E457" s="131" t="n">
        <v>52581</v>
      </c>
      <c r="F457" s="132" t="n">
        <f aca="false">Spreads!AC81</f>
        <v>52581</v>
      </c>
      <c r="G457" s="131" t="n">
        <f aca="false">IF(AND(ISNUMBER(E457),ISNUMBER(F457)),F457-E457,"")</f>
        <v>0</v>
      </c>
      <c r="H457" s="133" t="n">
        <f aca="false">IF(AND(ISNUMBER(E457),ISNUMBER(F457)),IF(E457=0,"",F457/E457-1),"")</f>
        <v>0</v>
      </c>
    </row>
    <row r="458" customFormat="false" ht="15" hidden="false" customHeight="false" outlineLevel="0" collapsed="false">
      <c r="A458" s="0" t="s">
        <v>24</v>
      </c>
      <c r="B458" s="0" t="s">
        <v>49</v>
      </c>
      <c r="C458" s="0" t="n">
        <v>137</v>
      </c>
      <c r="D458" s="0" t="s">
        <v>352</v>
      </c>
      <c r="E458" s="131" t="n">
        <v>702.9861</v>
      </c>
      <c r="F458" s="132" t="n">
        <f aca="false">Spreads!AC137</f>
        <v>702.986054</v>
      </c>
      <c r="G458" s="131" t="n">
        <f aca="false">IF(AND(ISNUMBER(E458),ISNUMBER(F458)),F458-E458,"")</f>
        <v>-4.5999999997548E-005</v>
      </c>
      <c r="H458" s="133" t="n">
        <f aca="false">IF(AND(ISNUMBER(E458),ISNUMBER(F458)),IF(E458=0,"",F458/E458-1),"")</f>
        <v>-6.54351487439087E-008</v>
      </c>
    </row>
    <row r="459" customFormat="false" ht="15" hidden="false" customHeight="false" outlineLevel="0" collapsed="false">
      <c r="A459" s="0" t="s">
        <v>24</v>
      </c>
      <c r="B459" s="0" t="s">
        <v>49</v>
      </c>
      <c r="C459" s="0" t="n">
        <v>145</v>
      </c>
      <c r="D459" s="0" t="s">
        <v>353</v>
      </c>
      <c r="E459" s="131" t="n">
        <v>702.9861</v>
      </c>
      <c r="F459" s="132" t="n">
        <f aca="false">Spreads!AC145</f>
        <v>707.700583280949</v>
      </c>
      <c r="G459" s="131" t="n">
        <f aca="false">IF(AND(ISNUMBER(E459),ISNUMBER(F459)),F459-E459,"")</f>
        <v>4.7144832809488</v>
      </c>
      <c r="H459" s="133" t="n">
        <f aca="false">IF(AND(ISNUMBER(E459),ISNUMBER(F459)),IF(E459=0,"",F459/E459-1),"")</f>
        <v>0.00670636770904687</v>
      </c>
    </row>
    <row r="460" customFormat="false" ht="15" hidden="false" customHeight="false" outlineLevel="0" collapsed="false">
      <c r="A460" s="0" t="s">
        <v>24</v>
      </c>
      <c r="B460" s="0" t="s">
        <v>49</v>
      </c>
      <c r="C460" s="0" t="n">
        <v>50</v>
      </c>
      <c r="D460" s="0" t="s">
        <v>354</v>
      </c>
      <c r="E460" s="131" t="n">
        <v>5748</v>
      </c>
      <c r="F460" s="132" t="n">
        <f aca="false">Spreads!AC50</f>
        <v>4348</v>
      </c>
      <c r="G460" s="131" t="n">
        <f aca="false">IF(AND(ISNUMBER(E460),ISNUMBER(F460)),F460-E460,"")</f>
        <v>-1400</v>
      </c>
      <c r="H460" s="133" t="n">
        <f aca="false">IF(AND(ISNUMBER(E460),ISNUMBER(F460)),IF(E460=0,"",F460/E460-1),"")</f>
        <v>-0.243562978427279</v>
      </c>
    </row>
    <row r="461" customFormat="false" ht="15" hidden="false" customHeight="false" outlineLevel="0" collapsed="false">
      <c r="A461" s="0" t="s">
        <v>24</v>
      </c>
      <c r="B461" s="0" t="s">
        <v>49</v>
      </c>
      <c r="C461" s="0" t="n">
        <v>65</v>
      </c>
      <c r="D461" s="0" t="s">
        <v>355</v>
      </c>
      <c r="E461" s="131" t="n">
        <v>28037.33</v>
      </c>
      <c r="F461" s="132" t="n">
        <f aca="false">Spreads!AC65</f>
        <v>26737.33</v>
      </c>
      <c r="G461" s="131" t="n">
        <f aca="false">IF(AND(ISNUMBER(E461),ISNUMBER(F461)),F461-E461,"")</f>
        <v>-1300</v>
      </c>
      <c r="H461" s="133" t="n">
        <f aca="false">IF(AND(ISNUMBER(E461),ISNUMBER(F461)),IF(E461=0,"",F461/E461-1),"")</f>
        <v>-0.0463667546089446</v>
      </c>
    </row>
    <row r="462" customFormat="false" ht="15" hidden="false" customHeight="false" outlineLevel="0" collapsed="false">
      <c r="A462" s="0" t="s">
        <v>24</v>
      </c>
      <c r="B462" s="0" t="s">
        <v>49</v>
      </c>
      <c r="C462" s="0" t="n">
        <v>27</v>
      </c>
      <c r="D462" s="0" t="s">
        <v>356</v>
      </c>
      <c r="E462" s="131" t="n">
        <v>174032.849824</v>
      </c>
      <c r="F462" s="132" t="n">
        <f aca="false">Spreads!AC27</f>
        <v>175150.42389536</v>
      </c>
      <c r="G462" s="131" t="n">
        <f aca="false">IF(AND(ISNUMBER(E462),ISNUMBER(F462)),F462-E462,"")</f>
        <v>1117.57407135997</v>
      </c>
      <c r="H462" s="133" t="n">
        <f aca="false">IF(AND(ISNUMBER(E462),ISNUMBER(F462)),IF(E462=0,"",F462/E462-1),"")</f>
        <v>0.00642162713815342</v>
      </c>
    </row>
    <row r="463" customFormat="false" ht="15" hidden="false" customHeight="false" outlineLevel="0" collapsed="false">
      <c r="A463" s="0" t="s">
        <v>24</v>
      </c>
      <c r="B463" s="0" t="s">
        <v>49</v>
      </c>
      <c r="C463" s="0" t="n">
        <v>205</v>
      </c>
      <c r="D463" s="0" t="s">
        <v>357</v>
      </c>
      <c r="E463" s="131" t="n">
        <v>24568</v>
      </c>
      <c r="F463" s="132" t="n">
        <f aca="false">Spreads!AC205</f>
        <v>24568</v>
      </c>
      <c r="G463" s="131" t="n">
        <f aca="false">IF(AND(ISNUMBER(E463),ISNUMBER(F463)),F463-E463,"")</f>
        <v>0</v>
      </c>
      <c r="H463" s="133" t="n">
        <f aca="false">IF(AND(ISNUMBER(E463),ISNUMBER(F463)),IF(E463=0,"",F463/E463-1),"")</f>
        <v>0</v>
      </c>
    </row>
    <row r="464" customFormat="false" ht="15" hidden="false" customHeight="false" outlineLevel="0" collapsed="false">
      <c r="A464" s="0" t="s">
        <v>24</v>
      </c>
      <c r="B464" s="0" t="s">
        <v>49</v>
      </c>
      <c r="C464" s="0" t="n">
        <v>245</v>
      </c>
      <c r="D464" s="0" t="s">
        <v>358</v>
      </c>
      <c r="E464" s="131" t="n">
        <v>6939</v>
      </c>
      <c r="F464" s="132" t="n">
        <f aca="false">Spreads!AC245</f>
        <v>4690</v>
      </c>
      <c r="G464" s="131" t="n">
        <f aca="false">IF(AND(ISNUMBER(E464),ISNUMBER(F464)),F464-E464,"")</f>
        <v>-2249</v>
      </c>
      <c r="H464" s="133" t="n">
        <f aca="false">IF(AND(ISNUMBER(E464),ISNUMBER(F464)),IF(E464=0,"",F464/E464-1),"")</f>
        <v>-0.324110102320219</v>
      </c>
    </row>
    <row r="465" customFormat="false" ht="15" hidden="false" customHeight="false" outlineLevel="0" collapsed="false">
      <c r="A465" s="0" t="s">
        <v>24</v>
      </c>
      <c r="B465" s="0" t="s">
        <v>49</v>
      </c>
      <c r="C465" s="0" t="n">
        <v>265</v>
      </c>
      <c r="D465" s="0" t="s">
        <v>359</v>
      </c>
      <c r="E465" s="131" t="n">
        <v>7689</v>
      </c>
      <c r="F465" s="132" t="n">
        <f aca="false">Spreads!AC265</f>
        <v>7699</v>
      </c>
      <c r="G465" s="131" t="n">
        <f aca="false">IF(AND(ISNUMBER(E465),ISNUMBER(F465)),F465-E465,"")</f>
        <v>10</v>
      </c>
      <c r="H465" s="133" t="n">
        <f aca="false">IF(AND(ISNUMBER(E465),ISNUMBER(F465)),IF(E465=0,"",F465/E465-1),"")</f>
        <v>0.00130055924047334</v>
      </c>
    </row>
    <row r="466" customFormat="false" ht="15" hidden="false" customHeight="false" outlineLevel="0" collapsed="false">
      <c r="A466" s="0" t="s">
        <v>24</v>
      </c>
      <c r="B466" s="0" t="s">
        <v>49</v>
      </c>
      <c r="C466" s="0" t="n">
        <v>275</v>
      </c>
      <c r="D466" s="0" t="s">
        <v>360</v>
      </c>
      <c r="E466" s="131" t="n">
        <v>7689</v>
      </c>
      <c r="F466" s="132" t="n">
        <f aca="false">Spreads!AC275</f>
        <v>7699</v>
      </c>
      <c r="G466" s="131" t="n">
        <f aca="false">IF(AND(ISNUMBER(E466),ISNUMBER(F466)),F466-E466,"")</f>
        <v>10</v>
      </c>
      <c r="H466" s="133" t="n">
        <f aca="false">IF(AND(ISNUMBER(E466),ISNUMBER(F466)),IF(E466=0,"",F466/E466-1),"")</f>
        <v>0.00130055924047334</v>
      </c>
    </row>
    <row r="467" customFormat="false" ht="15" hidden="false" customHeight="false" outlineLevel="0" collapsed="false">
      <c r="A467" s="0" t="s">
        <v>24</v>
      </c>
      <c r="B467" s="0" t="s">
        <v>49</v>
      </c>
      <c r="C467" s="0" t="n">
        <v>285</v>
      </c>
      <c r="D467" s="0" t="s">
        <v>361</v>
      </c>
      <c r="E467" s="131" t="n">
        <v>5585.58</v>
      </c>
      <c r="F467" s="132" t="n">
        <f aca="false">Spreads!AC285</f>
        <v>3600</v>
      </c>
      <c r="G467" s="131" t="n">
        <f aca="false">IF(AND(ISNUMBER(E467),ISNUMBER(F467)),F467-E467,"")</f>
        <v>-1985.58</v>
      </c>
      <c r="H467" s="133" t="n">
        <f aca="false">IF(AND(ISNUMBER(E467),ISNUMBER(F467)),IF(E467=0,"",F467/E467-1),"")</f>
        <v>-0.355483226450968</v>
      </c>
    </row>
    <row r="468" customFormat="false" ht="15" hidden="false" customHeight="false" outlineLevel="0" collapsed="false">
      <c r="A468" s="0" t="s">
        <v>24</v>
      </c>
      <c r="B468" s="0" t="s">
        <v>49</v>
      </c>
      <c r="C468" s="0" t="n">
        <v>295</v>
      </c>
      <c r="D468" s="0" t="s">
        <v>362</v>
      </c>
      <c r="E468" s="131" t="n">
        <v>7.8</v>
      </c>
      <c r="F468" s="132" t="n">
        <f aca="false">Spreads!AC295</f>
        <v>5.03</v>
      </c>
      <c r="G468" s="131" t="n">
        <f aca="false">IF(AND(ISNUMBER(E468),ISNUMBER(F468)),F468-E468,"")</f>
        <v>-2.77</v>
      </c>
      <c r="H468" s="133" t="n">
        <f aca="false">IF(AND(ISNUMBER(E468),ISNUMBER(F468)),IF(E468=0,"",F468/E468-1),"")</f>
        <v>-0.355128205128205</v>
      </c>
    </row>
    <row r="469" customFormat="false" ht="15" hidden="false" customHeight="false" outlineLevel="0" collapsed="false">
      <c r="A469" s="0" t="s">
        <v>24</v>
      </c>
      <c r="B469" s="0" t="s">
        <v>49</v>
      </c>
      <c r="C469" s="0" t="n">
        <v>339</v>
      </c>
      <c r="D469" s="0" t="s">
        <v>363</v>
      </c>
      <c r="E469" s="131" t="n">
        <v>1156</v>
      </c>
      <c r="F469" s="132" t="n">
        <f aca="false">Spreads!AC339</f>
        <v>1156</v>
      </c>
      <c r="G469" s="131" t="n">
        <f aca="false">IF(AND(ISNUMBER(E469),ISNUMBER(F469)),F469-E469,"")</f>
        <v>0</v>
      </c>
      <c r="H469" s="133" t="n">
        <f aca="false">IF(AND(ISNUMBER(E469),ISNUMBER(F469)),IF(E469=0,"",F469/E469-1),"")</f>
        <v>0</v>
      </c>
    </row>
    <row r="470" customFormat="false" ht="15" hidden="false" customHeight="false" outlineLevel="0" collapsed="false">
      <c r="A470" s="0" t="s">
        <v>24</v>
      </c>
      <c r="B470" s="0" t="s">
        <v>49</v>
      </c>
      <c r="C470" s="0" t="n">
        <v>327</v>
      </c>
      <c r="D470" s="0" t="s">
        <v>364</v>
      </c>
      <c r="E470" s="131" t="n">
        <v>0</v>
      </c>
      <c r="F470" s="132" t="n">
        <f aca="false">Spreads!AC327</f>
        <v>0</v>
      </c>
      <c r="G470" s="131" t="n">
        <f aca="false">IF(AND(ISNUMBER(E470),ISNUMBER(F470)),F470-E470,"")</f>
        <v>0</v>
      </c>
      <c r="H470" s="133" t="str">
        <f aca="false">IF(AND(ISNUMBER(E470),ISNUMBER(F470)),IF(E470=0,"",F470/E470-1),"")</f>
        <v/>
      </c>
    </row>
    <row r="471" customFormat="false" ht="15" hidden="false" customHeight="false" outlineLevel="0" collapsed="false">
      <c r="A471" s="0" t="s">
        <v>24</v>
      </c>
      <c r="B471" s="0" t="s">
        <v>49</v>
      </c>
      <c r="C471" s="0" t="n">
        <v>328</v>
      </c>
      <c r="D471" s="0" t="s">
        <v>365</v>
      </c>
      <c r="E471" s="131" t="n">
        <v>0</v>
      </c>
      <c r="F471" s="132" t="n">
        <f aca="false">Spreads!AC328</f>
        <v>0</v>
      </c>
      <c r="G471" s="131" t="n">
        <f aca="false">IF(AND(ISNUMBER(E471),ISNUMBER(F471)),F471-E471,"")</f>
        <v>0</v>
      </c>
      <c r="H471" s="133" t="str">
        <f aca="false">IF(AND(ISNUMBER(E471),ISNUMBER(F471)),IF(E471=0,"",F471/E471-1),"")</f>
        <v/>
      </c>
    </row>
    <row r="472" customFormat="false" ht="15" hidden="false" customHeight="false" outlineLevel="0" collapsed="false">
      <c r="A472" s="0" t="s">
        <v>25</v>
      </c>
      <c r="B472" s="0" t="s">
        <v>50</v>
      </c>
      <c r="C472" s="0" t="n">
        <v>43</v>
      </c>
      <c r="D472" s="0" t="s">
        <v>340</v>
      </c>
      <c r="E472" s="131" t="n">
        <v>1758</v>
      </c>
      <c r="F472" s="132" t="n">
        <f aca="false">Spreads!AD43</f>
        <v>1758</v>
      </c>
      <c r="G472" s="131" t="n">
        <f aca="false">IF(AND(ISNUMBER(E472),ISNUMBER(F472)),F472-E472,"")</f>
        <v>0</v>
      </c>
      <c r="H472" s="133" t="n">
        <f aca="false">IF(AND(ISNUMBER(E472),ISNUMBER(F472)),IF(E472=0,"",F472/E472-1),"")</f>
        <v>0</v>
      </c>
    </row>
    <row r="473" customFormat="false" ht="15" hidden="false" customHeight="false" outlineLevel="0" collapsed="false">
      <c r="A473" s="0" t="s">
        <v>25</v>
      </c>
      <c r="B473" s="0" t="s">
        <v>50</v>
      </c>
      <c r="C473" s="0" t="n">
        <v>44</v>
      </c>
      <c r="D473" s="0" t="s">
        <v>341</v>
      </c>
      <c r="E473" s="131"/>
      <c r="F473" s="132" t="n">
        <f aca="false">Spreads!AD44</f>
        <v>0</v>
      </c>
      <c r="G473" s="131" t="str">
        <f aca="false">IF(AND(ISNUMBER(E473),ISNUMBER(F473)),F473-E473,"")</f>
        <v/>
      </c>
      <c r="H473" s="133" t="str">
        <f aca="false">IF(AND(ISNUMBER(E473),ISNUMBER(F473)),IF(E473=0,"",F473/E473-1),"")</f>
        <v/>
      </c>
    </row>
    <row r="474" customFormat="false" ht="15" hidden="false" customHeight="false" outlineLevel="0" collapsed="false">
      <c r="A474" s="0" t="s">
        <v>25</v>
      </c>
      <c r="B474" s="0" t="s">
        <v>50</v>
      </c>
      <c r="C474" s="0" t="n">
        <v>45</v>
      </c>
      <c r="D474" s="0" t="s">
        <v>342</v>
      </c>
      <c r="E474" s="131"/>
      <c r="F474" s="132" t="n">
        <f aca="false">Spreads!AD45</f>
        <v>0</v>
      </c>
      <c r="G474" s="131" t="str">
        <f aca="false">IF(AND(ISNUMBER(E474),ISNUMBER(F474)),F474-E474,"")</f>
        <v/>
      </c>
      <c r="H474" s="133" t="str">
        <f aca="false">IF(AND(ISNUMBER(E474),ISNUMBER(F474)),IF(E474=0,"",F474/E474-1),"")</f>
        <v/>
      </c>
    </row>
    <row r="475" customFormat="false" ht="15" hidden="false" customHeight="false" outlineLevel="0" collapsed="false">
      <c r="A475" s="0" t="s">
        <v>25</v>
      </c>
      <c r="B475" s="0" t="s">
        <v>50</v>
      </c>
      <c r="C475" s="0" t="n">
        <v>46</v>
      </c>
      <c r="D475" s="0" t="s">
        <v>343</v>
      </c>
      <c r="E475" s="131" t="n">
        <v>0</v>
      </c>
      <c r="F475" s="132" t="n">
        <f aca="false">Spreads!AD46</f>
        <v>0</v>
      </c>
      <c r="G475" s="131" t="n">
        <f aca="false">IF(AND(ISNUMBER(E475),ISNUMBER(F475)),F475-E475,"")</f>
        <v>0</v>
      </c>
      <c r="H475" s="133" t="str">
        <f aca="false">IF(AND(ISNUMBER(E475),ISNUMBER(F475)),IF(E475=0,"",F475/E475-1),"")</f>
        <v/>
      </c>
    </row>
    <row r="476" customFormat="false" ht="15" hidden="false" customHeight="false" outlineLevel="0" collapsed="false">
      <c r="A476" s="0" t="s">
        <v>25</v>
      </c>
      <c r="B476" s="0" t="s">
        <v>50</v>
      </c>
      <c r="C476" s="0" t="n">
        <v>55</v>
      </c>
      <c r="D476" s="0" t="s">
        <v>344</v>
      </c>
      <c r="E476" s="131" t="n">
        <v>304</v>
      </c>
      <c r="F476" s="132" t="n">
        <f aca="false">Spreads!AD55</f>
        <v>304</v>
      </c>
      <c r="G476" s="131" t="n">
        <f aca="false">IF(AND(ISNUMBER(E476),ISNUMBER(F476)),F476-E476,"")</f>
        <v>0</v>
      </c>
      <c r="H476" s="133" t="n">
        <f aca="false">IF(AND(ISNUMBER(E476),ISNUMBER(F476)),IF(E476=0,"",F476/E476-1),"")</f>
        <v>0</v>
      </c>
    </row>
    <row r="477" customFormat="false" ht="15" hidden="false" customHeight="false" outlineLevel="0" collapsed="false">
      <c r="A477" s="0" t="s">
        <v>25</v>
      </c>
      <c r="B477" s="0" t="s">
        <v>50</v>
      </c>
      <c r="C477" s="0" t="n">
        <v>56</v>
      </c>
      <c r="D477" s="0" t="s">
        <v>345</v>
      </c>
      <c r="E477" s="131" t="n">
        <v>3645</v>
      </c>
      <c r="F477" s="132" t="n">
        <f aca="false">Spreads!AD56</f>
        <v>3645</v>
      </c>
      <c r="G477" s="131" t="n">
        <f aca="false">IF(AND(ISNUMBER(E477),ISNUMBER(F477)),F477-E477,"")</f>
        <v>0</v>
      </c>
      <c r="H477" s="133" t="n">
        <f aca="false">IF(AND(ISNUMBER(E477),ISNUMBER(F477)),IF(E477=0,"",F477/E477-1),"")</f>
        <v>0</v>
      </c>
    </row>
    <row r="478" customFormat="false" ht="15" hidden="false" customHeight="false" outlineLevel="0" collapsed="false">
      <c r="A478" s="0" t="s">
        <v>25</v>
      </c>
      <c r="B478" s="0" t="s">
        <v>50</v>
      </c>
      <c r="C478" s="0" t="n">
        <v>58</v>
      </c>
      <c r="D478" s="0" t="s">
        <v>346</v>
      </c>
      <c r="E478" s="131"/>
      <c r="F478" s="132" t="n">
        <f aca="false">Spreads!AD58</f>
        <v>0</v>
      </c>
      <c r="G478" s="131" t="str">
        <f aca="false">IF(AND(ISNUMBER(E478),ISNUMBER(F478)),F478-E478,"")</f>
        <v/>
      </c>
      <c r="H478" s="133" t="str">
        <f aca="false">IF(AND(ISNUMBER(E478),ISNUMBER(F478)),IF(E478=0,"",F478/E478-1),"")</f>
        <v/>
      </c>
    </row>
    <row r="479" customFormat="false" ht="15" hidden="false" customHeight="false" outlineLevel="0" collapsed="false">
      <c r="A479" s="0" t="s">
        <v>25</v>
      </c>
      <c r="B479" s="0" t="s">
        <v>50</v>
      </c>
      <c r="C479" s="0" t="n">
        <v>62</v>
      </c>
      <c r="D479" s="0" t="s">
        <v>347</v>
      </c>
      <c r="E479" s="131" t="n">
        <v>0</v>
      </c>
      <c r="F479" s="132" t="n">
        <f aca="false">Spreads!AD62</f>
        <v>0</v>
      </c>
      <c r="G479" s="131" t="n">
        <f aca="false">IF(AND(ISNUMBER(E479),ISNUMBER(F479)),F479-E479,"")</f>
        <v>0</v>
      </c>
      <c r="H479" s="133" t="str">
        <f aca="false">IF(AND(ISNUMBER(E479),ISNUMBER(F479)),IF(E479=0,"",F479/E479-1),"")</f>
        <v/>
      </c>
    </row>
    <row r="480" customFormat="false" ht="15" hidden="false" customHeight="false" outlineLevel="0" collapsed="false">
      <c r="A480" s="0" t="s">
        <v>25</v>
      </c>
      <c r="B480" s="0" t="s">
        <v>50</v>
      </c>
      <c r="C480" s="0" t="n">
        <v>70</v>
      </c>
      <c r="D480" s="0" t="s">
        <v>348</v>
      </c>
      <c r="E480" s="131" t="n">
        <v>-264</v>
      </c>
      <c r="F480" s="132" t="n">
        <f aca="false">Spreads!AD70</f>
        <v>-264</v>
      </c>
      <c r="G480" s="131" t="n">
        <f aca="false">IF(AND(ISNUMBER(E480),ISNUMBER(F480)),F480-E480,"")</f>
        <v>0</v>
      </c>
      <c r="H480" s="133" t="n">
        <f aca="false">IF(AND(ISNUMBER(E480),ISNUMBER(F480)),IF(E480=0,"",F480/E480-1),"")</f>
        <v>0</v>
      </c>
    </row>
    <row r="481" customFormat="false" ht="15" hidden="false" customHeight="false" outlineLevel="0" collapsed="false">
      <c r="A481" s="0" t="s">
        <v>25</v>
      </c>
      <c r="B481" s="0" t="s">
        <v>50</v>
      </c>
      <c r="C481" s="0" t="n">
        <v>74</v>
      </c>
      <c r="D481" s="0" t="s">
        <v>349</v>
      </c>
      <c r="E481" s="131" t="n">
        <v>0</v>
      </c>
      <c r="F481" s="132" t="n">
        <f aca="false">Spreads!AD74</f>
        <v>0</v>
      </c>
      <c r="G481" s="131" t="n">
        <f aca="false">IF(AND(ISNUMBER(E481),ISNUMBER(F481)),F481-E481,"")</f>
        <v>0</v>
      </c>
      <c r="H481" s="133" t="str">
        <f aca="false">IF(AND(ISNUMBER(E481),ISNUMBER(F481)),IF(E481=0,"",F481/E481-1),"")</f>
        <v/>
      </c>
    </row>
    <row r="482" customFormat="false" ht="15" hidden="false" customHeight="false" outlineLevel="0" collapsed="false">
      <c r="A482" s="0" t="s">
        <v>25</v>
      </c>
      <c r="B482" s="0" t="s">
        <v>50</v>
      </c>
      <c r="C482" s="0" t="n">
        <v>77</v>
      </c>
      <c r="D482" s="0" t="s">
        <v>350</v>
      </c>
      <c r="E482" s="131" t="n">
        <v>0</v>
      </c>
      <c r="F482" s="132" t="n">
        <f aca="false">Spreads!AD77</f>
        <v>0</v>
      </c>
      <c r="G482" s="131" t="n">
        <f aca="false">IF(AND(ISNUMBER(E482),ISNUMBER(F482)),F482-E482,"")</f>
        <v>0</v>
      </c>
      <c r="H482" s="133" t="str">
        <f aca="false">IF(AND(ISNUMBER(E482),ISNUMBER(F482)),IF(E482=0,"",F482/E482-1),"")</f>
        <v/>
      </c>
    </row>
    <row r="483" customFormat="false" ht="15" hidden="false" customHeight="false" outlineLevel="0" collapsed="false">
      <c r="A483" s="0" t="s">
        <v>25</v>
      </c>
      <c r="B483" s="0" t="s">
        <v>50</v>
      </c>
      <c r="C483" s="0" t="n">
        <v>81</v>
      </c>
      <c r="D483" s="0" t="s">
        <v>351</v>
      </c>
      <c r="E483" s="131" t="n">
        <v>7363</v>
      </c>
      <c r="F483" s="132" t="n">
        <f aca="false">Spreads!AD81</f>
        <v>7363</v>
      </c>
      <c r="G483" s="131" t="n">
        <f aca="false">IF(AND(ISNUMBER(E483),ISNUMBER(F483)),F483-E483,"")</f>
        <v>0</v>
      </c>
      <c r="H483" s="133" t="n">
        <f aca="false">IF(AND(ISNUMBER(E483),ISNUMBER(F483)),IF(E483=0,"",F483/E483-1),"")</f>
        <v>0</v>
      </c>
    </row>
    <row r="484" customFormat="false" ht="15" hidden="false" customHeight="false" outlineLevel="0" collapsed="false">
      <c r="A484" s="0" t="s">
        <v>25</v>
      </c>
      <c r="B484" s="0" t="s">
        <v>50</v>
      </c>
      <c r="C484" s="0" t="n">
        <v>137</v>
      </c>
      <c r="D484" s="0" t="s">
        <v>352</v>
      </c>
      <c r="E484" s="131" t="n">
        <v>281.92886</v>
      </c>
      <c r="F484" s="132" t="n">
        <f aca="false">Spreads!AD137</f>
        <v>281.928854</v>
      </c>
      <c r="G484" s="131" t="n">
        <f aca="false">IF(AND(ISNUMBER(E484),ISNUMBER(F484)),F484-E484,"")</f>
        <v>-5.99999998485146E-006</v>
      </c>
      <c r="H484" s="133" t="n">
        <f aca="false">IF(AND(ISNUMBER(E484),ISNUMBER(F484)),IF(E484=0,"",F484/E484-1),"")</f>
        <v>-2.12819645240003E-008</v>
      </c>
    </row>
    <row r="485" customFormat="false" ht="15" hidden="false" customHeight="false" outlineLevel="0" collapsed="false">
      <c r="A485" s="0" t="s">
        <v>25</v>
      </c>
      <c r="B485" s="0" t="s">
        <v>50</v>
      </c>
      <c r="C485" s="0" t="n">
        <v>145</v>
      </c>
      <c r="D485" s="0" t="s">
        <v>353</v>
      </c>
      <c r="E485" s="131" t="n">
        <v>281.92886</v>
      </c>
      <c r="F485" s="132" t="n">
        <f aca="false">Spreads!AD145</f>
        <v>284.126549195752</v>
      </c>
      <c r="G485" s="131" t="n">
        <f aca="false">IF(AND(ISNUMBER(E485),ISNUMBER(F485)),F485-E485,"")</f>
        <v>2.19768919575154</v>
      </c>
      <c r="H485" s="133" t="n">
        <f aca="false">IF(AND(ISNUMBER(E485),ISNUMBER(F485)),IF(E485=0,"",F485/E485-1),"")</f>
        <v>0.0077951905872693</v>
      </c>
    </row>
    <row r="486" customFormat="false" ht="15" hidden="false" customHeight="false" outlineLevel="0" collapsed="false">
      <c r="A486" s="0" t="s">
        <v>25</v>
      </c>
      <c r="B486" s="0" t="s">
        <v>50</v>
      </c>
      <c r="C486" s="0" t="n">
        <v>50</v>
      </c>
      <c r="D486" s="0" t="s">
        <v>354</v>
      </c>
      <c r="E486" s="131" t="n">
        <v>1758</v>
      </c>
      <c r="F486" s="132" t="n">
        <f aca="false">Spreads!AD50</f>
        <v>1758</v>
      </c>
      <c r="G486" s="131" t="n">
        <f aca="false">IF(AND(ISNUMBER(E486),ISNUMBER(F486)),F486-E486,"")</f>
        <v>0</v>
      </c>
      <c r="H486" s="133" t="n">
        <f aca="false">IF(AND(ISNUMBER(E486),ISNUMBER(F486)),IF(E486=0,"",F486/E486-1),"")</f>
        <v>0</v>
      </c>
    </row>
    <row r="487" customFormat="false" ht="15" hidden="false" customHeight="false" outlineLevel="0" collapsed="false">
      <c r="A487" s="0" t="s">
        <v>25</v>
      </c>
      <c r="B487" s="0" t="s">
        <v>50</v>
      </c>
      <c r="C487" s="0" t="n">
        <v>65</v>
      </c>
      <c r="D487" s="0" t="s">
        <v>355</v>
      </c>
      <c r="E487" s="131" t="n">
        <v>3740.44</v>
      </c>
      <c r="F487" s="132" t="n">
        <f aca="false">Spreads!AD65</f>
        <v>3740.44</v>
      </c>
      <c r="G487" s="131" t="n">
        <f aca="false">IF(AND(ISNUMBER(E487),ISNUMBER(F487)),F487-E487,"")</f>
        <v>0</v>
      </c>
      <c r="H487" s="133" t="n">
        <f aca="false">IF(AND(ISNUMBER(E487),ISNUMBER(F487)),IF(E487=0,"",F487/E487-1),"")</f>
        <v>0</v>
      </c>
    </row>
    <row r="488" customFormat="false" ht="15" hidden="false" customHeight="false" outlineLevel="0" collapsed="false">
      <c r="A488" s="0" t="s">
        <v>25</v>
      </c>
      <c r="B488" s="0" t="s">
        <v>50</v>
      </c>
      <c r="C488" s="0" t="n">
        <v>27</v>
      </c>
      <c r="D488" s="0" t="s">
        <v>356</v>
      </c>
      <c r="E488" s="131" t="n">
        <v>47637.9995884</v>
      </c>
      <c r="F488" s="132" t="n">
        <f aca="false">Spreads!AD27</f>
        <v>47993.89337676</v>
      </c>
      <c r="G488" s="131" t="n">
        <f aca="false">IF(AND(ISNUMBER(E488),ISNUMBER(F488)),F488-E488,"")</f>
        <v>355.893788360001</v>
      </c>
      <c r="H488" s="133" t="n">
        <f aca="false">IF(AND(ISNUMBER(E488),ISNUMBER(F488)),IF(E488=0,"",F488/E488-1),"")</f>
        <v>0.00747079624322988</v>
      </c>
    </row>
    <row r="489" customFormat="false" ht="15" hidden="false" customHeight="false" outlineLevel="0" collapsed="false">
      <c r="A489" s="0" t="s">
        <v>25</v>
      </c>
      <c r="B489" s="0" t="s">
        <v>50</v>
      </c>
      <c r="C489" s="0" t="n">
        <v>205</v>
      </c>
      <c r="D489" s="0" t="s">
        <v>357</v>
      </c>
      <c r="E489" s="131" t="n">
        <v>6945.328</v>
      </c>
      <c r="F489" s="132" t="n">
        <f aca="false">Spreads!AD205</f>
        <v>7065</v>
      </c>
      <c r="G489" s="131" t="n">
        <f aca="false">IF(AND(ISNUMBER(E489),ISNUMBER(F489)),F489-E489,"")</f>
        <v>119.672</v>
      </c>
      <c r="H489" s="133" t="n">
        <f aca="false">IF(AND(ISNUMBER(E489),ISNUMBER(F489)),IF(E489=0,"",F489/E489-1),"")</f>
        <v>0.01723057571939</v>
      </c>
    </row>
    <row r="490" customFormat="false" ht="15" hidden="false" customHeight="false" outlineLevel="0" collapsed="false">
      <c r="A490" s="0" t="s">
        <v>25</v>
      </c>
      <c r="B490" s="0" t="s">
        <v>50</v>
      </c>
      <c r="C490" s="0" t="n">
        <v>245</v>
      </c>
      <c r="D490" s="0" t="s">
        <v>358</v>
      </c>
      <c r="E490" s="131" t="n">
        <v>1823.2767</v>
      </c>
      <c r="F490" s="132" t="n">
        <f aca="false">Spreads!AD245</f>
        <v>1456</v>
      </c>
      <c r="G490" s="131" t="n">
        <f aca="false">IF(AND(ISNUMBER(E490),ISNUMBER(F490)),F490-E490,"")</f>
        <v>-367.2767</v>
      </c>
      <c r="H490" s="133" t="n">
        <f aca="false">IF(AND(ISNUMBER(E490),ISNUMBER(F490)),IF(E490=0,"",F490/E490-1),"")</f>
        <v>-0.201437719244698</v>
      </c>
    </row>
    <row r="491" customFormat="false" ht="15" hidden="false" customHeight="false" outlineLevel="0" collapsed="false">
      <c r="A491" s="0" t="s">
        <v>25</v>
      </c>
      <c r="B491" s="0" t="s">
        <v>50</v>
      </c>
      <c r="C491" s="0" t="n">
        <v>265</v>
      </c>
      <c r="D491" s="0" t="s">
        <v>359</v>
      </c>
      <c r="E491" s="131" t="n">
        <v>2010.1848</v>
      </c>
      <c r="F491" s="132" t="n">
        <f aca="false">Spreads!AD265</f>
        <v>1754</v>
      </c>
      <c r="G491" s="131" t="n">
        <f aca="false">IF(AND(ISNUMBER(E491),ISNUMBER(F491)),F491-E491,"")</f>
        <v>-256.1848</v>
      </c>
      <c r="H491" s="133" t="n">
        <f aca="false">IF(AND(ISNUMBER(E491),ISNUMBER(F491)),IF(E491=0,"",F491/E491-1),"")</f>
        <v>-0.127443407193209</v>
      </c>
    </row>
    <row r="492" customFormat="false" ht="15" hidden="false" customHeight="false" outlineLevel="0" collapsed="false">
      <c r="A492" s="0" t="s">
        <v>25</v>
      </c>
      <c r="B492" s="0" t="s">
        <v>50</v>
      </c>
      <c r="C492" s="0" t="n">
        <v>275</v>
      </c>
      <c r="D492" s="0" t="s">
        <v>360</v>
      </c>
      <c r="E492" s="131" t="n">
        <v>2010.1848</v>
      </c>
      <c r="F492" s="132" t="n">
        <f aca="false">Spreads!AD275</f>
        <v>1754</v>
      </c>
      <c r="G492" s="131" t="n">
        <f aca="false">IF(AND(ISNUMBER(E492),ISNUMBER(F492)),F492-E492,"")</f>
        <v>-256.1848</v>
      </c>
      <c r="H492" s="133" t="n">
        <f aca="false">IF(AND(ISNUMBER(E492),ISNUMBER(F492)),IF(E492=0,"",F492/E492-1),"")</f>
        <v>-0.127443407193209</v>
      </c>
    </row>
    <row r="493" customFormat="false" ht="15" hidden="false" customHeight="false" outlineLevel="0" collapsed="false">
      <c r="A493" s="0" t="s">
        <v>25</v>
      </c>
      <c r="B493" s="0" t="s">
        <v>50</v>
      </c>
      <c r="C493" s="0" t="n">
        <v>285</v>
      </c>
      <c r="D493" s="0" t="s">
        <v>361</v>
      </c>
      <c r="E493" s="131" t="n">
        <v>1619.4082</v>
      </c>
      <c r="F493" s="132" t="n">
        <f aca="false">Spreads!AD285</f>
        <v>1290</v>
      </c>
      <c r="G493" s="131" t="n">
        <f aca="false">IF(AND(ISNUMBER(E493),ISNUMBER(F493)),F493-E493,"")</f>
        <v>-329.4082</v>
      </c>
      <c r="H493" s="133" t="n">
        <f aca="false">IF(AND(ISNUMBER(E493),ISNUMBER(F493)),IF(E493=0,"",F493/E493-1),"")</f>
        <v>-0.203412703480197</v>
      </c>
    </row>
    <row r="494" customFormat="false" ht="15" hidden="false" customHeight="false" outlineLevel="0" collapsed="false">
      <c r="A494" s="0" t="s">
        <v>25</v>
      </c>
      <c r="B494" s="0" t="s">
        <v>50</v>
      </c>
      <c r="C494" s="0" t="n">
        <v>295</v>
      </c>
      <c r="D494" s="0" t="s">
        <v>362</v>
      </c>
      <c r="E494" s="131" t="n">
        <v>5.691945</v>
      </c>
      <c r="F494" s="132" t="n">
        <f aca="false">Spreads!AD295</f>
        <v>4.53</v>
      </c>
      <c r="G494" s="131" t="n">
        <f aca="false">IF(AND(ISNUMBER(E494),ISNUMBER(F494)),F494-E494,"")</f>
        <v>-1.161945</v>
      </c>
      <c r="H494" s="133" t="n">
        <f aca="false">IF(AND(ISNUMBER(E494),ISNUMBER(F494)),IF(E494=0,"",F494/E494-1),"")</f>
        <v>-0.204138479904497</v>
      </c>
    </row>
    <row r="495" customFormat="false" ht="15" hidden="false" customHeight="false" outlineLevel="0" collapsed="false">
      <c r="A495" s="0" t="s">
        <v>25</v>
      </c>
      <c r="B495" s="0" t="s">
        <v>50</v>
      </c>
      <c r="C495" s="0" t="n">
        <v>339</v>
      </c>
      <c r="D495" s="0" t="s">
        <v>363</v>
      </c>
      <c r="E495" s="131" t="n">
        <v>414.1863</v>
      </c>
      <c r="F495" s="132" t="n">
        <f aca="false">Spreads!AD339</f>
        <v>403</v>
      </c>
      <c r="G495" s="131" t="n">
        <f aca="false">IF(AND(ISNUMBER(E495),ISNUMBER(F495)),F495-E495,"")</f>
        <v>-11.1863</v>
      </c>
      <c r="H495" s="133" t="n">
        <f aca="false">IF(AND(ISNUMBER(E495),ISNUMBER(F495)),IF(E495=0,"",F495/E495-1),"")</f>
        <v>-0.0270078947565383</v>
      </c>
    </row>
    <row r="496" customFormat="false" ht="15" hidden="false" customHeight="false" outlineLevel="0" collapsed="false">
      <c r="A496" s="0" t="s">
        <v>25</v>
      </c>
      <c r="B496" s="0" t="s">
        <v>50</v>
      </c>
      <c r="C496" s="0" t="n">
        <v>327</v>
      </c>
      <c r="D496" s="0" t="s">
        <v>364</v>
      </c>
      <c r="E496" s="131" t="n">
        <v>0</v>
      </c>
      <c r="F496" s="132" t="n">
        <f aca="false">Spreads!AD327</f>
        <v>0</v>
      </c>
      <c r="G496" s="131" t="n">
        <f aca="false">IF(AND(ISNUMBER(E496),ISNUMBER(F496)),F496-E496,"")</f>
        <v>0</v>
      </c>
      <c r="H496" s="133" t="str">
        <f aca="false">IF(AND(ISNUMBER(E496),ISNUMBER(F496)),IF(E496=0,"",F496/E496-1),"")</f>
        <v/>
      </c>
    </row>
    <row r="497" customFormat="false" ht="15" hidden="false" customHeight="false" outlineLevel="0" collapsed="false">
      <c r="A497" s="0" t="s">
        <v>25</v>
      </c>
      <c r="B497" s="0" t="s">
        <v>50</v>
      </c>
      <c r="C497" s="0" t="n">
        <v>328</v>
      </c>
      <c r="D497" s="0" t="s">
        <v>365</v>
      </c>
      <c r="E497" s="131" t="n">
        <v>0</v>
      </c>
      <c r="F497" s="132" t="n">
        <f aca="false">Spreads!AD328</f>
        <v>0</v>
      </c>
      <c r="G497" s="131" t="n">
        <f aca="false">IF(AND(ISNUMBER(E497),ISNUMBER(F497)),F497-E497,"")</f>
        <v>0</v>
      </c>
      <c r="H497" s="133" t="str">
        <f aca="false">IF(AND(ISNUMBER(E497),ISNUMBER(F497)),IF(E497=0,"",F497/E497-1),"")</f>
        <v/>
      </c>
    </row>
    <row r="498" customFormat="false" ht="15" hidden="false" customHeight="false" outlineLevel="0" collapsed="false">
      <c r="A498" s="0" t="s">
        <v>26</v>
      </c>
      <c r="B498" s="0" t="s">
        <v>51</v>
      </c>
      <c r="C498" s="0" t="n">
        <v>43</v>
      </c>
      <c r="D498" s="0" t="s">
        <v>340</v>
      </c>
      <c r="E498" s="131" t="n">
        <v>15069.4512760486</v>
      </c>
      <c r="F498" s="132" t="n">
        <f aca="false">Spreads!AE43</f>
        <v>8904.44</v>
      </c>
      <c r="G498" s="131" t="n">
        <f aca="false">IF(AND(ISNUMBER(E498),ISNUMBER(F498)),F498-E498,"")</f>
        <v>-6165.0112760486</v>
      </c>
      <c r="H498" s="133" t="n">
        <f aca="false">IF(AND(ISNUMBER(E498),ISNUMBER(F498)),IF(E498=0,"",F498/E498-1),"")</f>
        <v>-0.409106553590792</v>
      </c>
    </row>
    <row r="499" customFormat="false" ht="15" hidden="false" customHeight="false" outlineLevel="0" collapsed="false">
      <c r="A499" s="0" t="s">
        <v>26</v>
      </c>
      <c r="B499" s="0" t="s">
        <v>51</v>
      </c>
      <c r="C499" s="0" t="n">
        <v>44</v>
      </c>
      <c r="D499" s="0" t="s">
        <v>341</v>
      </c>
      <c r="E499" s="131"/>
      <c r="F499" s="132" t="n">
        <f aca="false">Spreads!AE44</f>
        <v>4123.839</v>
      </c>
      <c r="G499" s="131" t="str">
        <f aca="false">IF(AND(ISNUMBER(E499),ISNUMBER(F499)),F499-E499,"")</f>
        <v/>
      </c>
      <c r="H499" s="133" t="str">
        <f aca="false">IF(AND(ISNUMBER(E499),ISNUMBER(F499)),IF(E499=0,"",F499/E499-1),"")</f>
        <v/>
      </c>
    </row>
    <row r="500" customFormat="false" ht="15" hidden="false" customHeight="false" outlineLevel="0" collapsed="false">
      <c r="A500" s="0" t="s">
        <v>26</v>
      </c>
      <c r="B500" s="0" t="s">
        <v>51</v>
      </c>
      <c r="C500" s="0" t="n">
        <v>45</v>
      </c>
      <c r="D500" s="0" t="s">
        <v>342</v>
      </c>
      <c r="E500" s="131"/>
      <c r="F500" s="132" t="n">
        <f aca="false">Spreads!AE45</f>
        <v>0</v>
      </c>
      <c r="G500" s="131" t="str">
        <f aca="false">IF(AND(ISNUMBER(E500),ISNUMBER(F500)),F500-E500,"")</f>
        <v/>
      </c>
      <c r="H500" s="133" t="str">
        <f aca="false">IF(AND(ISNUMBER(E500),ISNUMBER(F500)),IF(E500=0,"",F500/E500-1),"")</f>
        <v/>
      </c>
    </row>
    <row r="501" customFormat="false" ht="15" hidden="false" customHeight="false" outlineLevel="0" collapsed="false">
      <c r="A501" s="0" t="s">
        <v>26</v>
      </c>
      <c r="B501" s="0" t="s">
        <v>51</v>
      </c>
      <c r="C501" s="0" t="n">
        <v>46</v>
      </c>
      <c r="D501" s="0" t="s">
        <v>343</v>
      </c>
      <c r="E501" s="131" t="n">
        <v>178.444886956421</v>
      </c>
      <c r="F501" s="132" t="n">
        <f aca="false">Spreads!AE46</f>
        <v>1210.82</v>
      </c>
      <c r="G501" s="131" t="n">
        <f aca="false">IF(AND(ISNUMBER(E501),ISNUMBER(F501)),F501-E501,"")</f>
        <v>1032.37511304358</v>
      </c>
      <c r="H501" s="133" t="n">
        <f aca="false">IF(AND(ISNUMBER(E501),ISNUMBER(F501)),IF(E501=0,"",F501/E501-1),"")</f>
        <v>5.78540035891138</v>
      </c>
    </row>
    <row r="502" customFormat="false" ht="15" hidden="false" customHeight="false" outlineLevel="0" collapsed="false">
      <c r="A502" s="0" t="s">
        <v>26</v>
      </c>
      <c r="B502" s="0" t="s">
        <v>51</v>
      </c>
      <c r="C502" s="0" t="n">
        <v>55</v>
      </c>
      <c r="D502" s="0" t="s">
        <v>344</v>
      </c>
      <c r="E502" s="131" t="n">
        <v>741.230556754208</v>
      </c>
      <c r="F502" s="132" t="n">
        <f aca="false">Spreads!AE55</f>
        <v>225.492</v>
      </c>
      <c r="G502" s="131" t="n">
        <f aca="false">IF(AND(ISNUMBER(E502),ISNUMBER(F502)),F502-E502,"")</f>
        <v>-515.738556754208</v>
      </c>
      <c r="H502" s="133" t="n">
        <f aca="false">IF(AND(ISNUMBER(E502),ISNUMBER(F502)),IF(E502=0,"",F502/E502-1),"")</f>
        <v>-0.69578696136407</v>
      </c>
    </row>
    <row r="503" customFormat="false" ht="15" hidden="false" customHeight="false" outlineLevel="0" collapsed="false">
      <c r="A503" s="0" t="s">
        <v>26</v>
      </c>
      <c r="B503" s="0" t="s">
        <v>51</v>
      </c>
      <c r="C503" s="0" t="n">
        <v>56</v>
      </c>
      <c r="D503" s="0" t="s">
        <v>345</v>
      </c>
      <c r="E503" s="131" t="n">
        <v>2408.90800725086</v>
      </c>
      <c r="F503" s="132" t="n">
        <f aca="false">Spreads!AE56</f>
        <v>450.281</v>
      </c>
      <c r="G503" s="131" t="n">
        <f aca="false">IF(AND(ISNUMBER(E503),ISNUMBER(F503)),F503-E503,"")</f>
        <v>-1958.62700725086</v>
      </c>
      <c r="H503" s="133" t="n">
        <f aca="false">IF(AND(ISNUMBER(E503),ISNUMBER(F503)),IF(E503=0,"",F503/E503-1),"")</f>
        <v>-0.813076714160671</v>
      </c>
    </row>
    <row r="504" customFormat="false" ht="15" hidden="false" customHeight="false" outlineLevel="0" collapsed="false">
      <c r="A504" s="0" t="s">
        <v>26</v>
      </c>
      <c r="B504" s="0" t="s">
        <v>51</v>
      </c>
      <c r="C504" s="0" t="n">
        <v>58</v>
      </c>
      <c r="D504" s="0" t="s">
        <v>346</v>
      </c>
      <c r="E504" s="131"/>
      <c r="F504" s="132" t="n">
        <f aca="false">Spreads!AE58</f>
        <v>2049.911</v>
      </c>
      <c r="G504" s="131" t="str">
        <f aca="false">IF(AND(ISNUMBER(E504),ISNUMBER(F504)),F504-E504,"")</f>
        <v/>
      </c>
      <c r="H504" s="133" t="str">
        <f aca="false">IF(AND(ISNUMBER(E504),ISNUMBER(F504)),IF(E504=0,"",F504/E504-1),"")</f>
        <v/>
      </c>
    </row>
    <row r="505" customFormat="false" ht="15" hidden="false" customHeight="false" outlineLevel="0" collapsed="false">
      <c r="A505" s="0" t="s">
        <v>26</v>
      </c>
      <c r="B505" s="0" t="s">
        <v>51</v>
      </c>
      <c r="C505" s="0" t="n">
        <v>62</v>
      </c>
      <c r="D505" s="0" t="s">
        <v>347</v>
      </c>
      <c r="E505" s="131" t="n">
        <v>0</v>
      </c>
      <c r="F505" s="132" t="n">
        <f aca="false">Spreads!AE62</f>
        <v>2049.911</v>
      </c>
      <c r="G505" s="131" t="n">
        <f aca="false">IF(AND(ISNUMBER(E505),ISNUMBER(F505)),F505-E505,"")</f>
        <v>2049.911</v>
      </c>
      <c r="H505" s="133" t="str">
        <f aca="false">IF(AND(ISNUMBER(E505),ISNUMBER(F505)),IF(E505=0,"",F505/E505-1),"")</f>
        <v/>
      </c>
    </row>
    <row r="506" customFormat="false" ht="15" hidden="false" customHeight="false" outlineLevel="0" collapsed="false">
      <c r="A506" s="0" t="s">
        <v>26</v>
      </c>
      <c r="B506" s="0" t="s">
        <v>51</v>
      </c>
      <c r="C506" s="0" t="n">
        <v>70</v>
      </c>
      <c r="D506" s="0" t="s">
        <v>348</v>
      </c>
      <c r="E506" s="131" t="n">
        <v>0</v>
      </c>
      <c r="F506" s="132" t="n">
        <f aca="false">Spreads!AE70</f>
        <v>0</v>
      </c>
      <c r="G506" s="131" t="n">
        <f aca="false">IF(AND(ISNUMBER(E506),ISNUMBER(F506)),F506-E506,"")</f>
        <v>0</v>
      </c>
      <c r="H506" s="133" t="str">
        <f aca="false">IF(AND(ISNUMBER(E506),ISNUMBER(F506)),IF(E506=0,"",F506/E506-1),"")</f>
        <v/>
      </c>
    </row>
    <row r="507" customFormat="false" ht="15" hidden="false" customHeight="false" outlineLevel="0" collapsed="false">
      <c r="A507" s="0" t="s">
        <v>26</v>
      </c>
      <c r="B507" s="0" t="s">
        <v>51</v>
      </c>
      <c r="C507" s="0" t="n">
        <v>74</v>
      </c>
      <c r="D507" s="0" t="s">
        <v>349</v>
      </c>
      <c r="E507" s="131" t="n">
        <v>7454.78073799629</v>
      </c>
      <c r="F507" s="132" t="n">
        <f aca="false">Spreads!AE74</f>
        <v>6450.312</v>
      </c>
      <c r="G507" s="131" t="n">
        <f aca="false">IF(AND(ISNUMBER(E507),ISNUMBER(F507)),F507-E507,"")</f>
        <v>-1004.46873799629</v>
      </c>
      <c r="H507" s="133" t="n">
        <f aca="false">IF(AND(ISNUMBER(E507),ISNUMBER(F507)),IF(E507=0,"",F507/E507-1),"")</f>
        <v>-0.134741553547861</v>
      </c>
    </row>
    <row r="508" customFormat="false" ht="15" hidden="false" customHeight="false" outlineLevel="0" collapsed="false">
      <c r="A508" s="0" t="s">
        <v>26</v>
      </c>
      <c r="B508" s="0" t="s">
        <v>51</v>
      </c>
      <c r="C508" s="0" t="n">
        <v>77</v>
      </c>
      <c r="D508" s="0" t="s">
        <v>350</v>
      </c>
      <c r="E508" s="131" t="n">
        <v>0</v>
      </c>
      <c r="F508" s="132" t="n">
        <f aca="false">Spreads!AE77</f>
        <v>0</v>
      </c>
      <c r="G508" s="131" t="n">
        <f aca="false">IF(AND(ISNUMBER(E508),ISNUMBER(F508)),F508-E508,"")</f>
        <v>0</v>
      </c>
      <c r="H508" s="133" t="str">
        <f aca="false">IF(AND(ISNUMBER(E508),ISNUMBER(F508)),IF(E508=0,"",F508/E508-1),"")</f>
        <v/>
      </c>
    </row>
    <row r="509" customFormat="false" ht="15" hidden="false" customHeight="false" outlineLevel="0" collapsed="false">
      <c r="A509" s="0" t="s">
        <v>26</v>
      </c>
      <c r="B509" s="0" t="s">
        <v>51</v>
      </c>
      <c r="C509" s="0" t="n">
        <v>81</v>
      </c>
      <c r="D509" s="0" t="s">
        <v>351</v>
      </c>
      <c r="E509" s="131" t="n">
        <v>55556.1672897913</v>
      </c>
      <c r="F509" s="132" t="n">
        <f aca="false">Spreads!AE81</f>
        <v>48070.443</v>
      </c>
      <c r="G509" s="131" t="n">
        <f aca="false">IF(AND(ISNUMBER(E509),ISNUMBER(F509)),F509-E509,"")</f>
        <v>-7485.7242897913</v>
      </c>
      <c r="H509" s="133" t="n">
        <f aca="false">IF(AND(ISNUMBER(E509),ISNUMBER(F509)),IF(E509=0,"",F509/E509-1),"")</f>
        <v>-0.13474155354786</v>
      </c>
    </row>
    <row r="510" customFormat="false" ht="15" hidden="false" customHeight="false" outlineLevel="0" collapsed="false">
      <c r="A510" s="0" t="s">
        <v>26</v>
      </c>
      <c r="B510" s="0" t="s">
        <v>51</v>
      </c>
      <c r="C510" s="0" t="n">
        <v>137</v>
      </c>
      <c r="D510" s="0" t="s">
        <v>352</v>
      </c>
      <c r="E510" s="131" t="n">
        <v>4116.3306</v>
      </c>
      <c r="F510" s="132" t="n">
        <f aca="false">Spreads!AE137</f>
        <v>4106.248617</v>
      </c>
      <c r="G510" s="131" t="n">
        <f aca="false">IF(AND(ISNUMBER(E510),ISNUMBER(F510)),F510-E510,"")</f>
        <v>-10.081983</v>
      </c>
      <c r="H510" s="133" t="n">
        <f aca="false">IF(AND(ISNUMBER(E510),ISNUMBER(F510)),IF(E510=0,"",F510/E510-1),"")</f>
        <v>-0.0024492646436125</v>
      </c>
    </row>
    <row r="511" customFormat="false" ht="15" hidden="false" customHeight="false" outlineLevel="0" collapsed="false">
      <c r="A511" s="0" t="s">
        <v>26</v>
      </c>
      <c r="B511" s="0" t="s">
        <v>51</v>
      </c>
      <c r="C511" s="0" t="n">
        <v>145</v>
      </c>
      <c r="D511" s="0" t="s">
        <v>353</v>
      </c>
      <c r="E511" s="131" t="n">
        <v>4116.3306</v>
      </c>
      <c r="F511" s="132" t="n">
        <f aca="false">Spreads!AE145</f>
        <v>4232.37919728642</v>
      </c>
      <c r="G511" s="131" t="n">
        <f aca="false">IF(AND(ISNUMBER(E511),ISNUMBER(F511)),F511-E511,"")</f>
        <v>116.048597286415</v>
      </c>
      <c r="H511" s="133" t="n">
        <f aca="false">IF(AND(ISNUMBER(E511),ISNUMBER(F511)),IF(E511=0,"",F511/E511-1),"")</f>
        <v>0.0281922441522104</v>
      </c>
    </row>
    <row r="512" customFormat="false" ht="15" hidden="false" customHeight="false" outlineLevel="0" collapsed="false">
      <c r="A512" s="0" t="s">
        <v>26</v>
      </c>
      <c r="B512" s="0" t="s">
        <v>51</v>
      </c>
      <c r="C512" s="0" t="n">
        <v>50</v>
      </c>
      <c r="D512" s="0" t="s">
        <v>354</v>
      </c>
      <c r="E512" s="131" t="n">
        <v>1943.21170927837</v>
      </c>
      <c r="F512" s="132" t="n">
        <f aca="false">Spreads!AE50</f>
        <v>2098.45944888195</v>
      </c>
      <c r="G512" s="131" t="n">
        <f aca="false">IF(AND(ISNUMBER(E512),ISNUMBER(F512)),F512-E512,"")</f>
        <v>155.247739603578</v>
      </c>
      <c r="H512" s="133" t="n">
        <f aca="false">IF(AND(ISNUMBER(E512),ISNUMBER(F512)),IF(E512=0,"",F512/E512-1),"")</f>
        <v>0.0798923446489683</v>
      </c>
    </row>
    <row r="513" customFormat="false" ht="15" hidden="false" customHeight="false" outlineLevel="0" collapsed="false">
      <c r="A513" s="0" t="s">
        <v>26</v>
      </c>
      <c r="B513" s="0" t="s">
        <v>51</v>
      </c>
      <c r="C513" s="0" t="n">
        <v>65</v>
      </c>
      <c r="D513" s="0" t="s">
        <v>355</v>
      </c>
      <c r="E513" s="131" t="n">
        <v>401.457753776939</v>
      </c>
      <c r="F513" s="132" t="n">
        <f aca="false">Spreads!AE65</f>
        <v>99.59072811765</v>
      </c>
      <c r="G513" s="131" t="n">
        <f aca="false">IF(AND(ISNUMBER(E513),ISNUMBER(F513)),F513-E513,"")</f>
        <v>-301.867025659289</v>
      </c>
      <c r="H513" s="133" t="n">
        <f aca="false">IF(AND(ISNUMBER(E513),ISNUMBER(F513)),IF(E513=0,"",F513/E513-1),"")</f>
        <v>-0.751927252168642</v>
      </c>
    </row>
    <row r="514" customFormat="false" ht="15" hidden="false" customHeight="false" outlineLevel="0" collapsed="false">
      <c r="A514" s="0" t="s">
        <v>26</v>
      </c>
      <c r="B514" s="0" t="s">
        <v>51</v>
      </c>
      <c r="C514" s="0" t="n">
        <v>27</v>
      </c>
      <c r="D514" s="0" t="s">
        <v>356</v>
      </c>
      <c r="E514" s="131" t="n">
        <v>27214.780039283</v>
      </c>
      <c r="F514" s="132" t="n">
        <f aca="false">Spreads!AE27</f>
        <v>27542.1477502716</v>
      </c>
      <c r="G514" s="131" t="n">
        <f aca="false">IF(AND(ISNUMBER(E514),ISNUMBER(F514)),F514-E514,"")</f>
        <v>327.367710988634</v>
      </c>
      <c r="H514" s="133" t="n">
        <f aca="false">IF(AND(ISNUMBER(E514),ISNUMBER(F514)),IF(E514=0,"",F514/E514-1),"")</f>
        <v>0.0120290412237798</v>
      </c>
    </row>
    <row r="515" customFormat="false" ht="15" hidden="false" customHeight="false" outlineLevel="0" collapsed="false">
      <c r="A515" s="0" t="s">
        <v>26</v>
      </c>
      <c r="B515" s="0" t="s">
        <v>51</v>
      </c>
      <c r="C515" s="0" t="n">
        <v>205</v>
      </c>
      <c r="D515" s="0" t="s">
        <v>357</v>
      </c>
      <c r="E515" s="131" t="n">
        <v>3159.21</v>
      </c>
      <c r="F515" s="132" t="n">
        <f aca="false">Spreads!AE205</f>
        <v>3032.08601640414</v>
      </c>
      <c r="G515" s="131" t="n">
        <f aca="false">IF(AND(ISNUMBER(E515),ISNUMBER(F515)),F515-E515,"")</f>
        <v>-127.12398359586</v>
      </c>
      <c r="H515" s="133" t="n">
        <f aca="false">IF(AND(ISNUMBER(E515),ISNUMBER(F515)),IF(E515=0,"",F515/E515-1),"")</f>
        <v>-0.0402391685249983</v>
      </c>
    </row>
    <row r="516" customFormat="false" ht="15" hidden="false" customHeight="false" outlineLevel="0" collapsed="false">
      <c r="A516" s="0" t="s">
        <v>26</v>
      </c>
      <c r="B516" s="0" t="s">
        <v>51</v>
      </c>
      <c r="C516" s="0" t="n">
        <v>245</v>
      </c>
      <c r="D516" s="0" t="s">
        <v>358</v>
      </c>
      <c r="E516" s="131" t="n">
        <v>1023.15405</v>
      </c>
      <c r="F516" s="132" t="n">
        <f aca="false">Spreads!AE245</f>
        <v>1029.70697089218</v>
      </c>
      <c r="G516" s="131" t="n">
        <f aca="false">IF(AND(ISNUMBER(E516),ISNUMBER(F516)),F516-E516,"")</f>
        <v>6.55292089218017</v>
      </c>
      <c r="H516" s="133" t="n">
        <f aca="false">IF(AND(ISNUMBER(E516),ISNUMBER(F516)),IF(E516=0,"",F516/E516-1),"")</f>
        <v>0.00640462781941786</v>
      </c>
    </row>
    <row r="517" customFormat="false" ht="15" hidden="false" customHeight="false" outlineLevel="0" collapsed="false">
      <c r="A517" s="0" t="s">
        <v>26</v>
      </c>
      <c r="B517" s="0" t="s">
        <v>51</v>
      </c>
      <c r="C517" s="0" t="n">
        <v>265</v>
      </c>
      <c r="D517" s="0" t="s">
        <v>359</v>
      </c>
      <c r="E517" s="131" t="n">
        <v>1231.1703</v>
      </c>
      <c r="F517" s="132" t="n">
        <f aca="false">Spreads!AE265</f>
        <v>1271.93134226238</v>
      </c>
      <c r="G517" s="131" t="n">
        <f aca="false">IF(AND(ISNUMBER(E517),ISNUMBER(F517)),F517-E517,"")</f>
        <v>40.7610422623802</v>
      </c>
      <c r="H517" s="133" t="n">
        <f aca="false">IF(AND(ISNUMBER(E517),ISNUMBER(F517)),IF(E517=0,"",F517/E517-1),"")</f>
        <v>0.0331075581196039</v>
      </c>
    </row>
    <row r="518" customFormat="false" ht="15" hidden="false" customHeight="false" outlineLevel="0" collapsed="false">
      <c r="A518" s="0" t="s">
        <v>26</v>
      </c>
      <c r="B518" s="0" t="s">
        <v>51</v>
      </c>
      <c r="C518" s="0" t="n">
        <v>275</v>
      </c>
      <c r="D518" s="0" t="s">
        <v>360</v>
      </c>
      <c r="E518" s="131" t="n">
        <v>1231.1703</v>
      </c>
      <c r="F518" s="132" t="n">
        <f aca="false">Spreads!AE275</f>
        <v>1223.68185491094</v>
      </c>
      <c r="G518" s="131" t="n">
        <f aca="false">IF(AND(ISNUMBER(E518),ISNUMBER(F518)),F518-E518,"")</f>
        <v>-7.48844508905972</v>
      </c>
      <c r="H518" s="133" t="n">
        <f aca="false">IF(AND(ISNUMBER(E518),ISNUMBER(F518)),IF(E518=0,"",F518/E518-1),"")</f>
        <v>-0.00608237957743107</v>
      </c>
    </row>
    <row r="519" customFormat="false" ht="15" hidden="false" customHeight="false" outlineLevel="0" collapsed="false">
      <c r="A519" s="0" t="s">
        <v>26</v>
      </c>
      <c r="B519" s="0" t="s">
        <v>51</v>
      </c>
      <c r="C519" s="0" t="n">
        <v>285</v>
      </c>
      <c r="D519" s="0" t="s">
        <v>361</v>
      </c>
      <c r="E519" s="131" t="n">
        <v>711.63257</v>
      </c>
      <c r="F519" s="132" t="n">
        <f aca="false">Spreads!AE285</f>
        <v>682.99705736889</v>
      </c>
      <c r="G519" s="131" t="n">
        <f aca="false">IF(AND(ISNUMBER(E519),ISNUMBER(F519)),F519-E519,"")</f>
        <v>-28.6355126311099</v>
      </c>
      <c r="H519" s="133" t="n">
        <f aca="false">IF(AND(ISNUMBER(E519),ISNUMBER(F519)),IF(E519=0,"",F519/E519-1),"")</f>
        <v>-0.0402391821823302</v>
      </c>
    </row>
    <row r="520" customFormat="false" ht="15" hidden="false" customHeight="false" outlineLevel="0" collapsed="false">
      <c r="A520" s="0" t="s">
        <v>26</v>
      </c>
      <c r="B520" s="0" t="s">
        <v>51</v>
      </c>
      <c r="C520" s="0" t="n">
        <v>295</v>
      </c>
      <c r="D520" s="0" t="s">
        <v>362</v>
      </c>
      <c r="E520" s="131" t="n">
        <v>0.16818176</v>
      </c>
      <c r="F520" s="132" t="n">
        <f aca="false">Spreads!AE295</f>
        <v>0.1614142668</v>
      </c>
      <c r="G520" s="131" t="n">
        <f aca="false">IF(AND(ISNUMBER(E520),ISNUMBER(F520)),F520-E520,"")</f>
        <v>-0.0067674932</v>
      </c>
      <c r="H520" s="133" t="n">
        <f aca="false">IF(AND(ISNUMBER(E520),ISNUMBER(F520)),IF(E520=0,"",F520/E520-1),"")</f>
        <v>-0.040239162677332</v>
      </c>
    </row>
    <row r="521" customFormat="false" ht="15" hidden="false" customHeight="false" outlineLevel="0" collapsed="false">
      <c r="A521" s="0" t="s">
        <v>26</v>
      </c>
      <c r="B521" s="0" t="s">
        <v>51</v>
      </c>
      <c r="C521" s="0" t="n">
        <v>339</v>
      </c>
      <c r="D521" s="0" t="s">
        <v>363</v>
      </c>
      <c r="E521" s="131" t="n">
        <v>536.44183</v>
      </c>
      <c r="F521" s="132" t="n">
        <f aca="false">Spreads!AE339</f>
        <v>512.78459982645</v>
      </c>
      <c r="G521" s="131" t="n">
        <f aca="false">IF(AND(ISNUMBER(E521),ISNUMBER(F521)),F521-E521,"")</f>
        <v>-23.6572301735499</v>
      </c>
      <c r="H521" s="133" t="n">
        <f aca="false">IF(AND(ISNUMBER(E521),ISNUMBER(F521)),IF(E521=0,"",F521/E521-1),"")</f>
        <v>-0.0441002711767461</v>
      </c>
    </row>
    <row r="522" customFormat="false" ht="15" hidden="false" customHeight="false" outlineLevel="0" collapsed="false">
      <c r="A522" s="0" t="s">
        <v>26</v>
      </c>
      <c r="B522" s="0" t="s">
        <v>51</v>
      </c>
      <c r="C522" s="0" t="n">
        <v>327</v>
      </c>
      <c r="D522" s="0" t="s">
        <v>364</v>
      </c>
      <c r="E522" s="131" t="n">
        <v>0</v>
      </c>
      <c r="F522" s="132" t="n">
        <f aca="false">Spreads!AE327</f>
        <v>246.569</v>
      </c>
      <c r="G522" s="131" t="n">
        <f aca="false">IF(AND(ISNUMBER(E522),ISNUMBER(F522)),F522-E522,"")</f>
        <v>246.569</v>
      </c>
      <c r="H522" s="133" t="str">
        <f aca="false">IF(AND(ISNUMBER(E522),ISNUMBER(F522)),IF(E522=0,"",F522/E522-1),"")</f>
        <v/>
      </c>
    </row>
    <row r="523" customFormat="false" ht="15" hidden="false" customHeight="false" outlineLevel="0" collapsed="false">
      <c r="A523" s="0" t="s">
        <v>26</v>
      </c>
      <c r="B523" s="0" t="s">
        <v>51</v>
      </c>
      <c r="C523" s="0" t="n">
        <v>328</v>
      </c>
      <c r="D523" s="0" t="s">
        <v>365</v>
      </c>
      <c r="E523" s="131" t="n">
        <v>0</v>
      </c>
      <c r="F523" s="132" t="n">
        <f aca="false">Spreads!AE328</f>
        <v>76.48</v>
      </c>
      <c r="G523" s="131" t="n">
        <f aca="false">IF(AND(ISNUMBER(E523),ISNUMBER(F523)),F523-E523,"")</f>
        <v>76.48</v>
      </c>
      <c r="H523" s="133" t="str">
        <f aca="false">IF(AND(ISNUMBER(E523),ISNUMBER(F523)),IF(E523=0,"",F523/E523-1),"")</f>
        <v/>
      </c>
    </row>
    <row r="524" customFormat="false" ht="15" hidden="false" customHeight="false" outlineLevel="0" collapsed="false">
      <c r="A524" s="0" t="s">
        <v>27</v>
      </c>
      <c r="B524" s="0" t="s">
        <v>52</v>
      </c>
      <c r="C524" s="0" t="n">
        <v>43</v>
      </c>
      <c r="D524" s="0" t="s">
        <v>340</v>
      </c>
      <c r="E524" s="131" t="n">
        <v>75.283</v>
      </c>
      <c r="F524" s="132" t="n">
        <f aca="false">Spreads!AF43</f>
        <v>75.283</v>
      </c>
      <c r="G524" s="131" t="n">
        <f aca="false">IF(AND(ISNUMBER(E524),ISNUMBER(F524)),F524-E524,"")</f>
        <v>0</v>
      </c>
      <c r="H524" s="133" t="n">
        <f aca="false">IF(AND(ISNUMBER(E524),ISNUMBER(F524)),IF(E524=0,"",F524/E524-1),"")</f>
        <v>0</v>
      </c>
    </row>
    <row r="525" customFormat="false" ht="15" hidden="false" customHeight="false" outlineLevel="0" collapsed="false">
      <c r="A525" s="0" t="s">
        <v>27</v>
      </c>
      <c r="B525" s="0" t="s">
        <v>52</v>
      </c>
      <c r="C525" s="0" t="n">
        <v>44</v>
      </c>
      <c r="D525" s="0" t="s">
        <v>341</v>
      </c>
      <c r="E525" s="131"/>
      <c r="F525" s="132" t="n">
        <f aca="false">Spreads!AF44</f>
        <v>0</v>
      </c>
      <c r="G525" s="131" t="str">
        <f aca="false">IF(AND(ISNUMBER(E525),ISNUMBER(F525)),F525-E525,"")</f>
        <v/>
      </c>
      <c r="H525" s="133" t="str">
        <f aca="false">IF(AND(ISNUMBER(E525),ISNUMBER(F525)),IF(E525=0,"",F525/E525-1),"")</f>
        <v/>
      </c>
    </row>
    <row r="526" customFormat="false" ht="15" hidden="false" customHeight="false" outlineLevel="0" collapsed="false">
      <c r="A526" s="0" t="s">
        <v>27</v>
      </c>
      <c r="B526" s="0" t="s">
        <v>52</v>
      </c>
      <c r="C526" s="0" t="n">
        <v>45</v>
      </c>
      <c r="D526" s="0" t="s">
        <v>342</v>
      </c>
      <c r="E526" s="131"/>
      <c r="F526" s="132" t="n">
        <f aca="false">Spreads!AF45</f>
        <v>0</v>
      </c>
      <c r="G526" s="131" t="str">
        <f aca="false">IF(AND(ISNUMBER(E526),ISNUMBER(F526)),F526-E526,"")</f>
        <v/>
      </c>
      <c r="H526" s="133" t="str">
        <f aca="false">IF(AND(ISNUMBER(E526),ISNUMBER(F526)),IF(E526=0,"",F526/E526-1),"")</f>
        <v/>
      </c>
    </row>
    <row r="527" customFormat="false" ht="15" hidden="false" customHeight="false" outlineLevel="0" collapsed="false">
      <c r="A527" s="0" t="s">
        <v>27</v>
      </c>
      <c r="B527" s="0" t="s">
        <v>52</v>
      </c>
      <c r="C527" s="0" t="n">
        <v>46</v>
      </c>
      <c r="D527" s="0" t="s">
        <v>343</v>
      </c>
      <c r="E527" s="131" t="n">
        <v>0</v>
      </c>
      <c r="F527" s="132" t="n">
        <f aca="false">Spreads!AF46</f>
        <v>0</v>
      </c>
      <c r="G527" s="131" t="n">
        <f aca="false">IF(AND(ISNUMBER(E527),ISNUMBER(F527)),F527-E527,"")</f>
        <v>0</v>
      </c>
      <c r="H527" s="133" t="str">
        <f aca="false">IF(AND(ISNUMBER(E527),ISNUMBER(F527)),IF(E527=0,"",F527/E527-1),"")</f>
        <v/>
      </c>
    </row>
    <row r="528" customFormat="false" ht="15" hidden="false" customHeight="false" outlineLevel="0" collapsed="false">
      <c r="A528" s="0" t="s">
        <v>27</v>
      </c>
      <c r="B528" s="0" t="s">
        <v>52</v>
      </c>
      <c r="C528" s="0" t="n">
        <v>55</v>
      </c>
      <c r="D528" s="0" t="s">
        <v>344</v>
      </c>
      <c r="E528" s="131" t="n">
        <v>7.132</v>
      </c>
      <c r="F528" s="132" t="n">
        <f aca="false">Spreads!AF55</f>
        <v>0</v>
      </c>
      <c r="G528" s="131" t="n">
        <f aca="false">IF(AND(ISNUMBER(E528),ISNUMBER(F528)),F528-E528,"")</f>
        <v>-7.132</v>
      </c>
      <c r="H528" s="133" t="n">
        <f aca="false">IF(AND(ISNUMBER(E528),ISNUMBER(F528)),IF(E528=0,"",F528/E528-1),"")</f>
        <v>-1</v>
      </c>
    </row>
    <row r="529" customFormat="false" ht="15" hidden="false" customHeight="false" outlineLevel="0" collapsed="false">
      <c r="A529" s="0" t="s">
        <v>27</v>
      </c>
      <c r="B529" s="0" t="s">
        <v>52</v>
      </c>
      <c r="C529" s="0" t="n">
        <v>56</v>
      </c>
      <c r="D529" s="0" t="s">
        <v>345</v>
      </c>
      <c r="E529" s="131" t="n">
        <v>151.511</v>
      </c>
      <c r="F529" s="132" t="n">
        <f aca="false">Spreads!AF56</f>
        <v>53.845</v>
      </c>
      <c r="G529" s="131" t="n">
        <f aca="false">IF(AND(ISNUMBER(E529),ISNUMBER(F529)),F529-E529,"")</f>
        <v>-97.666</v>
      </c>
      <c r="H529" s="133" t="n">
        <f aca="false">IF(AND(ISNUMBER(E529),ISNUMBER(F529)),IF(E529=0,"",F529/E529-1),"")</f>
        <v>-0.64461326240339</v>
      </c>
    </row>
    <row r="530" customFormat="false" ht="15" hidden="false" customHeight="false" outlineLevel="0" collapsed="false">
      <c r="A530" s="0" t="s">
        <v>27</v>
      </c>
      <c r="B530" s="0" t="s">
        <v>52</v>
      </c>
      <c r="C530" s="0" t="n">
        <v>58</v>
      </c>
      <c r="D530" s="0" t="s">
        <v>346</v>
      </c>
      <c r="E530" s="131"/>
      <c r="F530" s="132" t="n">
        <f aca="false">Spreads!AF58</f>
        <v>104.798</v>
      </c>
      <c r="G530" s="131" t="str">
        <f aca="false">IF(AND(ISNUMBER(E530),ISNUMBER(F530)),F530-E530,"")</f>
        <v/>
      </c>
      <c r="H530" s="133" t="str">
        <f aca="false">IF(AND(ISNUMBER(E530),ISNUMBER(F530)),IF(E530=0,"",F530/E530-1),"")</f>
        <v/>
      </c>
    </row>
    <row r="531" customFormat="false" ht="15" hidden="false" customHeight="false" outlineLevel="0" collapsed="false">
      <c r="A531" s="0" t="s">
        <v>27</v>
      </c>
      <c r="B531" s="0" t="s">
        <v>52</v>
      </c>
      <c r="C531" s="0" t="n">
        <v>62</v>
      </c>
      <c r="D531" s="0" t="s">
        <v>347</v>
      </c>
      <c r="E531" s="131" t="n">
        <v>0</v>
      </c>
      <c r="F531" s="132" t="n">
        <f aca="false">Spreads!AF62</f>
        <v>104.798</v>
      </c>
      <c r="G531" s="131" t="n">
        <f aca="false">IF(AND(ISNUMBER(E531),ISNUMBER(F531)),F531-E531,"")</f>
        <v>104.798</v>
      </c>
      <c r="H531" s="133" t="str">
        <f aca="false">IF(AND(ISNUMBER(E531),ISNUMBER(F531)),IF(E531=0,"",F531/E531-1),"")</f>
        <v/>
      </c>
    </row>
    <row r="532" customFormat="false" ht="15" hidden="false" customHeight="false" outlineLevel="0" collapsed="false">
      <c r="A532" s="0" t="s">
        <v>27</v>
      </c>
      <c r="B532" s="0" t="s">
        <v>52</v>
      </c>
      <c r="C532" s="0" t="n">
        <v>70</v>
      </c>
      <c r="D532" s="0" t="s">
        <v>348</v>
      </c>
      <c r="E532" s="131" t="n">
        <v>0</v>
      </c>
      <c r="F532" s="132" t="n">
        <f aca="false">Spreads!AF70</f>
        <v>0</v>
      </c>
      <c r="G532" s="131" t="n">
        <f aca="false">IF(AND(ISNUMBER(E532),ISNUMBER(F532)),F532-E532,"")</f>
        <v>0</v>
      </c>
      <c r="H532" s="133" t="str">
        <f aca="false">IF(AND(ISNUMBER(E532),ISNUMBER(F532)),IF(E532=0,"",F532/E532-1),"")</f>
        <v/>
      </c>
    </row>
    <row r="533" customFormat="false" ht="15" hidden="false" customHeight="false" outlineLevel="0" collapsed="false">
      <c r="A533" s="0" t="s">
        <v>27</v>
      </c>
      <c r="B533" s="0" t="s">
        <v>52</v>
      </c>
      <c r="C533" s="0" t="n">
        <v>74</v>
      </c>
      <c r="D533" s="0" t="s">
        <v>349</v>
      </c>
      <c r="E533" s="131" t="n">
        <v>0</v>
      </c>
      <c r="F533" s="132" t="n">
        <f aca="false">Spreads!AF74</f>
        <v>0</v>
      </c>
      <c r="G533" s="131" t="n">
        <f aca="false">IF(AND(ISNUMBER(E533),ISNUMBER(F533)),F533-E533,"")</f>
        <v>0</v>
      </c>
      <c r="H533" s="133" t="str">
        <f aca="false">IF(AND(ISNUMBER(E533),ISNUMBER(F533)),IF(E533=0,"",F533/E533-1),"")</f>
        <v/>
      </c>
    </row>
    <row r="534" customFormat="false" ht="15" hidden="false" customHeight="false" outlineLevel="0" collapsed="false">
      <c r="A534" s="0" t="s">
        <v>27</v>
      </c>
      <c r="B534" s="0" t="s">
        <v>52</v>
      </c>
      <c r="C534" s="0" t="n">
        <v>77</v>
      </c>
      <c r="D534" s="0" t="s">
        <v>350</v>
      </c>
      <c r="E534" s="131" t="n">
        <v>0</v>
      </c>
      <c r="F534" s="132" t="n">
        <f aca="false">Spreads!AF77</f>
        <v>0</v>
      </c>
      <c r="G534" s="131" t="n">
        <f aca="false">IF(AND(ISNUMBER(E534),ISNUMBER(F534)),F534-E534,"")</f>
        <v>0</v>
      </c>
      <c r="H534" s="133" t="str">
        <f aca="false">IF(AND(ISNUMBER(E534),ISNUMBER(F534)),IF(E534=0,"",F534/E534-1),"")</f>
        <v/>
      </c>
    </row>
    <row r="535" customFormat="false" ht="15" hidden="false" customHeight="false" outlineLevel="0" collapsed="false">
      <c r="A535" s="0" t="s">
        <v>27</v>
      </c>
      <c r="B535" s="0" t="s">
        <v>52</v>
      </c>
      <c r="C535" s="0" t="n">
        <v>81</v>
      </c>
      <c r="D535" s="0" t="s">
        <v>351</v>
      </c>
      <c r="E535" s="131" t="n">
        <v>58.095</v>
      </c>
      <c r="F535" s="132" t="n">
        <f aca="false">Spreads!AF81</f>
        <v>58.095</v>
      </c>
      <c r="G535" s="131" t="n">
        <f aca="false">IF(AND(ISNUMBER(E535),ISNUMBER(F535)),F535-E535,"")</f>
        <v>0</v>
      </c>
      <c r="H535" s="133" t="n">
        <f aca="false">IF(AND(ISNUMBER(E535),ISNUMBER(F535)),IF(E535=0,"",F535/E535-1),"")</f>
        <v>0</v>
      </c>
    </row>
    <row r="536" customFormat="false" ht="15" hidden="false" customHeight="false" outlineLevel="0" collapsed="false">
      <c r="A536" s="0" t="s">
        <v>27</v>
      </c>
      <c r="B536" s="0" t="s">
        <v>52</v>
      </c>
      <c r="C536" s="0" t="n">
        <v>137</v>
      </c>
      <c r="D536" s="0" t="s">
        <v>352</v>
      </c>
      <c r="E536" s="131" t="n">
        <v>121.04978</v>
      </c>
      <c r="F536" s="132" t="n">
        <f aca="false">Spreads!AF137</f>
        <v>121.019266</v>
      </c>
      <c r="G536" s="131" t="n">
        <f aca="false">IF(AND(ISNUMBER(E536),ISNUMBER(F536)),F536-E536,"")</f>
        <v>-0.0305139999999966</v>
      </c>
      <c r="H536" s="133" t="n">
        <f aca="false">IF(AND(ISNUMBER(E536),ISNUMBER(F536)),IF(E536=0,"",F536/E536-1),"")</f>
        <v>-0.000252078111996568</v>
      </c>
    </row>
    <row r="537" customFormat="false" ht="15" hidden="false" customHeight="false" outlineLevel="0" collapsed="false">
      <c r="A537" s="0" t="s">
        <v>27</v>
      </c>
      <c r="B537" s="0" t="s">
        <v>52</v>
      </c>
      <c r="C537" s="0" t="n">
        <v>145</v>
      </c>
      <c r="D537" s="0" t="s">
        <v>353</v>
      </c>
      <c r="E537" s="131" t="n">
        <v>121.04978</v>
      </c>
      <c r="F537" s="132" t="n">
        <f aca="false">Spreads!AF145</f>
        <v>126.613524279355</v>
      </c>
      <c r="G537" s="131" t="n">
        <f aca="false">IF(AND(ISNUMBER(E537),ISNUMBER(F537)),F537-E537,"")</f>
        <v>5.56374427935484</v>
      </c>
      <c r="H537" s="133" t="n">
        <f aca="false">IF(AND(ISNUMBER(E537),ISNUMBER(F537)),IF(E537=0,"",F537/E537-1),"")</f>
        <v>0.0459624485013921</v>
      </c>
    </row>
    <row r="538" customFormat="false" ht="15" hidden="false" customHeight="false" outlineLevel="0" collapsed="false">
      <c r="A538" s="0" t="s">
        <v>27</v>
      </c>
      <c r="B538" s="0" t="s">
        <v>52</v>
      </c>
      <c r="C538" s="0" t="n">
        <v>50</v>
      </c>
      <c r="D538" s="0" t="s">
        <v>354</v>
      </c>
      <c r="E538" s="131" t="n">
        <v>100.0097088783</v>
      </c>
      <c r="F538" s="132" t="n">
        <f aca="false">Spreads!AF50</f>
        <v>99.53520615194</v>
      </c>
      <c r="G538" s="131" t="n">
        <f aca="false">IF(AND(ISNUMBER(E538),ISNUMBER(F538)),F538-E538,"")</f>
        <v>-0.474502726360001</v>
      </c>
      <c r="H538" s="133" t="n">
        <f aca="false">IF(AND(ISNUMBER(E538),ISNUMBER(F538)),IF(E538=0,"",F538/E538-1),"")</f>
        <v>-0.00474456661940104</v>
      </c>
    </row>
    <row r="539" customFormat="false" ht="15" hidden="false" customHeight="false" outlineLevel="0" collapsed="false">
      <c r="A539" s="0" t="s">
        <v>27</v>
      </c>
      <c r="B539" s="0" t="s">
        <v>52</v>
      </c>
      <c r="C539" s="0" t="n">
        <v>65</v>
      </c>
      <c r="D539" s="0" t="s">
        <v>355</v>
      </c>
      <c r="E539" s="131" t="n">
        <v>210.7493092143</v>
      </c>
      <c r="F539" s="132" t="n">
        <f aca="false">Spreads!AF65</f>
        <v>71.1910149071</v>
      </c>
      <c r="G539" s="131" t="n">
        <f aca="false">IF(AND(ISNUMBER(E539),ISNUMBER(F539)),F539-E539,"")</f>
        <v>-139.5582943072</v>
      </c>
      <c r="H539" s="133" t="n">
        <f aca="false">IF(AND(ISNUMBER(E539),ISNUMBER(F539)),IF(E539=0,"",F539/E539-1),"")</f>
        <v>-0.662200482779711</v>
      </c>
    </row>
    <row r="540" customFormat="false" ht="15" hidden="false" customHeight="false" outlineLevel="0" collapsed="false">
      <c r="A540" s="0" t="s">
        <v>27</v>
      </c>
      <c r="B540" s="0" t="s">
        <v>52</v>
      </c>
      <c r="C540" s="0" t="n">
        <v>27</v>
      </c>
      <c r="D540" s="0" t="s">
        <v>356</v>
      </c>
      <c r="E540" s="131" t="n">
        <v>863.50914360195</v>
      </c>
      <c r="F540" s="132" t="n">
        <f aca="false">Spreads!AF27</f>
        <v>759.024483386888</v>
      </c>
      <c r="G540" s="131" t="n">
        <f aca="false">IF(AND(ISNUMBER(E540),ISNUMBER(F540)),F540-E540,"")</f>
        <v>-104.484660215062</v>
      </c>
      <c r="H540" s="133" t="n">
        <f aca="false">IF(AND(ISNUMBER(E540),ISNUMBER(F540)),IF(E540=0,"",F540/E540-1),"")</f>
        <v>-0.121000062349341</v>
      </c>
    </row>
    <row r="541" customFormat="false" ht="15" hidden="false" customHeight="false" outlineLevel="0" collapsed="false">
      <c r="A541" s="0" t="s">
        <v>27</v>
      </c>
      <c r="B541" s="0" t="s">
        <v>52</v>
      </c>
      <c r="C541" s="0" t="n">
        <v>205</v>
      </c>
      <c r="D541" s="0" t="s">
        <v>357</v>
      </c>
      <c r="E541" s="131" t="n">
        <v>225.29454</v>
      </c>
      <c r="F541" s="132" t="n">
        <f aca="false">Spreads!AF205</f>
        <v>222.4718129538</v>
      </c>
      <c r="G541" s="131" t="n">
        <f aca="false">IF(AND(ISNUMBER(E541),ISNUMBER(F541)),F541-E541,"")</f>
        <v>-2.82272704619999</v>
      </c>
      <c r="H541" s="133" t="n">
        <f aca="false">IF(AND(ISNUMBER(E541),ISNUMBER(F541)),IF(E541=0,"",F541/E541-1),"")</f>
        <v>-0.0125290521741006</v>
      </c>
    </row>
    <row r="542" customFormat="false" ht="15" hidden="false" customHeight="false" outlineLevel="0" collapsed="false">
      <c r="A542" s="0" t="s">
        <v>27</v>
      </c>
      <c r="B542" s="0" t="s">
        <v>52</v>
      </c>
      <c r="C542" s="0" t="n">
        <v>245</v>
      </c>
      <c r="D542" s="0" t="s">
        <v>358</v>
      </c>
      <c r="E542" s="131" t="n">
        <v>-32.04954</v>
      </c>
      <c r="F542" s="132" t="n">
        <f aca="false">Spreads!AF245</f>
        <v>-29.6433957512</v>
      </c>
      <c r="G542" s="131" t="n">
        <f aca="false">IF(AND(ISNUMBER(E542),ISNUMBER(F542)),F542-E542,"")</f>
        <v>2.4061442488</v>
      </c>
      <c r="H542" s="133" t="n">
        <f aca="false">IF(AND(ISNUMBER(E542),ISNUMBER(F542)),IF(E542=0,"",F542/E542-1),"")</f>
        <v>-0.0750757810814132</v>
      </c>
    </row>
    <row r="543" customFormat="false" ht="15" hidden="false" customHeight="false" outlineLevel="0" collapsed="false">
      <c r="A543" s="0" t="s">
        <v>27</v>
      </c>
      <c r="B543" s="0" t="s">
        <v>52</v>
      </c>
      <c r="C543" s="0" t="n">
        <v>265</v>
      </c>
      <c r="D543" s="0" t="s">
        <v>359</v>
      </c>
      <c r="E543" s="131" t="n">
        <v>3.070845</v>
      </c>
      <c r="F543" s="132" t="n">
        <f aca="false">Spreads!AF265</f>
        <v>-3.4793151302</v>
      </c>
      <c r="G543" s="131" t="n">
        <f aca="false">IF(AND(ISNUMBER(E543),ISNUMBER(F543)),F543-E543,"")</f>
        <v>-6.5501601302</v>
      </c>
      <c r="H543" s="133" t="n">
        <f aca="false">IF(AND(ISNUMBER(E543),ISNUMBER(F543)),IF(E543=0,"",F543/E543-1),"")</f>
        <v>-2.13301554790294</v>
      </c>
    </row>
    <row r="544" customFormat="false" ht="15" hidden="false" customHeight="false" outlineLevel="0" collapsed="false">
      <c r="A544" s="0" t="s">
        <v>27</v>
      </c>
      <c r="B544" s="0" t="s">
        <v>52</v>
      </c>
      <c r="C544" s="0" t="n">
        <v>275</v>
      </c>
      <c r="D544" s="0" t="s">
        <v>360</v>
      </c>
      <c r="E544" s="131" t="n">
        <v>3.070845</v>
      </c>
      <c r="F544" s="132" t="n">
        <f aca="false">Spreads!AF275</f>
        <v>-22.87756412994</v>
      </c>
      <c r="G544" s="131" t="n">
        <f aca="false">IF(AND(ISNUMBER(E544),ISNUMBER(F544)),F544-E544,"")</f>
        <v>-25.94840912994</v>
      </c>
      <c r="H544" s="133" t="n">
        <f aca="false">IF(AND(ISNUMBER(E544),ISNUMBER(F544)),IF(E544=0,"",F544/E544-1),"")</f>
        <v>-8.44992473730846</v>
      </c>
    </row>
    <row r="545" customFormat="false" ht="15" hidden="false" customHeight="false" outlineLevel="0" collapsed="false">
      <c r="A545" s="0" t="s">
        <v>27</v>
      </c>
      <c r="B545" s="0" t="s">
        <v>52</v>
      </c>
      <c r="C545" s="0" t="n">
        <v>285</v>
      </c>
      <c r="D545" s="0" t="s">
        <v>361</v>
      </c>
      <c r="E545" s="131" t="n">
        <v>-40.915672</v>
      </c>
      <c r="F545" s="132" t="n">
        <f aca="false">Spreads!AF285</f>
        <v>-39.7214119904</v>
      </c>
      <c r="G545" s="131" t="n">
        <f aca="false">IF(AND(ISNUMBER(E545),ISNUMBER(F545)),F545-E545,"")</f>
        <v>1.1942600096</v>
      </c>
      <c r="H545" s="133" t="n">
        <f aca="false">IF(AND(ISNUMBER(E545),ISNUMBER(F545)),IF(E545=0,"",F545/E545-1),"")</f>
        <v>-0.0291883268983093</v>
      </c>
    </row>
    <row r="546" customFormat="false" ht="15" hidden="false" customHeight="false" outlineLevel="0" collapsed="false">
      <c r="A546" s="0" t="s">
        <v>27</v>
      </c>
      <c r="B546" s="0" t="s">
        <v>52</v>
      </c>
      <c r="C546" s="0" t="n">
        <v>295</v>
      </c>
      <c r="D546" s="0" t="s">
        <v>362</v>
      </c>
      <c r="E546" s="131" t="n">
        <v>-0.3594224</v>
      </c>
      <c r="F546" s="132" t="n">
        <f aca="false">Spreads!AF295</f>
        <v>-0.35491914856</v>
      </c>
      <c r="G546" s="131" t="n">
        <f aca="false">IF(AND(ISNUMBER(E546),ISNUMBER(F546)),F546-E546,"")</f>
        <v>0.00450325143999997</v>
      </c>
      <c r="H546" s="133" t="n">
        <f aca="false">IF(AND(ISNUMBER(E546),ISNUMBER(F546)),IF(E546=0,"",F546/E546-1),"")</f>
        <v>-0.0125291340773418</v>
      </c>
    </row>
    <row r="547" customFormat="false" ht="15" hidden="false" customHeight="false" outlineLevel="0" collapsed="false">
      <c r="A547" s="0" t="s">
        <v>27</v>
      </c>
      <c r="B547" s="0" t="s">
        <v>52</v>
      </c>
      <c r="C547" s="0" t="n">
        <v>339</v>
      </c>
      <c r="D547" s="0" t="s">
        <v>363</v>
      </c>
      <c r="E547" s="131" t="n">
        <v>6.356649</v>
      </c>
      <c r="F547" s="132" t="n">
        <f aca="false">Spreads!AF339</f>
        <v>6.2770061898</v>
      </c>
      <c r="G547" s="131" t="n">
        <f aca="false">IF(AND(ISNUMBER(E547),ISNUMBER(F547)),F547-E547,"")</f>
        <v>-0.0796428101999993</v>
      </c>
      <c r="H547" s="133" t="n">
        <f aca="false">IF(AND(ISNUMBER(E547),ISNUMBER(F547)),IF(E547=0,"",F547/E547-1),"")</f>
        <v>-0.0125290558279998</v>
      </c>
    </row>
    <row r="548" customFormat="false" ht="15" hidden="false" customHeight="false" outlineLevel="0" collapsed="false">
      <c r="A548" s="0" t="s">
        <v>27</v>
      </c>
      <c r="B548" s="0" t="s">
        <v>52</v>
      </c>
      <c r="C548" s="0" t="n">
        <v>327</v>
      </c>
      <c r="D548" s="0" t="s">
        <v>364</v>
      </c>
      <c r="E548" s="131" t="n">
        <v>0</v>
      </c>
      <c r="F548" s="132" t="n">
        <f aca="false">Spreads!AF327</f>
        <v>5.823</v>
      </c>
      <c r="G548" s="131" t="n">
        <f aca="false">IF(AND(ISNUMBER(E548),ISNUMBER(F548)),F548-E548,"")</f>
        <v>5.823</v>
      </c>
      <c r="H548" s="133" t="str">
        <f aca="false">IF(AND(ISNUMBER(E548),ISNUMBER(F548)),IF(E548=0,"",F548/E548-1),"")</f>
        <v/>
      </c>
    </row>
    <row r="549" customFormat="false" ht="15" hidden="false" customHeight="false" outlineLevel="0" collapsed="false">
      <c r="A549" s="0" t="s">
        <v>27</v>
      </c>
      <c r="B549" s="0" t="s">
        <v>52</v>
      </c>
      <c r="C549" s="0" t="n">
        <v>328</v>
      </c>
      <c r="D549" s="0" t="s">
        <v>365</v>
      </c>
      <c r="E549" s="131" t="n">
        <v>0</v>
      </c>
      <c r="F549" s="132" t="n">
        <f aca="false">Spreads!AF328</f>
        <v>8.659</v>
      </c>
      <c r="G549" s="131" t="n">
        <f aca="false">IF(AND(ISNUMBER(E549),ISNUMBER(F549)),F549-E549,"")</f>
        <v>8.659</v>
      </c>
      <c r="H549" s="133" t="str">
        <f aca="false">IF(AND(ISNUMBER(E549),ISNUMBER(F549)),IF(E549=0,"",F549/E549-1),"")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2026-10-01T13:40:59Z</dcterms:created>
  <dc:creator>Hunt, Jeremy</dc:creator>
  <dc:description/>
  <dc:language>en-US</dc:language>
  <cp:lastModifiedBy>Hunt, Jeremy</cp:lastModifiedBy>
  <dcterms:modified xsi:type="dcterms:W3CDTF">2026-10-01T16:27:25Z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dsSearchOrder">
    <vt:i4>0</vt:i4>
  </property>
</Properties>
</file>